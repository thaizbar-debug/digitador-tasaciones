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X:\BVANET 2025\FORMATO 2025\formatos xlsx\"/>
    </mc:Choice>
  </mc:AlternateContent>
  <xr:revisionPtr revIDLastSave="0" documentId="13_ncr:1_{CA824551-BFD4-4CAB-A33C-DD3D6ADF2FFE}" xr6:coauthVersionLast="47" xr6:coauthVersionMax="47" xr10:uidLastSave="{00000000-0000-0000-0000-000000000000}"/>
  <bookViews>
    <workbookView xWindow="-120" yWindow="-120" windowWidth="29040" windowHeight="15720" xr2:uid="{1BEB3A31-3035-4839-BA36-41AB1ED54C02}"/>
  </bookViews>
  <sheets>
    <sheet name="HOJA DE RESUMEN" sheetId="12" r:id="rId1"/>
    <sheet name="MEMORIA" sheetId="2" r:id="rId2"/>
    <sheet name="C2" sheetId="13" state="hidden" r:id="rId3"/>
    <sheet name="ANEXO I" sheetId="6" r:id="rId4"/>
    <sheet name="ANEXO II" sheetId="7" r:id="rId5"/>
    <sheet name="FOTO" sheetId="5" r:id="rId6"/>
    <sheet name="Listado $" sheetId="8" state="hidden" r:id="rId7"/>
    <sheet name="SUSTENTO DE UBICACION" sheetId="16" r:id="rId8"/>
    <sheet name="Listado S." sheetId="14" r:id="rId9"/>
    <sheet name="Aux_TipoBien" sheetId="9" state="hidden" r:id="rId10"/>
    <sheet name="AuxTipoVia" sheetId="10" state="hidden" r:id="rId11"/>
    <sheet name="AuxUbigeo" sheetId="11" state="hidden" r:id="rId12"/>
  </sheets>
  <externalReferences>
    <externalReference r:id="rId13"/>
    <externalReference r:id="rId14"/>
    <externalReference r:id="rId15"/>
  </externalReferences>
  <definedNames>
    <definedName name="_xlnm._FilterDatabase" localSheetId="0" hidden="1">'HOJA DE RESUMEN'!$B$80:$H$80</definedName>
    <definedName name="_xlnm.Print_Area" localSheetId="3">'ANEXO I'!$A$1:$AV$127</definedName>
    <definedName name="_xlnm.Print_Area" localSheetId="4">'ANEXO II'!$A$1:$N$35</definedName>
    <definedName name="_xlnm.Print_Area" localSheetId="2">'C2'!$A$1:$AR$118</definedName>
    <definedName name="_xlnm.Print_Area" localSheetId="5">FOTO!$A$1:$AB$59</definedName>
    <definedName name="_xlnm.Print_Area" localSheetId="0">'HOJA DE RESUMEN'!$A$1:$AD$131</definedName>
    <definedName name="_xlnm.Print_Area" localSheetId="6">'Listado $'!$A$1:$AC$6</definedName>
    <definedName name="_xlnm.Print_Area" localSheetId="8">'Listado S.'!$A$1:$AC$6</definedName>
    <definedName name="_xlnm.Print_Area" localSheetId="1">MEMORIA!$A$1:$AV$392</definedName>
    <definedName name="ÁreaTechada">'[1]MD Áreas'!$K$43</definedName>
    <definedName name="ÁreaTerreno">'[1]MD Áreas'!$S$33</definedName>
    <definedName name="DirecInSitu">'[1]MD Datos'!$J$53</definedName>
    <definedName name="DirecPU">'[1]MD Datos'!$J$51</definedName>
    <definedName name="DirecRegistral">'[1]MD Datos'!$J$49</definedName>
    <definedName name="Expedición">'[1]MD Datos'!$Z$14</definedName>
    <definedName name="JKLKL">#REF!</definedName>
    <definedName name="Porcentajededucciones">'[1]RESUL VC'!$R$59</definedName>
    <definedName name="Producto1">OFFSET([1]Listas!$A$3,0,0,COUNTA([1]Listas!$A$1:$A$65536)-2)</definedName>
    <definedName name="TipoTasación">OFFSET([1]Listas!$C$3,0,0,COUNTA([1]Listas!$C$1:$C$65536)-1)</definedName>
    <definedName name="_xlnm.Print_Titles" localSheetId="3">'ANEXO I'!$1:$11</definedName>
    <definedName name="_xlnm.Print_Titles" localSheetId="0">'HOJA DE RESUMEN'!$1:$18</definedName>
    <definedName name="_xlnm.Print_Titles" localSheetId="1">MEMORIA!$1:$9</definedName>
    <definedName name="VC">'[1]RESUL VC'!$X$45</definedName>
    <definedName name="VT">'[1]AM Costos'!$X$28</definedName>
  </definedNames>
  <calcPr calcId="181029"/>
</workbook>
</file>

<file path=xl/calcChain.xml><?xml version="1.0" encoding="utf-8"?>
<calcChain xmlns="http://schemas.openxmlformats.org/spreadsheetml/2006/main">
  <c r="N158" i="2" l="1"/>
  <c r="Y6" i="14" l="1"/>
  <c r="AE20" i="5"/>
  <c r="AL20" i="5" s="1"/>
  <c r="AE39" i="5" s="1"/>
  <c r="AL39" i="5" s="1"/>
  <c r="AE57" i="5" s="1"/>
  <c r="AL57" i="5" s="1"/>
  <c r="AF2" i="5"/>
  <c r="AD2" i="5"/>
  <c r="AA350" i="2"/>
  <c r="N350" i="2"/>
  <c r="C349" i="2"/>
  <c r="C347" i="2"/>
  <c r="N205" i="2"/>
  <c r="C204" i="2"/>
  <c r="C202" i="2"/>
  <c r="C160" i="2"/>
  <c r="C205" i="2" s="1"/>
  <c r="I12" i="7"/>
  <c r="H56" i="12"/>
  <c r="AL42" i="13" s="1"/>
  <c r="R118" i="2"/>
  <c r="R197" i="2" s="1"/>
  <c r="C2" i="16"/>
  <c r="Q2" i="16" s="1"/>
  <c r="C6" i="14"/>
  <c r="C7" i="14" s="1"/>
  <c r="C8" i="14" s="1"/>
  <c r="I6" i="14"/>
  <c r="I7" i="14" s="1"/>
  <c r="I8" i="14" s="1"/>
  <c r="AG28" i="13"/>
  <c r="H42" i="12"/>
  <c r="H40" i="12"/>
  <c r="AS244" i="2"/>
  <c r="Z86" i="13" s="1"/>
  <c r="C218" i="2"/>
  <c r="C164" i="2"/>
  <c r="C209" i="2" s="1"/>
  <c r="N209" i="2"/>
  <c r="AP193" i="2"/>
  <c r="AF234" i="2" s="1"/>
  <c r="AP385" i="2" s="1"/>
  <c r="U223" i="2"/>
  <c r="AA223" i="2"/>
  <c r="U224" i="2"/>
  <c r="AA224" i="2"/>
  <c r="C216" i="2"/>
  <c r="C162" i="2"/>
  <c r="C207" i="2" s="1"/>
  <c r="N207" i="2"/>
  <c r="C214" i="2"/>
  <c r="C158" i="2"/>
  <c r="C203" i="2" s="1"/>
  <c r="AM96" i="2"/>
  <c r="AA158" i="2"/>
  <c r="AA162" i="2" s="1"/>
  <c r="AA352" i="2" s="1"/>
  <c r="AI153" i="2"/>
  <c r="AI164" i="2" s="1"/>
  <c r="AI150" i="2"/>
  <c r="AK184" i="2" s="1"/>
  <c r="AK185" i="2" s="1"/>
  <c r="AI147" i="2"/>
  <c r="AI158" i="2" s="1"/>
  <c r="AI160" i="2" s="1"/>
  <c r="C153" i="2"/>
  <c r="C342" i="2" s="1"/>
  <c r="N147" i="2"/>
  <c r="N150" i="2" s="1"/>
  <c r="C150" i="2"/>
  <c r="C147" i="2"/>
  <c r="C336" i="2" s="1"/>
  <c r="U184" i="2"/>
  <c r="U190" i="2" s="1"/>
  <c r="AA184" i="2"/>
  <c r="AA190" i="2" s="1"/>
  <c r="U185" i="2"/>
  <c r="AA185" i="2"/>
  <c r="AA191" i="2" s="1"/>
  <c r="AP187" i="2"/>
  <c r="AF230" i="2" s="1"/>
  <c r="AP379" i="2" s="1"/>
  <c r="AP181" i="2"/>
  <c r="AF226" i="2" s="1"/>
  <c r="AP373" i="2" s="1"/>
  <c r="AC6" i="14"/>
  <c r="U77" i="12"/>
  <c r="S77" i="12"/>
  <c r="I77" i="12"/>
  <c r="H77" i="12"/>
  <c r="C114" i="12"/>
  <c r="C105" i="12"/>
  <c r="AB104" i="12"/>
  <c r="AB113" i="12"/>
  <c r="C96" i="12"/>
  <c r="AC265" i="2"/>
  <c r="A2" i="5" s="1"/>
  <c r="A2" i="16" s="1"/>
  <c r="O2" i="16" s="1"/>
  <c r="U87" i="13"/>
  <c r="U88" i="13"/>
  <c r="U86" i="13"/>
  <c r="B87" i="13"/>
  <c r="AH87" i="13" s="1"/>
  <c r="B88" i="13"/>
  <c r="AH88" i="13" s="1"/>
  <c r="B86" i="13"/>
  <c r="AH86" i="13" s="1"/>
  <c r="U83" i="13"/>
  <c r="U84" i="13"/>
  <c r="U85" i="13"/>
  <c r="P83" i="13"/>
  <c r="P84" i="13"/>
  <c r="P85" i="13"/>
  <c r="B83" i="13"/>
  <c r="AH83" i="13" s="1"/>
  <c r="B84" i="13"/>
  <c r="AH84" i="13" s="1"/>
  <c r="B85" i="13"/>
  <c r="AH85" i="13" s="1"/>
  <c r="P88" i="13"/>
  <c r="P87" i="13"/>
  <c r="B82" i="13"/>
  <c r="AH82" i="13" s="1"/>
  <c r="C302" i="2"/>
  <c r="C300" i="2"/>
  <c r="C298" i="2"/>
  <c r="AN130" i="2"/>
  <c r="AS130" i="2" s="1"/>
  <c r="Z85" i="13" s="1"/>
  <c r="AN128" i="2"/>
  <c r="AS128" i="2" s="1"/>
  <c r="Z84" i="13" s="1"/>
  <c r="A32" i="2"/>
  <c r="A40" i="2" s="1"/>
  <c r="A48" i="2" s="1"/>
  <c r="A50" i="2" s="1"/>
  <c r="A52" i="2" s="1"/>
  <c r="A68" i="2" s="1"/>
  <c r="A70" i="2" s="1"/>
  <c r="A72" i="2" s="1"/>
  <c r="A79" i="2" s="1"/>
  <c r="A97" i="2" s="1"/>
  <c r="A101" i="2" s="1"/>
  <c r="A103" i="2" s="1"/>
  <c r="A105" i="2" s="1"/>
  <c r="AS247" i="2"/>
  <c r="Z88" i="13" s="1"/>
  <c r="Y8" i="8"/>
  <c r="U82" i="13"/>
  <c r="P82" i="13"/>
  <c r="AL39" i="13"/>
  <c r="R39" i="13"/>
  <c r="S24" i="13"/>
  <c r="G20" i="13"/>
  <c r="AA18" i="13"/>
  <c r="AS245" i="2"/>
  <c r="Z87" i="13" s="1"/>
  <c r="AN127" i="2"/>
  <c r="AS127" i="2" s="1"/>
  <c r="Z83" i="13" s="1"/>
  <c r="AN126" i="2"/>
  <c r="AS126" i="2" s="1"/>
  <c r="Z82" i="13" s="1"/>
  <c r="H66" i="12"/>
  <c r="AB8" i="14" s="1"/>
  <c r="H65" i="12"/>
  <c r="AB7" i="8" s="1"/>
  <c r="K65" i="12"/>
  <c r="K74" i="12" s="1"/>
  <c r="C66" i="12"/>
  <c r="C75" i="12" s="1"/>
  <c r="C65" i="12"/>
  <c r="C74" i="12" s="1"/>
  <c r="C64" i="12"/>
  <c r="C73" i="12" s="1"/>
  <c r="I297" i="2"/>
  <c r="I299" i="2" s="1"/>
  <c r="AA66" i="12" s="1"/>
  <c r="AA75" i="12" s="1"/>
  <c r="M66" i="12"/>
  <c r="M75" i="12" s="1"/>
  <c r="K66" i="12"/>
  <c r="K75" i="12" s="1"/>
  <c r="M65" i="12"/>
  <c r="M74" i="12" s="1"/>
  <c r="U341" i="2"/>
  <c r="AH342" i="2" s="1"/>
  <c r="AI354" i="2" s="1"/>
  <c r="U338" i="2"/>
  <c r="AH339" i="2" s="1"/>
  <c r="AI352" i="2" s="1"/>
  <c r="U335" i="2"/>
  <c r="AH336" i="2" s="1"/>
  <c r="AA371" i="2"/>
  <c r="AA377" i="2" s="1"/>
  <c r="AA370" i="2"/>
  <c r="AA376" i="2" s="1"/>
  <c r="AA382" i="2" s="1"/>
  <c r="U371" i="2"/>
  <c r="U377" i="2" s="1"/>
  <c r="U383" i="2" s="1"/>
  <c r="U370" i="2"/>
  <c r="C371" i="2"/>
  <c r="C377" i="2" s="1"/>
  <c r="C383" i="2" s="1"/>
  <c r="C370" i="2"/>
  <c r="C376" i="2" s="1"/>
  <c r="C382" i="2" s="1"/>
  <c r="F328" i="2"/>
  <c r="F390" i="2" s="1"/>
  <c r="C390" i="2"/>
  <c r="C151" i="2"/>
  <c r="C163" i="2" s="1"/>
  <c r="C171" i="2" s="1"/>
  <c r="C386" i="2"/>
  <c r="Y377" i="2"/>
  <c r="Y383" i="2" s="1"/>
  <c r="Y376" i="2"/>
  <c r="Y382" i="2" s="1"/>
  <c r="C148" i="2"/>
  <c r="C337" i="2" s="1"/>
  <c r="C380" i="2"/>
  <c r="C145" i="2"/>
  <c r="C334" i="2" s="1"/>
  <c r="C374" i="2"/>
  <c r="AR96" i="2"/>
  <c r="N348" i="2" s="1"/>
  <c r="N352" i="2"/>
  <c r="N354" i="2"/>
  <c r="C210" i="2"/>
  <c r="A344" i="2"/>
  <c r="A358" i="2" s="1"/>
  <c r="A366" i="2" s="1"/>
  <c r="C365" i="2"/>
  <c r="C357" i="2"/>
  <c r="H343" i="2"/>
  <c r="E311" i="2"/>
  <c r="E317" i="2" s="1"/>
  <c r="E323" i="2" s="1"/>
  <c r="E310" i="2"/>
  <c r="E316" i="2" s="1"/>
  <c r="E322" i="2" s="1"/>
  <c r="E309" i="2"/>
  <c r="E315" i="2" s="1"/>
  <c r="E321" i="2" s="1"/>
  <c r="E308" i="2"/>
  <c r="E314" i="2" s="1"/>
  <c r="E320" i="2" s="1"/>
  <c r="C318" i="2"/>
  <c r="C324" i="2" s="1"/>
  <c r="C184" i="2"/>
  <c r="C190" i="2" s="1"/>
  <c r="C299" i="2"/>
  <c r="C301" i="2" s="1"/>
  <c r="C303" i="2" s="1"/>
  <c r="E271" i="2"/>
  <c r="E277" i="2" s="1"/>
  <c r="E283" i="2" s="1"/>
  <c r="E269" i="2"/>
  <c r="E275" i="2" s="1"/>
  <c r="E281" i="2" s="1"/>
  <c r="C173" i="2"/>
  <c r="E270" i="2" s="1"/>
  <c r="E276" i="2" s="1"/>
  <c r="E282" i="2" s="1"/>
  <c r="K268" i="2"/>
  <c r="K274" i="2" s="1"/>
  <c r="K280" i="2" s="1"/>
  <c r="E268" i="2"/>
  <c r="E274" i="2" s="1"/>
  <c r="E280" i="2" s="1"/>
  <c r="C284" i="2"/>
  <c r="C224" i="2"/>
  <c r="Y224" i="2"/>
  <c r="Y223" i="2"/>
  <c r="C223" i="2"/>
  <c r="C235" i="2"/>
  <c r="C185" i="2"/>
  <c r="C191" i="2" s="1"/>
  <c r="C234" i="2" s="1"/>
  <c r="C231" i="2"/>
  <c r="C227" i="2"/>
  <c r="C226" i="2"/>
  <c r="A200" i="2"/>
  <c r="A212" i="2" s="1"/>
  <c r="A220" i="2" s="1"/>
  <c r="C194" i="2"/>
  <c r="Y185" i="2"/>
  <c r="Y191" i="2" s="1"/>
  <c r="Y184" i="2"/>
  <c r="Y190" i="2" s="1"/>
  <c r="C188" i="2"/>
  <c r="C182" i="2"/>
  <c r="A155" i="2"/>
  <c r="A166" i="2" s="1"/>
  <c r="A174" i="2" s="1"/>
  <c r="AA15" i="12"/>
  <c r="Q2" i="5"/>
  <c r="AB122" i="12"/>
  <c r="V262" i="2"/>
  <c r="C219" i="2"/>
  <c r="V76" i="2"/>
  <c r="K64" i="12" s="1"/>
  <c r="K73" i="12" s="1"/>
  <c r="AD76" i="2"/>
  <c r="M64" i="12" s="1"/>
  <c r="AC6" i="8"/>
  <c r="H92" i="12"/>
  <c r="M77" i="12"/>
  <c r="Q77" i="12"/>
  <c r="H64" i="12"/>
  <c r="H73" i="12" s="1"/>
  <c r="H50" i="12"/>
  <c r="H48" i="12"/>
  <c r="H46" i="12"/>
  <c r="AB118" i="2"/>
  <c r="AB197" i="2" s="1"/>
  <c r="AB237" i="2" s="1"/>
  <c r="G326" i="2"/>
  <c r="C8" i="7"/>
  <c r="C7" i="7"/>
  <c r="G286" i="2"/>
  <c r="I20" i="5"/>
  <c r="B39" i="5"/>
  <c r="I39" i="5" s="1"/>
  <c r="B57" i="5" s="1"/>
  <c r="I57" i="5" s="1"/>
  <c r="P20" i="5" s="1"/>
  <c r="W20" i="5" s="1"/>
  <c r="P39" i="5" s="1"/>
  <c r="W39" i="5" s="1"/>
  <c r="P57" i="5" s="1"/>
  <c r="W57" i="5" s="1"/>
  <c r="W58" i="5"/>
  <c r="H76" i="2"/>
  <c r="I144" i="2"/>
  <c r="C154" i="2"/>
  <c r="K154" i="2"/>
  <c r="C165" i="2"/>
  <c r="A288" i="2"/>
  <c r="A306" i="2" s="1"/>
  <c r="AH295" i="2"/>
  <c r="G304" i="2"/>
  <c r="AB77" i="12"/>
  <c r="X77" i="12"/>
  <c r="Y6" i="8"/>
  <c r="K77" i="12"/>
  <c r="C156" i="2"/>
  <c r="C346" i="2" s="1"/>
  <c r="C359" i="2" s="1"/>
  <c r="C368" i="2" s="1"/>
  <c r="Z374" i="2" s="1"/>
  <c r="C305" i="2"/>
  <c r="C327" i="2"/>
  <c r="AA348" i="2"/>
  <c r="AA356" i="2" s="1"/>
  <c r="U376" i="2"/>
  <c r="C354" i="2" l="1"/>
  <c r="C350" i="2"/>
  <c r="AK178" i="2"/>
  <c r="AK179" i="2" s="1"/>
  <c r="AO205" i="2"/>
  <c r="AB7" i="14"/>
  <c r="N336" i="2"/>
  <c r="AO336" i="2" s="1"/>
  <c r="C68" i="12"/>
  <c r="C77" i="12" s="1"/>
  <c r="C230" i="2"/>
  <c r="AK190" i="2"/>
  <c r="AK191" i="2" s="1"/>
  <c r="AI162" i="2"/>
  <c r="AA160" i="2"/>
  <c r="H74" i="12"/>
  <c r="M69" i="12"/>
  <c r="AF178" i="2"/>
  <c r="AP178" i="2" s="1"/>
  <c r="AB6" i="8"/>
  <c r="K69" i="12"/>
  <c r="AB6" i="14"/>
  <c r="AF224" i="2"/>
  <c r="AK382" i="2"/>
  <c r="AK383" i="2" s="1"/>
  <c r="C161" i="2"/>
  <c r="C206" i="2" s="1"/>
  <c r="C215" i="2" s="1"/>
  <c r="T231" i="2" s="1"/>
  <c r="K78" i="12"/>
  <c r="AO209" i="2"/>
  <c r="N218" i="2" s="1"/>
  <c r="AO218" i="2" s="1"/>
  <c r="AM322" i="2" s="1"/>
  <c r="N356" i="2"/>
  <c r="I301" i="2"/>
  <c r="I303" i="2" s="1"/>
  <c r="AB332" i="2"/>
  <c r="C352" i="2"/>
  <c r="AO352" i="2" s="1"/>
  <c r="N362" i="2" s="1"/>
  <c r="AO362" i="2" s="1"/>
  <c r="AA64" i="12"/>
  <c r="AA73" i="12" s="1"/>
  <c r="AA77" i="12" s="1"/>
  <c r="H69" i="12"/>
  <c r="C348" i="2"/>
  <c r="C356" i="2" s="1"/>
  <c r="C189" i="2"/>
  <c r="Z194" i="2" s="1"/>
  <c r="C279" i="2"/>
  <c r="N153" i="2"/>
  <c r="AO153" i="2" s="1"/>
  <c r="N339" i="2"/>
  <c r="AK370" i="2"/>
  <c r="AK371" i="2" s="1"/>
  <c r="AI348" i="2"/>
  <c r="AO150" i="2"/>
  <c r="AM274" i="2" s="1"/>
  <c r="H75" i="12"/>
  <c r="AB8" i="8"/>
  <c r="AO207" i="2"/>
  <c r="M73" i="12"/>
  <c r="M78" i="12" s="1"/>
  <c r="C201" i="2"/>
  <c r="C213" i="2" s="1"/>
  <c r="T227" i="2" s="1"/>
  <c r="C340" i="2"/>
  <c r="AK376" i="2"/>
  <c r="AK377" i="2" s="1"/>
  <c r="C167" i="2"/>
  <c r="C267" i="2" s="1"/>
  <c r="C339" i="2"/>
  <c r="AO147" i="2"/>
  <c r="AA383" i="2"/>
  <c r="Q237" i="2"/>
  <c r="S265" i="2"/>
  <c r="R332" i="2" s="1"/>
  <c r="C353" i="2"/>
  <c r="C363" i="2" s="1"/>
  <c r="C381" i="2" s="1"/>
  <c r="Z386" i="2" s="1"/>
  <c r="C208" i="2"/>
  <c r="C217" i="2" s="1"/>
  <c r="T235" i="2" s="1"/>
  <c r="AA164" i="2"/>
  <c r="U191" i="2"/>
  <c r="U382" i="2"/>
  <c r="O2" i="5"/>
  <c r="N203" i="2"/>
  <c r="AO203" i="2" s="1"/>
  <c r="AO158" i="2"/>
  <c r="AO162" i="2"/>
  <c r="AF223" i="2"/>
  <c r="AI356" i="2" l="1"/>
  <c r="AI350" i="2"/>
  <c r="AO350" i="2" s="1"/>
  <c r="AM269" i="2"/>
  <c r="AO160" i="2"/>
  <c r="AM309" i="2"/>
  <c r="N214" i="2"/>
  <c r="AO214" i="2" s="1"/>
  <c r="AO348" i="2"/>
  <c r="AF179" i="2"/>
  <c r="AF371" i="2" s="1"/>
  <c r="AO356" i="2"/>
  <c r="C351" i="2"/>
  <c r="C361" i="2" s="1"/>
  <c r="C375" i="2" s="1"/>
  <c r="Z380" i="2" s="1"/>
  <c r="N168" i="2"/>
  <c r="AO168" i="2" s="1"/>
  <c r="AA65" i="12"/>
  <c r="AA74" i="12" s="1"/>
  <c r="AF184" i="2"/>
  <c r="AF370" i="2"/>
  <c r="AF376" i="2" s="1"/>
  <c r="AF382" i="2" s="1"/>
  <c r="AF383" i="2" s="1"/>
  <c r="AP383" i="2" s="1"/>
  <c r="AF225" i="2"/>
  <c r="AF229" i="2" s="1"/>
  <c r="AF231" i="2" s="1"/>
  <c r="AM317" i="2" s="1"/>
  <c r="AM321" i="2"/>
  <c r="C169" i="2"/>
  <c r="C183" i="2" s="1"/>
  <c r="Z188" i="2" s="1"/>
  <c r="I65" i="12"/>
  <c r="U7" i="8" s="1"/>
  <c r="C176" i="2"/>
  <c r="Z182" i="2" s="1"/>
  <c r="AM268" i="2"/>
  <c r="I64" i="12"/>
  <c r="AO154" i="2"/>
  <c r="AO339" i="2"/>
  <c r="N216" i="2"/>
  <c r="AO216" i="2" s="1"/>
  <c r="AM316" i="2" s="1"/>
  <c r="AM315" i="2"/>
  <c r="AM280" i="2"/>
  <c r="I66" i="12"/>
  <c r="N342" i="2"/>
  <c r="AO342" i="2" s="1"/>
  <c r="C307" i="2"/>
  <c r="V312" i="2" s="1"/>
  <c r="P272" i="2"/>
  <c r="C319" i="2"/>
  <c r="V324" i="2" s="1"/>
  <c r="P284" i="2"/>
  <c r="AO210" i="2"/>
  <c r="AM275" i="2"/>
  <c r="O65" i="12" s="1"/>
  <c r="N170" i="2"/>
  <c r="AO170" i="2" s="1"/>
  <c r="AM276" i="2" s="1"/>
  <c r="Q65" i="12" s="1"/>
  <c r="AO164" i="2"/>
  <c r="AA354" i="2"/>
  <c r="AO354" i="2" s="1"/>
  <c r="N360" i="2" l="1"/>
  <c r="AO360" i="2" s="1"/>
  <c r="AF185" i="2"/>
  <c r="AP185" i="2" s="1"/>
  <c r="AP179" i="2"/>
  <c r="AP180" i="2" s="1"/>
  <c r="AQ182" i="2" s="1"/>
  <c r="AM271" i="2" s="1"/>
  <c r="S64" i="12" s="1"/>
  <c r="S73" i="12" s="1"/>
  <c r="AP382" i="2"/>
  <c r="AP384" i="2" s="1"/>
  <c r="AQ386" i="2" s="1"/>
  <c r="AP370" i="2"/>
  <c r="AM318" i="2"/>
  <c r="AB65" i="12" s="1"/>
  <c r="AA7" i="8" s="1"/>
  <c r="C273" i="2"/>
  <c r="P278" i="2" s="1"/>
  <c r="AP376" i="2"/>
  <c r="AF190" i="2"/>
  <c r="AP184" i="2"/>
  <c r="AP186" i="2" s="1"/>
  <c r="AQ188" i="2" s="1"/>
  <c r="AM277" i="2" s="1"/>
  <c r="I74" i="12"/>
  <c r="U7" i="14" s="1"/>
  <c r="AF227" i="2"/>
  <c r="AM311" i="2" s="1"/>
  <c r="AF233" i="2"/>
  <c r="AF235" i="2" s="1"/>
  <c r="AM323" i="2" s="1"/>
  <c r="AM324" i="2" s="1"/>
  <c r="AB66" i="12" s="1"/>
  <c r="AB75" i="12" s="1"/>
  <c r="AA8" i="14" s="1"/>
  <c r="U8" i="8"/>
  <c r="I75" i="12"/>
  <c r="U8" i="14" s="1"/>
  <c r="I73" i="12"/>
  <c r="I69" i="12"/>
  <c r="U6" i="8"/>
  <c r="AO343" i="2"/>
  <c r="V7" i="8"/>
  <c r="O74" i="12"/>
  <c r="V7" i="14" s="1"/>
  <c r="N172" i="2"/>
  <c r="AO172" i="2" s="1"/>
  <c r="AM282" i="2" s="1"/>
  <c r="Q66" i="12" s="1"/>
  <c r="AM281" i="2"/>
  <c r="AO165" i="2"/>
  <c r="O64" i="12"/>
  <c r="AP371" i="2"/>
  <c r="AF377" i="2"/>
  <c r="AP377" i="2" s="1"/>
  <c r="N364" i="2"/>
  <c r="AO364" i="2" s="1"/>
  <c r="AO357" i="2"/>
  <c r="N94" i="13"/>
  <c r="AM270" i="2"/>
  <c r="Q64" i="12" s="1"/>
  <c r="X7" i="8"/>
  <c r="Q74" i="12"/>
  <c r="X7" i="14" s="1"/>
  <c r="AM310" i="2"/>
  <c r="AO219" i="2"/>
  <c r="AO365" i="2" l="1"/>
  <c r="W6" i="8"/>
  <c r="C313" i="2"/>
  <c r="V318" i="2" s="1"/>
  <c r="S65" i="12"/>
  <c r="S74" i="12" s="1"/>
  <c r="W7" i="14" s="1"/>
  <c r="AM278" i="2"/>
  <c r="N301" i="2" s="1"/>
  <c r="AM301" i="2" s="1"/>
  <c r="X65" i="12" s="1"/>
  <c r="AP378" i="2"/>
  <c r="AQ380" i="2" s="1"/>
  <c r="AP372" i="2"/>
  <c r="AQ374" i="2" s="1"/>
  <c r="AA8" i="8"/>
  <c r="AB74" i="12"/>
  <c r="AA7" i="14" s="1"/>
  <c r="AF191" i="2"/>
  <c r="AP191" i="2" s="1"/>
  <c r="AP190" i="2"/>
  <c r="AP192" i="2" s="1"/>
  <c r="AQ194" i="2" s="1"/>
  <c r="AM283" i="2" s="1"/>
  <c r="S66" i="12" s="1"/>
  <c r="AM312" i="2"/>
  <c r="AB64" i="12" s="1"/>
  <c r="AO173" i="2"/>
  <c r="N92" i="13"/>
  <c r="U6" i="14"/>
  <c r="I78" i="12"/>
  <c r="W6" i="14"/>
  <c r="X6" i="8"/>
  <c r="Q73" i="12"/>
  <c r="Q69" i="12"/>
  <c r="AM272" i="2"/>
  <c r="O73" i="12"/>
  <c r="V6" i="8"/>
  <c r="O66" i="12"/>
  <c r="Q75" i="12"/>
  <c r="X8" i="14" s="1"/>
  <c r="X8" i="8"/>
  <c r="N12" i="7" l="1"/>
  <c r="N13" i="7" s="1"/>
  <c r="U65" i="12"/>
  <c r="S7" i="8" s="1"/>
  <c r="W7" i="8"/>
  <c r="AM284" i="2"/>
  <c r="U66" i="12" s="1"/>
  <c r="W8" i="8"/>
  <c r="S75" i="12"/>
  <c r="S69" i="12"/>
  <c r="AM326" i="2"/>
  <c r="O75" i="12"/>
  <c r="V8" i="14" s="1"/>
  <c r="V8" i="8"/>
  <c r="U64" i="12"/>
  <c r="N299" i="2"/>
  <c r="AM299" i="2" s="1"/>
  <c r="O69" i="12"/>
  <c r="T7" i="8"/>
  <c r="X74" i="12"/>
  <c r="T7" i="14" s="1"/>
  <c r="AB69" i="12"/>
  <c r="AA6" i="8"/>
  <c r="AB73" i="12"/>
  <c r="X6" i="14"/>
  <c r="Q78" i="12"/>
  <c r="V6" i="14"/>
  <c r="O78" i="12" l="1"/>
  <c r="U74" i="12"/>
  <c r="S7" i="14" s="1"/>
  <c r="AM286" i="2"/>
  <c r="N303" i="2"/>
  <c r="AM303" i="2" s="1"/>
  <c r="X66" i="12" s="1"/>
  <c r="T8" i="8" s="1"/>
  <c r="W8" i="14"/>
  <c r="S78" i="12"/>
  <c r="AA6" i="14"/>
  <c r="AB78" i="12"/>
  <c r="X64" i="12"/>
  <c r="U75" i="12"/>
  <c r="S8" i="8"/>
  <c r="S6" i="8"/>
  <c r="U73" i="12"/>
  <c r="U69" i="12"/>
  <c r="C287" i="2"/>
  <c r="N96" i="13" l="1"/>
  <c r="X75" i="12"/>
  <c r="T8" i="14" s="1"/>
  <c r="AM304" i="2"/>
  <c r="Y7" i="8"/>
  <c r="N98" i="13"/>
  <c r="S8" i="14"/>
  <c r="S6" i="14"/>
  <c r="U78" i="12"/>
  <c r="N100" i="13" s="1"/>
  <c r="X69" i="12"/>
  <c r="X73" i="12"/>
  <c r="T6" i="8"/>
  <c r="T6" i="14" l="1"/>
  <c r="X78" i="12"/>
  <c r="N10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LISSETH RAMIREZ</author>
  </authors>
  <commentList>
    <comment ref="V38" authorId="0" shapeId="0" xr:uid="{E5E4280F-17EE-4161-B35C-21A631ED1514}">
      <text>
        <r>
          <rPr>
            <b/>
            <sz val="16"/>
            <color indexed="81"/>
            <rFont val="Tahoma"/>
            <family val="2"/>
          </rPr>
          <t>PERSONA: PN
EMPRESA : PJ</t>
        </r>
        <r>
          <rPr>
            <sz val="9"/>
            <color indexed="81"/>
            <rFont val="Tahoma"/>
            <family val="2"/>
          </rPr>
          <t xml:space="preserve">
</t>
        </r>
      </text>
    </comment>
    <comment ref="H80" authorId="0" shapeId="0" xr:uid="{4A9BE5FC-32F7-4090-99BB-0CB1A6C54DEA}">
      <text>
        <r>
          <rPr>
            <b/>
            <sz val="12"/>
            <color indexed="81"/>
            <rFont val="Tahoma"/>
            <family val="2"/>
          </rPr>
          <t>PERSONAS:</t>
        </r>
        <r>
          <rPr>
            <sz val="12"/>
            <color indexed="81"/>
            <rFont val="Tahoma"/>
            <family val="2"/>
          </rPr>
          <t xml:space="preserve"> HIPOTECARIO
</t>
        </r>
        <r>
          <rPr>
            <b/>
            <sz val="12"/>
            <color indexed="81"/>
            <rFont val="Tahoma"/>
            <family val="2"/>
          </rPr>
          <t xml:space="preserve">EMPRESA: </t>
        </r>
        <r>
          <rPr>
            <sz val="12"/>
            <color indexed="81"/>
            <rFont val="Tahoma"/>
            <family val="2"/>
          </rPr>
          <t>COMERCIAL</t>
        </r>
      </text>
    </comment>
    <comment ref="H82" authorId="0" shapeId="0" xr:uid="{902041F0-4510-4F3F-AB97-8B3CB0567B7A}">
      <text>
        <r>
          <rPr>
            <b/>
            <sz val="9"/>
            <color indexed="81"/>
            <rFont val="Tahoma"/>
            <family val="2"/>
          </rPr>
          <t xml:space="preserve">DEPARTAMENTO, CASA, ETC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Elena Labajos</author>
  </authors>
  <commentList>
    <comment ref="O45" authorId="0" shapeId="0" xr:uid="{74553963-68BD-4D4F-9AA8-19EAA298C1FC}">
      <text>
        <r>
          <rPr>
            <sz val="9"/>
            <color indexed="81"/>
            <rFont val="Tahoma"/>
            <family val="2"/>
          </rPr>
          <t>CANTIDAD</t>
        </r>
      </text>
    </comment>
  </commentList>
</comments>
</file>

<file path=xl/sharedStrings.xml><?xml version="1.0" encoding="utf-8"?>
<sst xmlns="http://schemas.openxmlformats.org/spreadsheetml/2006/main" count="9190" uniqueCount="2538">
  <si>
    <t>:</t>
  </si>
  <si>
    <t>=</t>
  </si>
  <si>
    <t>OBSERVACIONES</t>
  </si>
  <si>
    <t>MEMORIA DESCRIPTIVA</t>
  </si>
  <si>
    <t>x</t>
  </si>
  <si>
    <t>DEDUCCIONES APLICABLES</t>
  </si>
  <si>
    <t>Para el caso de realización se consideran las siguientes deducciones aplicables:</t>
  </si>
  <si>
    <t>TOTAL DEDUCCIONES</t>
  </si>
  <si>
    <t>Lima,</t>
  </si>
  <si>
    <t>m2</t>
  </si>
  <si>
    <t>2.-</t>
  </si>
  <si>
    <t>TOTAL VALOR UNITARIO</t>
  </si>
  <si>
    <t>CUADRO COMPARATIVO</t>
  </si>
  <si>
    <t>V. U.
US$/m2</t>
  </si>
  <si>
    <t>UBICACIÓN</t>
  </si>
  <si>
    <t>/ m2</t>
  </si>
  <si>
    <t>/m2</t>
  </si>
  <si>
    <t>Gastos de Mantenimiento</t>
  </si>
  <si>
    <t>Comisiones de Venta</t>
  </si>
  <si>
    <t>Gastos de Valuación</t>
  </si>
  <si>
    <t>Gastos de Publicidad</t>
  </si>
  <si>
    <t>Otros para poder vender  el  bien  en un plazo de 60 días.</t>
  </si>
  <si>
    <t>?</t>
  </si>
  <si>
    <t>FECHA INFORME</t>
  </si>
  <si>
    <t>-.&amp;&amp;&amp;&amp;&amp;&amp;&amp;.-</t>
  </si>
  <si>
    <t xml:space="preserve">TOTAL </t>
  </si>
  <si>
    <t>Valor de
Terr.US$</t>
  </si>
  <si>
    <t>V. Tot. Inm. US$</t>
  </si>
  <si>
    <t>V. Const.
US$</t>
  </si>
  <si>
    <t>A)</t>
  </si>
  <si>
    <t>B)</t>
  </si>
  <si>
    <t>a)</t>
  </si>
  <si>
    <t>b)</t>
  </si>
  <si>
    <t>C.-</t>
  </si>
  <si>
    <t>Techos:</t>
  </si>
  <si>
    <t>Pisos:</t>
  </si>
  <si>
    <t>Puertas y Ventanas</t>
  </si>
  <si>
    <t>Revestimientos</t>
  </si>
  <si>
    <t>Baños:</t>
  </si>
  <si>
    <t>Instalaciones</t>
  </si>
  <si>
    <t>R E S U M E N</t>
  </si>
  <si>
    <t>SERVIDUMBRES</t>
  </si>
  <si>
    <t>VALOR DEL</t>
  </si>
  <si>
    <t>Valor del</t>
  </si>
  <si>
    <t>PROPIETARIO</t>
  </si>
  <si>
    <t>D.-</t>
  </si>
  <si>
    <t>Edificación</t>
  </si>
  <si>
    <t>Estado</t>
  </si>
  <si>
    <t>años</t>
  </si>
  <si>
    <t>1.-</t>
  </si>
  <si>
    <t>TOTAL</t>
  </si>
  <si>
    <t>Antigüedad</t>
  </si>
  <si>
    <t>Deprec. %</t>
  </si>
  <si>
    <t>TERRENO</t>
  </si>
  <si>
    <t>VRA        =</t>
  </si>
  <si>
    <t xml:space="preserve">El inmueble materia de valuación se encuentra ubicado en: </t>
  </si>
  <si>
    <t>NOTA</t>
  </si>
  <si>
    <t>F</t>
  </si>
  <si>
    <t>La presente valuación no incluye estudio de títulos de propiedad.</t>
  </si>
  <si>
    <t>El nombre del propietario se consigna según la documentación presentada.</t>
  </si>
  <si>
    <t>PISOS</t>
  </si>
  <si>
    <t>SOTANOS</t>
  </si>
  <si>
    <t>TIPO</t>
  </si>
  <si>
    <t>3.-</t>
  </si>
  <si>
    <t>4.-</t>
  </si>
  <si>
    <t>5.-</t>
  </si>
  <si>
    <t>Otros</t>
  </si>
  <si>
    <t>USO</t>
  </si>
  <si>
    <t>Comercial</t>
  </si>
  <si>
    <t>Otro</t>
  </si>
  <si>
    <t>6.-</t>
  </si>
  <si>
    <t>7.-</t>
  </si>
  <si>
    <t>8.-</t>
  </si>
  <si>
    <t>9.-</t>
  </si>
  <si>
    <t>10.-</t>
  </si>
  <si>
    <t>Industrial</t>
  </si>
  <si>
    <t>ESTADO</t>
  </si>
  <si>
    <t>Madera</t>
  </si>
  <si>
    <t>VALOR DECLARADO EN US$</t>
  </si>
  <si>
    <t>INSCRIPCIÓN</t>
  </si>
  <si>
    <t>DESCRIPCIÓN</t>
  </si>
  <si>
    <t>OCUPACIÓN Y USOS</t>
  </si>
  <si>
    <t>DISTRIBUCIÓN</t>
  </si>
  <si>
    <t xml:space="preserve">EDIFICACIÓN </t>
  </si>
  <si>
    <t>DESARROLLO DE LA VALUACIÓN COMERCIAL</t>
  </si>
  <si>
    <t>VALOR DE LA EDIFICACIÓN</t>
  </si>
  <si>
    <t>VALOR DE REALIZACIÓN AUTOMÁTICA (V.R.A.)</t>
  </si>
  <si>
    <t>Descripción</t>
  </si>
  <si>
    <t>AREAS CONSTRUIDAS</t>
  </si>
  <si>
    <t>ANTIGÜEDAD, ESTADO Y DEPRECIACION</t>
  </si>
  <si>
    <t>ANTIGÜEDAD</t>
  </si>
  <si>
    <t>EDIFICACIÓN</t>
  </si>
  <si>
    <t>BAÑO DE OFICINA DE DIRECTOR</t>
  </si>
  <si>
    <t>OBJETIVO/ANTECEDENTES/METODOLOGÍA</t>
  </si>
  <si>
    <t>El objetivo del presente informe es determinar el valor de mercado y de realización del inmueble.</t>
  </si>
  <si>
    <t>La metodología aplicada en el presente informe es la indicada en el Reglamento Nacional de Tasaciones del Perú vigente a la fecha.</t>
  </si>
  <si>
    <t>Según Inspección ocular</t>
  </si>
  <si>
    <t>de  V.C.A.I.</t>
  </si>
  <si>
    <t>Valor Unit.
US$ /m2</t>
  </si>
  <si>
    <t>VALOR COMERCIAL DEL INMUEBLE (VCI)</t>
  </si>
  <si>
    <t>c)</t>
  </si>
  <si>
    <t>Según Ficha Registral</t>
  </si>
  <si>
    <t>Según Autoavalúo</t>
  </si>
  <si>
    <t>a.</t>
  </si>
  <si>
    <t>Detalle</t>
  </si>
  <si>
    <t>Área Ocupada</t>
  </si>
  <si>
    <t>d)</t>
  </si>
  <si>
    <t>e)</t>
  </si>
  <si>
    <t>Terreno matriz</t>
  </si>
  <si>
    <t>Factor de Reajuste Comercial de:</t>
  </si>
  <si>
    <t>ENTORNO URBANO E INFRAESTRUCTURA DE SERVICIOS</t>
  </si>
  <si>
    <r>
      <t>ÁREA DE TERRENO</t>
    </r>
    <r>
      <rPr>
        <b/>
        <sz val="10.5"/>
        <rFont val="Arial"/>
        <family val="2"/>
      </rPr>
      <t xml:space="preserve"> </t>
    </r>
  </si>
  <si>
    <r>
      <t>m</t>
    </r>
    <r>
      <rPr>
        <vertAlign val="superscript"/>
        <sz val="10"/>
        <rFont val="Arial"/>
        <family val="2"/>
      </rPr>
      <t>2</t>
    </r>
  </si>
  <si>
    <r>
      <t>m</t>
    </r>
    <r>
      <rPr>
        <b/>
        <vertAlign val="superscript"/>
        <sz val="10"/>
        <rFont val="Arial"/>
        <family val="2"/>
      </rPr>
      <t>2</t>
    </r>
  </si>
  <si>
    <r>
      <t>ZONIFICACION</t>
    </r>
    <r>
      <rPr>
        <sz val="10.5"/>
        <rFont val="Arial"/>
        <family val="2"/>
      </rPr>
      <t xml:space="preserve"> </t>
    </r>
    <r>
      <rPr>
        <sz val="10"/>
        <rFont val="Arial"/>
        <family val="2"/>
      </rPr>
      <t>(Referencial / No Oficial)</t>
    </r>
  </si>
  <si>
    <t>f)</t>
  </si>
  <si>
    <t>El presente informe no considera los vicios ocultos que tenga el inmueble que no han podido ser identificados en el momento de la inspección o que pudiese tener el inmueble a futuro.</t>
  </si>
  <si>
    <t>BANBIF</t>
  </si>
  <si>
    <t>CLIENTE DE</t>
  </si>
  <si>
    <t>CHECKLIST VARIABLES AMBIENTALES PARA INMUEBLES Y PROYECTOS INMOBILIARIOS</t>
  </si>
  <si>
    <t>Inmueble en zona:</t>
  </si>
  <si>
    <t>Residencial</t>
  </si>
  <si>
    <t>Rústico</t>
  </si>
  <si>
    <t>Otros:</t>
  </si>
  <si>
    <t>Entorno:</t>
  </si>
  <si>
    <t>Consolidado</t>
  </si>
  <si>
    <t>No homogéneo</t>
  </si>
  <si>
    <t>Homogéneo</t>
  </si>
  <si>
    <t>Patrimonio cultural</t>
  </si>
  <si>
    <t>Área protegida</t>
  </si>
  <si>
    <t>g)</t>
  </si>
  <si>
    <t>No consolidado</t>
  </si>
  <si>
    <t>¿Existe Riesgo de deslizamiento que pueda afectar el inmueble?</t>
  </si>
  <si>
    <t>Si</t>
  </si>
  <si>
    <t>No</t>
  </si>
  <si>
    <t>¿Existe Riesgo de inundación?</t>
  </si>
  <si>
    <t>¿Se encuentra cerca de una ribera de rio, orillas del mar?</t>
  </si>
  <si>
    <t>Indicar si el inmueble tiene ladera inestables, excavaciones, rellenos:</t>
  </si>
  <si>
    <t>¿Hay actividad industrial cerca del inmueble?</t>
  </si>
  <si>
    <t>¿Cuál?</t>
  </si>
  <si>
    <t>¿Existe alguna actividad cerca de la propiedad que pueda causar contaminación?</t>
  </si>
  <si>
    <t>Detalle cualquier material potencial con asbesto observado (tuberías, materiales para pared, piso, techo) e indique la condición (intacta, dañada).</t>
  </si>
  <si>
    <t>Detalle cualquier evidencia de relleno, botadero en los alrededores de la propiedad.</t>
  </si>
  <si>
    <t>Se encuentra la fábrica debidamente inscrita en Registros Públicos</t>
  </si>
  <si>
    <t>¿Existen otras variables que puedan ocasionar pérdida en el valor de la propiedad?</t>
  </si>
  <si>
    <t>¿Cuáles?</t>
  </si>
  <si>
    <t>LLENAR EN EL CASO DE INMUEBLES DE USO INDUSTRIALY/O COMERCIAL</t>
  </si>
  <si>
    <t>11.-</t>
  </si>
  <si>
    <t>¿Existe derrames de hidrocarburos en el inmueble, manchas de aceite, etc.?</t>
  </si>
  <si>
    <t>Descripción:</t>
  </si>
  <si>
    <t>12.-</t>
  </si>
  <si>
    <t>Indicar que no haya vertidos de aguas residuales sin tratamiento hacia quebradas, ríos o suelos.</t>
  </si>
  <si>
    <t>13.-</t>
  </si>
  <si>
    <t>Liste cualquier otro tema como por ejemplo: limpieza, daños a la fábrica, temas de desagüe, temas de seguridad para los trabajadores.</t>
  </si>
  <si>
    <t>Inspección realizada por:</t>
  </si>
  <si>
    <t>Nombre:</t>
  </si>
  <si>
    <t>Fecha:</t>
  </si>
  <si>
    <t>Firma:</t>
  </si>
  <si>
    <t>VANET S.A.C.</t>
  </si>
  <si>
    <t>VANET S.A.C. sólo se responsabiliza por los valores vertidos en el presente informe, los cuales son determinados en base a la documentación presentada.</t>
  </si>
  <si>
    <t>ANEXO</t>
  </si>
  <si>
    <t>CLIENTE</t>
  </si>
  <si>
    <t>DIRECCION</t>
  </si>
  <si>
    <t xml:space="preserve">NUMERO DE </t>
  </si>
  <si>
    <t>AÑO</t>
  </si>
  <si>
    <t>M.C.P (*)</t>
  </si>
  <si>
    <t>AVENIDA</t>
  </si>
  <si>
    <t>MZ</t>
  </si>
  <si>
    <t>LOTE</t>
  </si>
  <si>
    <t>DISTRITO</t>
  </si>
  <si>
    <t>PROVINCIA</t>
  </si>
  <si>
    <t>DEPARTAMENTO</t>
  </si>
  <si>
    <t>CONSTRUCCION</t>
  </si>
  <si>
    <t>(I)</t>
  </si>
  <si>
    <t>(II)</t>
  </si>
  <si>
    <t>(IV)</t>
  </si>
  <si>
    <t>EDIFICACIONES</t>
  </si>
  <si>
    <t>(*) M.C.P = Material de construcción predominante</t>
  </si>
  <si>
    <t>Tipo (I)</t>
  </si>
  <si>
    <t>Uso (I)</t>
  </si>
  <si>
    <t>Estado (II)</t>
  </si>
  <si>
    <t>MCP (IV)</t>
  </si>
  <si>
    <t>1.- Inmueble hasta 04 Pisos</t>
  </si>
  <si>
    <t>1.- Vivienda</t>
  </si>
  <si>
    <t>1.- Terreno Cercado</t>
  </si>
  <si>
    <t>1.- Concreto Armado</t>
  </si>
  <si>
    <t>2.- Inmueble entre 05 y 10 pisos</t>
  </si>
  <si>
    <t>2.- Oficina</t>
  </si>
  <si>
    <t>2.- En Construcción</t>
  </si>
  <si>
    <t>2.- Ladrillo y cemento</t>
  </si>
  <si>
    <t>3.- Inmueble + de 10 pisos</t>
  </si>
  <si>
    <t>3.- Taller</t>
  </si>
  <si>
    <t>3.- Construido con 1 M.C.P.</t>
  </si>
  <si>
    <t>3.- Estructura de acero / metálica</t>
  </si>
  <si>
    <t>4.- Nave Industrial</t>
  </si>
  <si>
    <t>4.- Comercial</t>
  </si>
  <si>
    <t>4.- Construido con + M.C.P.</t>
  </si>
  <si>
    <t>4.- Adobe / Quincha</t>
  </si>
  <si>
    <t>5.- Otros</t>
  </si>
  <si>
    <t>5.- Industrial</t>
  </si>
  <si>
    <t>5.- Construido por Etapas</t>
  </si>
  <si>
    <t>5.- Madera</t>
  </si>
  <si>
    <t>6.- Almacén</t>
  </si>
  <si>
    <t>6.- Otro</t>
  </si>
  <si>
    <t>7.- Colegio</t>
  </si>
  <si>
    <t>8.- Centro de Salud</t>
  </si>
  <si>
    <t>9.- Mina</t>
  </si>
  <si>
    <t>10.- Otro</t>
  </si>
  <si>
    <r>
      <t xml:space="preserve">Nota.- </t>
    </r>
    <r>
      <rPr>
        <sz val="10"/>
        <rFont val="Arial"/>
        <family val="2"/>
      </rPr>
      <t>Se recomienda solicitar Certificado de Parámetros.</t>
    </r>
  </si>
  <si>
    <t>Zonificación</t>
  </si>
  <si>
    <t>Área de terreno  m2</t>
  </si>
  <si>
    <t>Área construida  m2</t>
  </si>
  <si>
    <t xml:space="preserve">                                                                                                                                                                                                                                                                                                                                                                                                                                                                                                                                                                                                                                                                                                                                                                                                                                                                                                                                                                                                                                                                                                                                                                                                                                                                                                                                                                                                                                                                                                                                                                                                                                                                                                                                                                                                                                                                                                                                                                                                                                                                                                                                                                                                                                                                                                                                                                                                                                                                                                                                                                                                                                                                                                                                                                                                                                                                                                                                                                                                                                                                                                                                                                                                                                                                                                                                                                                                                                                                                                                                                                                                                                                                                                                                                                                                                                                                                                                                                                                                                                                                                                                                                                                                                                    </t>
  </si>
  <si>
    <t>DESARROLLO DEL IMPORTE ASEGURABLE</t>
  </si>
  <si>
    <t>VALOR DE TERRENO</t>
  </si>
  <si>
    <t>No se considera para efectos del IMPORTE ASEGURABLE</t>
  </si>
  <si>
    <t>VALOR DEL IMPORTE ASEGURABLE (VIA)</t>
  </si>
  <si>
    <r>
      <t xml:space="preserve">Para determinar el valor de mercado del </t>
    </r>
    <r>
      <rPr>
        <b/>
        <sz val="8"/>
        <rFont val="Arial"/>
        <family val="2"/>
      </rPr>
      <t>TERRENO</t>
    </r>
    <r>
      <rPr>
        <sz val="10"/>
        <rFont val="Arial"/>
        <family val="2"/>
      </rPr>
      <t xml:space="preserve"> se han tomado en consideración las últimas operaciones de compra venta de los inmuebles adyacentes al que es materia de valuación por ser de características similares; así mismo, se ha considerado la oferta y demanda existente para inmuebles de condiciones semejantes.</t>
    </r>
  </si>
  <si>
    <t>PLANTILLA DE CARGA MASIVA DE DETALLE DE GARANTÍA</t>
  </si>
  <si>
    <t>Ubicación</t>
  </si>
  <si>
    <t>Bien</t>
  </si>
  <si>
    <t>Nro registro</t>
  </si>
  <si>
    <t>Tipo de vía</t>
  </si>
  <si>
    <t>Nombre de vía</t>
  </si>
  <si>
    <t>Nro</t>
  </si>
  <si>
    <t>Interior</t>
  </si>
  <si>
    <t>Urbanización</t>
  </si>
  <si>
    <t>Departamento</t>
  </si>
  <si>
    <t>Provincia</t>
  </si>
  <si>
    <t>Distrito</t>
  </si>
  <si>
    <t>Referencia</t>
  </si>
  <si>
    <t>Tipo de bien</t>
  </si>
  <si>
    <t>Número de motor</t>
  </si>
  <si>
    <t>Número de serie</t>
  </si>
  <si>
    <t>Número de placa</t>
  </si>
  <si>
    <t>Año</t>
  </si>
  <si>
    <t>Modelo</t>
  </si>
  <si>
    <t>Marca</t>
  </si>
  <si>
    <t>Valor comercial</t>
  </si>
  <si>
    <t>Valor de realización</t>
  </si>
  <si>
    <t>Valor de terreno</t>
  </si>
  <si>
    <t>Valor de edificación</t>
  </si>
  <si>
    <t>Valor de obras complementarias</t>
  </si>
  <si>
    <t>Valor de areas comunes</t>
  </si>
  <si>
    <t>Valor de area no declarado</t>
  </si>
  <si>
    <t>Valor similar a nuevo</t>
  </si>
  <si>
    <t>Valor asegurable</t>
  </si>
  <si>
    <t>Area de terreno (m2)</t>
  </si>
  <si>
    <t>Contacto</t>
  </si>
  <si>
    <t>0014</t>
  </si>
  <si>
    <t>0028</t>
  </si>
  <si>
    <t>0088</t>
  </si>
  <si>
    <t>Codigo</t>
  </si>
  <si>
    <t>Nombre</t>
  </si>
  <si>
    <t>0001</t>
  </si>
  <si>
    <t xml:space="preserve">CENTRIFUGA                         </t>
  </si>
  <si>
    <t>0002</t>
  </si>
  <si>
    <t xml:space="preserve">CALDERA                            </t>
  </si>
  <si>
    <t>0003</t>
  </si>
  <si>
    <t xml:space="preserve">PRENSA                             </t>
  </si>
  <si>
    <t>0004</t>
  </si>
  <si>
    <t xml:space="preserve">VAPORIZADOR                        </t>
  </si>
  <si>
    <t>0005</t>
  </si>
  <si>
    <t xml:space="preserve">SOLDADORA                          </t>
  </si>
  <si>
    <t>0006</t>
  </si>
  <si>
    <t xml:space="preserve">CARGADOR FRONTA                    </t>
  </si>
  <si>
    <t>0007</t>
  </si>
  <si>
    <t xml:space="preserve">RETROEXCAVADORA                    </t>
  </si>
  <si>
    <t>0008</t>
  </si>
  <si>
    <t xml:space="preserve">MOTONIVELADORA                     </t>
  </si>
  <si>
    <t>0009</t>
  </si>
  <si>
    <t xml:space="preserve">MAQ - EQP INDL                     </t>
  </si>
  <si>
    <t>0010</t>
  </si>
  <si>
    <t xml:space="preserve">PLANTA INDL                        </t>
  </si>
  <si>
    <t>0011</t>
  </si>
  <si>
    <t xml:space="preserve">COMPUTADORA                        </t>
  </si>
  <si>
    <t>0012</t>
  </si>
  <si>
    <t xml:space="preserve">IMPRESORA                          </t>
  </si>
  <si>
    <t>0013</t>
  </si>
  <si>
    <t xml:space="preserve">CASA                               </t>
  </si>
  <si>
    <t xml:space="preserve">DEPARTAMENTO                       </t>
  </si>
  <si>
    <t>0015</t>
  </si>
  <si>
    <t xml:space="preserve">LOCAL COMERCIAL                    </t>
  </si>
  <si>
    <t>0016</t>
  </si>
  <si>
    <t xml:space="preserve">LOCAL INDUSTRIA                    </t>
  </si>
  <si>
    <t>0017</t>
  </si>
  <si>
    <t xml:space="preserve">TERRENO                            </t>
  </si>
  <si>
    <t>0018</t>
  </si>
  <si>
    <t xml:space="preserve">MOTOBOMBA                          </t>
  </si>
  <si>
    <t>0019</t>
  </si>
  <si>
    <t xml:space="preserve">MEZCLADORA                         </t>
  </si>
  <si>
    <t>0020</t>
  </si>
  <si>
    <t xml:space="preserve">TALADRO                            </t>
  </si>
  <si>
    <t>0021</t>
  </si>
  <si>
    <t xml:space="preserve">ROMPEPAVIMENTO                     </t>
  </si>
  <si>
    <t>0022</t>
  </si>
  <si>
    <t xml:space="preserve">EDIFICIO                           </t>
  </si>
  <si>
    <t>0023</t>
  </si>
  <si>
    <t xml:space="preserve">HOSTAL                             </t>
  </si>
  <si>
    <t>0024</t>
  </si>
  <si>
    <t xml:space="preserve">HOTEL                              </t>
  </si>
  <si>
    <t>0025</t>
  </si>
  <si>
    <t xml:space="preserve">FUNDO AGRICOLA                     </t>
  </si>
  <si>
    <t>0026</t>
  </si>
  <si>
    <t xml:space="preserve">FUNDO GANADERO                     </t>
  </si>
  <si>
    <t>0027</t>
  </si>
  <si>
    <t xml:space="preserve">OFICINA                            </t>
  </si>
  <si>
    <t xml:space="preserve">ESTACIONAMIENTO                    </t>
  </si>
  <si>
    <t>0029</t>
  </si>
  <si>
    <t xml:space="preserve">EMBARCACION                        </t>
  </si>
  <si>
    <t>0030</t>
  </si>
  <si>
    <t xml:space="preserve">TIENDA                             </t>
  </si>
  <si>
    <t>0031</t>
  </si>
  <si>
    <t xml:space="preserve">GRANJA                             </t>
  </si>
  <si>
    <t>0032</t>
  </si>
  <si>
    <t xml:space="preserve">LOCAL ESCOLAR                      </t>
  </si>
  <si>
    <t>0033</t>
  </si>
  <si>
    <t xml:space="preserve">ALMACEN                            </t>
  </si>
  <si>
    <t>0034</t>
  </si>
  <si>
    <t xml:space="preserve">DISPENSADOR                        </t>
  </si>
  <si>
    <t>0035</t>
  </si>
  <si>
    <t xml:space="preserve">COMPRESORA                         </t>
  </si>
  <si>
    <t>0036</t>
  </si>
  <si>
    <t xml:space="preserve">DESENLLANTADORA                    </t>
  </si>
  <si>
    <t>0037</t>
  </si>
  <si>
    <t xml:space="preserve">VULCANIZADORA                      </t>
  </si>
  <si>
    <t>0038</t>
  </si>
  <si>
    <t xml:space="preserve">GRUPO ELECTROGE                    </t>
  </si>
  <si>
    <t>0039</t>
  </si>
  <si>
    <t xml:space="preserve">ACCESORIOS                         </t>
  </si>
  <si>
    <t>0040</t>
  </si>
  <si>
    <t xml:space="preserve">CONT. INSULARES                    </t>
  </si>
  <si>
    <t>0041</t>
  </si>
  <si>
    <t xml:space="preserve">EQU. DE MARCAJE                    </t>
  </si>
  <si>
    <t>0042</t>
  </si>
  <si>
    <t xml:space="preserve">MONTACARGA                         </t>
  </si>
  <si>
    <t>0043</t>
  </si>
  <si>
    <t xml:space="preserve">AUTO                               </t>
  </si>
  <si>
    <t>0044</t>
  </si>
  <si>
    <t xml:space="preserve">TELAR                              </t>
  </si>
  <si>
    <t>0045</t>
  </si>
  <si>
    <t xml:space="preserve">CONF DE SOBRES                     </t>
  </si>
  <si>
    <t>0046</t>
  </si>
  <si>
    <t xml:space="preserve">FAB DE SOBRES                      </t>
  </si>
  <si>
    <t>0047</t>
  </si>
  <si>
    <t xml:space="preserve">DOB E IMP DE PA                    </t>
  </si>
  <si>
    <t>0048</t>
  </si>
  <si>
    <t xml:space="preserve">IMPRE. OFFSET                      </t>
  </si>
  <si>
    <t>0049</t>
  </si>
  <si>
    <t xml:space="preserve">CONV DE PAPEL                      </t>
  </si>
  <si>
    <t>0050</t>
  </si>
  <si>
    <t xml:space="preserve">CORT DE PAPEL                      </t>
  </si>
  <si>
    <t>0051</t>
  </si>
  <si>
    <t xml:space="preserve">GUILLOTINA                         </t>
  </si>
  <si>
    <t>0052</t>
  </si>
  <si>
    <t xml:space="preserve">REBOBINADORA                       </t>
  </si>
  <si>
    <t>0053</t>
  </si>
  <si>
    <t xml:space="preserve">INTERCALADORA                      </t>
  </si>
  <si>
    <t>0054</t>
  </si>
  <si>
    <t xml:space="preserve">COMPACTADORA                       </t>
  </si>
  <si>
    <t>0055</t>
  </si>
  <si>
    <t xml:space="preserve">PAPEL                              </t>
  </si>
  <si>
    <t>0056</t>
  </si>
  <si>
    <t xml:space="preserve">CONSERVAS                          </t>
  </si>
  <si>
    <t>0057</t>
  </si>
  <si>
    <t xml:space="preserve">GRUA                               </t>
  </si>
  <si>
    <t>0058</t>
  </si>
  <si>
    <t xml:space="preserve">ENV.PROD.FARMAC                    </t>
  </si>
  <si>
    <t>0059</t>
  </si>
  <si>
    <t xml:space="preserve">TANQUE CISTERNA                    </t>
  </si>
  <si>
    <t>0060</t>
  </si>
  <si>
    <t xml:space="preserve">LAVADORA                           </t>
  </si>
  <si>
    <t>0061</t>
  </si>
  <si>
    <t xml:space="preserve">SECADORA VAPOR                     </t>
  </si>
  <si>
    <t>0062</t>
  </si>
  <si>
    <t xml:space="preserve">TRANSPORTADOR                      </t>
  </si>
  <si>
    <t>0063</t>
  </si>
  <si>
    <t xml:space="preserve">PLANCHA/ACERO                      </t>
  </si>
  <si>
    <t>0064</t>
  </si>
  <si>
    <t xml:space="preserve">TRACTO CAMION                      </t>
  </si>
  <si>
    <t>0065</t>
  </si>
  <si>
    <t xml:space="preserve">ABARROTES                          </t>
  </si>
  <si>
    <t>0066</t>
  </si>
  <si>
    <t xml:space="preserve">PLASTICOS                          </t>
  </si>
  <si>
    <t>0067</t>
  </si>
  <si>
    <t xml:space="preserve">CAFE                               </t>
  </si>
  <si>
    <t>0068</t>
  </si>
  <si>
    <t xml:space="preserve">MAQ. SERIGRAFIC                    </t>
  </si>
  <si>
    <t>0069</t>
  </si>
  <si>
    <t xml:space="preserve">ELECTRODOMESTI                     </t>
  </si>
  <si>
    <t>0070</t>
  </si>
  <si>
    <t xml:space="preserve">TROQUELADORA                       </t>
  </si>
  <si>
    <t>0071</t>
  </si>
  <si>
    <t xml:space="preserve">PRENDAS DE VES                     </t>
  </si>
  <si>
    <t>0072</t>
  </si>
  <si>
    <t xml:space="preserve">VIBRADORA                          </t>
  </si>
  <si>
    <t>0073</t>
  </si>
  <si>
    <t xml:space="preserve">PROD QUIMICOS                      </t>
  </si>
  <si>
    <t>0074</t>
  </si>
  <si>
    <t xml:space="preserve">ART LIM - PER                      </t>
  </si>
  <si>
    <t>0075</t>
  </si>
  <si>
    <t xml:space="preserve">PLANCHAS FIERRO                    </t>
  </si>
  <si>
    <t>0076</t>
  </si>
  <si>
    <t xml:space="preserve">THERMO SELLADOR                    </t>
  </si>
  <si>
    <t>0077</t>
  </si>
  <si>
    <t xml:space="preserve">INSUMOS                            </t>
  </si>
  <si>
    <t>0078</t>
  </si>
  <si>
    <t xml:space="preserve">NEUMATICOS                         </t>
  </si>
  <si>
    <t>0079</t>
  </si>
  <si>
    <t xml:space="preserve">PROD TERMINADOS                    </t>
  </si>
  <si>
    <t>0080</t>
  </si>
  <si>
    <t xml:space="preserve">PERFORADORA                        </t>
  </si>
  <si>
    <t>0081</t>
  </si>
  <si>
    <t xml:space="preserve">EQ. ELECTRONICO                    </t>
  </si>
  <si>
    <t>0082</t>
  </si>
  <si>
    <t xml:space="preserve">TALLER                             </t>
  </si>
  <si>
    <t>0083</t>
  </si>
  <si>
    <t xml:space="preserve">ALIM P/ANIMALES                    </t>
  </si>
  <si>
    <t>0084</t>
  </si>
  <si>
    <t xml:space="preserve">CONDOMINIO                         </t>
  </si>
  <si>
    <t>0085</t>
  </si>
  <si>
    <t xml:space="preserve">AZOTEA                             </t>
  </si>
  <si>
    <t>0086</t>
  </si>
  <si>
    <t xml:space="preserve">HERRAMIENTAS                       </t>
  </si>
  <si>
    <t>0087</t>
  </si>
  <si>
    <t xml:space="preserve">CAMIONES                           </t>
  </si>
  <si>
    <t xml:space="preserve">DEPOSITO                           </t>
  </si>
  <si>
    <t>0089</t>
  </si>
  <si>
    <t xml:space="preserve">COMESTIBLES                        </t>
  </si>
  <si>
    <t>0090</t>
  </si>
  <si>
    <t xml:space="preserve">MARCA DE PRODUC                    </t>
  </si>
  <si>
    <t>0091</t>
  </si>
  <si>
    <t xml:space="preserve">SURTIDOR                           </t>
  </si>
  <si>
    <t>0092</t>
  </si>
  <si>
    <t xml:space="preserve">PROD.FARMAC.                       </t>
  </si>
  <si>
    <t>0093</t>
  </si>
  <si>
    <t xml:space="preserve">TERRE.AGROINDUS                    </t>
  </si>
  <si>
    <t>0094</t>
  </si>
  <si>
    <t xml:space="preserve">ART.FERRETEROS                     </t>
  </si>
  <si>
    <t>0095</t>
  </si>
  <si>
    <t xml:space="preserve">PATIO                              </t>
  </si>
  <si>
    <t>0096</t>
  </si>
  <si>
    <t xml:space="preserve">OMNIBUS                            </t>
  </si>
  <si>
    <t>0097</t>
  </si>
  <si>
    <t xml:space="preserve">EQUIPOS MEDICOS                    </t>
  </si>
  <si>
    <t>AV</t>
  </si>
  <si>
    <t xml:space="preserve">AVENIDA                        AV. </t>
  </si>
  <si>
    <t>CL</t>
  </si>
  <si>
    <t>CALLE                          CAL.</t>
  </si>
  <si>
    <t>JR</t>
  </si>
  <si>
    <t xml:space="preserve">JIRON                          JR. </t>
  </si>
  <si>
    <t xml:space="preserve">MANZANA                        BL. </t>
  </si>
  <si>
    <t>PJ</t>
  </si>
  <si>
    <t>PASAJE                         PSJ.</t>
  </si>
  <si>
    <t>PZ</t>
  </si>
  <si>
    <t>PLAZA - PLAZUELA               PZA.</t>
  </si>
  <si>
    <t>AL</t>
  </si>
  <si>
    <t>ALAMEDA                        ALM.</t>
  </si>
  <si>
    <t>BA</t>
  </si>
  <si>
    <t>BAJADA                         BAJ.</t>
  </si>
  <si>
    <t>CA</t>
  </si>
  <si>
    <t>CARRETERA                      CAR.</t>
  </si>
  <si>
    <t>GA</t>
  </si>
  <si>
    <t>GALERIA                        GAL.</t>
  </si>
  <si>
    <t>MA</t>
  </si>
  <si>
    <t>MALECON                        MLC.</t>
  </si>
  <si>
    <t>OV</t>
  </si>
  <si>
    <t>OVALO                          OVL.</t>
  </si>
  <si>
    <t>PQ</t>
  </si>
  <si>
    <t xml:space="preserve">PARQUE                         PQ. </t>
  </si>
  <si>
    <t>PR</t>
  </si>
  <si>
    <t>PROLONGACION                   PRO.</t>
  </si>
  <si>
    <t>PS</t>
  </si>
  <si>
    <t>PASEO                          PAS.</t>
  </si>
  <si>
    <t>PO</t>
  </si>
  <si>
    <t>PORTAL                         POR.</t>
  </si>
  <si>
    <t>RA</t>
  </si>
  <si>
    <t>RAMAL                          RAM.</t>
  </si>
  <si>
    <t>SR</t>
  </si>
  <si>
    <t>SUB RAMAL                      SBR.</t>
  </si>
  <si>
    <t>01</t>
  </si>
  <si>
    <t xml:space="preserve">AMAZONAS                                                    </t>
  </si>
  <si>
    <t xml:space="preserve">CHACHAPOYAS                                                 </t>
  </si>
  <si>
    <t>02</t>
  </si>
  <si>
    <t xml:space="preserve">ANCASH                                                      </t>
  </si>
  <si>
    <t xml:space="preserve">BAGUA                                                       </t>
  </si>
  <si>
    <t xml:space="preserve">ASUNCION                                                    </t>
  </si>
  <si>
    <t>03</t>
  </si>
  <si>
    <t xml:space="preserve">APURIMAC                                                    </t>
  </si>
  <si>
    <t xml:space="preserve">BONGARA                                                     </t>
  </si>
  <si>
    <t xml:space="preserve">BALSAS                                                      </t>
  </si>
  <si>
    <t>04</t>
  </si>
  <si>
    <t xml:space="preserve">AREQUIPA                                                    </t>
  </si>
  <si>
    <t xml:space="preserve">CONDORCANQUI                                                </t>
  </si>
  <si>
    <t xml:space="preserve">CHETO                                                       </t>
  </si>
  <si>
    <t>05</t>
  </si>
  <si>
    <t xml:space="preserve">AYACUCHO                                                    </t>
  </si>
  <si>
    <t xml:space="preserve">LUYA                                                        </t>
  </si>
  <si>
    <t xml:space="preserve">CHILIQUIN                                                   </t>
  </si>
  <si>
    <t>06</t>
  </si>
  <si>
    <t xml:space="preserve">CAJAMARCA                                                   </t>
  </si>
  <si>
    <t xml:space="preserve">RODRIGUEZ DE MENDOZA                                        </t>
  </si>
  <si>
    <t xml:space="preserve">CHUQUIBAMBA                                                 </t>
  </si>
  <si>
    <t>07</t>
  </si>
  <si>
    <t xml:space="preserve">CALLAO                                                      </t>
  </si>
  <si>
    <t xml:space="preserve">UTCUBAMBA                                                   </t>
  </si>
  <si>
    <t xml:space="preserve">GRANADA                                                     </t>
  </si>
  <si>
    <t>08</t>
  </si>
  <si>
    <t xml:space="preserve">CUSCO                                                       </t>
  </si>
  <si>
    <t xml:space="preserve">HUARAZ                                                      </t>
  </si>
  <si>
    <t xml:space="preserve">HUANCAS                                                     </t>
  </si>
  <si>
    <t>09</t>
  </si>
  <si>
    <t xml:space="preserve">HUANCAVELICA                                                </t>
  </si>
  <si>
    <t xml:space="preserve">AIJA                                                        </t>
  </si>
  <si>
    <t xml:space="preserve">LA JALCA                                                    </t>
  </si>
  <si>
    <t>10</t>
  </si>
  <si>
    <t xml:space="preserve">HUANUCO                                                     </t>
  </si>
  <si>
    <t xml:space="preserve">ANTONIO RAYMONDI                                            </t>
  </si>
  <si>
    <t xml:space="preserve">LEIMEBAMBA                                                  </t>
  </si>
  <si>
    <t>11</t>
  </si>
  <si>
    <t xml:space="preserve">ICA                                                         </t>
  </si>
  <si>
    <t xml:space="preserve">LEVANTO                                                     </t>
  </si>
  <si>
    <t>12</t>
  </si>
  <si>
    <t xml:space="preserve">JUNIN                                                       </t>
  </si>
  <si>
    <t xml:space="preserve">BOLOGNESI                                                   </t>
  </si>
  <si>
    <t xml:space="preserve">MAGDALENA                                                   </t>
  </si>
  <si>
    <t>13</t>
  </si>
  <si>
    <t xml:space="preserve">LA LIBERTAD                                                 </t>
  </si>
  <si>
    <t xml:space="preserve">CARHUAZ                                                     </t>
  </si>
  <si>
    <t xml:space="preserve">MARISCAL CASTILLA                                           </t>
  </si>
  <si>
    <t>14</t>
  </si>
  <si>
    <t xml:space="preserve">LAMBAYEQUE                                                  </t>
  </si>
  <si>
    <t xml:space="preserve">CARLOS FERMIN FITZCARRALD                                   </t>
  </si>
  <si>
    <t xml:space="preserve">MOLINOPAMPA                                                 </t>
  </si>
  <si>
    <t>15</t>
  </si>
  <si>
    <t xml:space="preserve">LIMA                                                        </t>
  </si>
  <si>
    <t xml:space="preserve">CASMA                                                       </t>
  </si>
  <si>
    <t xml:space="preserve">MONTEVIDEO                                                  </t>
  </si>
  <si>
    <t>16</t>
  </si>
  <si>
    <t xml:space="preserve">LORETO                                                      </t>
  </si>
  <si>
    <t xml:space="preserve">CORONGO                                                     </t>
  </si>
  <si>
    <t xml:space="preserve">OLLEROS                                                     </t>
  </si>
  <si>
    <t>17</t>
  </si>
  <si>
    <t xml:space="preserve">MADRE DE DIOS                                               </t>
  </si>
  <si>
    <t xml:space="preserve">HUARI                                                       </t>
  </si>
  <si>
    <t xml:space="preserve">QUINJALCA                                                   </t>
  </si>
  <si>
    <t>18</t>
  </si>
  <si>
    <t xml:space="preserve">MOQUEGUA                                                    </t>
  </si>
  <si>
    <t xml:space="preserve">HUARMEY                                                     </t>
  </si>
  <si>
    <t xml:space="preserve">SAN FRANCISCO DE DAGUAS                                     </t>
  </si>
  <si>
    <t>19</t>
  </si>
  <si>
    <t xml:space="preserve">PASCO                                                       </t>
  </si>
  <si>
    <t xml:space="preserve">HUAYLAS                                                     </t>
  </si>
  <si>
    <t xml:space="preserve">SAN ISIDRO DE MAINO                                         </t>
  </si>
  <si>
    <t>20</t>
  </si>
  <si>
    <t xml:space="preserve">PIURA                                                       </t>
  </si>
  <si>
    <t xml:space="preserve">MARISCAL LUZURIAGA                                          </t>
  </si>
  <si>
    <t xml:space="preserve">SOLOCO                                                      </t>
  </si>
  <si>
    <t>21</t>
  </si>
  <si>
    <t xml:space="preserve">PUNO                                                        </t>
  </si>
  <si>
    <t xml:space="preserve">OCROS                                                       </t>
  </si>
  <si>
    <t xml:space="preserve">SONCHE                                                      </t>
  </si>
  <si>
    <t>22</t>
  </si>
  <si>
    <t xml:space="preserve">SAN MARTIN                                                  </t>
  </si>
  <si>
    <t xml:space="preserve">PALLASCA                                                    </t>
  </si>
  <si>
    <t xml:space="preserve">LA PECA                                                     </t>
  </si>
  <si>
    <t>23</t>
  </si>
  <si>
    <t xml:space="preserve">TACNA                                                       </t>
  </si>
  <si>
    <t xml:space="preserve">POMABAMBA                                                   </t>
  </si>
  <si>
    <t xml:space="preserve">ARAMANGO                                                    </t>
  </si>
  <si>
    <t>24</t>
  </si>
  <si>
    <t xml:space="preserve">TUMBES                                                      </t>
  </si>
  <si>
    <t xml:space="preserve">RECUAY                                                      </t>
  </si>
  <si>
    <t xml:space="preserve">COPALLIN                                                    </t>
  </si>
  <si>
    <t>25</t>
  </si>
  <si>
    <t xml:space="preserve">UCAYALI                                                     </t>
  </si>
  <si>
    <t xml:space="preserve">SANTA                                                       </t>
  </si>
  <si>
    <t xml:space="preserve">EL PARCO                                                    </t>
  </si>
  <si>
    <t xml:space="preserve">SIHUAS                                                      </t>
  </si>
  <si>
    <t xml:space="preserve">IMAZA                                                       </t>
  </si>
  <si>
    <t xml:space="preserve">YUNGAY                                                      </t>
  </si>
  <si>
    <t xml:space="preserve">JUMBILLA                                                    </t>
  </si>
  <si>
    <t xml:space="preserve">ABANCAY                                                     </t>
  </si>
  <si>
    <t xml:space="preserve">CHISQUILLA                                                  </t>
  </si>
  <si>
    <t xml:space="preserve">ANDAHUAYLAS                                                 </t>
  </si>
  <si>
    <t xml:space="preserve">CHURUJA                                                     </t>
  </si>
  <si>
    <t xml:space="preserve">ANTABAMBA                                                   </t>
  </si>
  <si>
    <t xml:space="preserve">COROSHA                                                     </t>
  </si>
  <si>
    <t xml:space="preserve">AYMARAES                                                    </t>
  </si>
  <si>
    <t xml:space="preserve">CUISPES                                                     </t>
  </si>
  <si>
    <t xml:space="preserve">COTABAMBAS                                                  </t>
  </si>
  <si>
    <t xml:space="preserve">FLORIDA                                                     </t>
  </si>
  <si>
    <t xml:space="preserve">CHINCHEROS                                                  </t>
  </si>
  <si>
    <t xml:space="preserve">JAZAN                                                       </t>
  </si>
  <si>
    <t xml:space="preserve">GRAU                                                        </t>
  </si>
  <si>
    <t xml:space="preserve">RECTA                                                       </t>
  </si>
  <si>
    <t xml:space="preserve">SAN CARLOS                                                  </t>
  </si>
  <si>
    <t xml:space="preserve">CAMANA                                                      </t>
  </si>
  <si>
    <t xml:space="preserve">SHIPASBAMBA                                                 </t>
  </si>
  <si>
    <t xml:space="preserve">CARAVELI                                                    </t>
  </si>
  <si>
    <t xml:space="preserve">VALERA                                                      </t>
  </si>
  <si>
    <t xml:space="preserve">CASTILLA                                                    </t>
  </si>
  <si>
    <t xml:space="preserve">YAMBRASBAMBA                                                </t>
  </si>
  <si>
    <t xml:space="preserve">CAYLLOMA                                                    </t>
  </si>
  <si>
    <t xml:space="preserve">NIEVA                                                       </t>
  </si>
  <si>
    <t xml:space="preserve">CONDESUYOS                                                  </t>
  </si>
  <si>
    <t xml:space="preserve">EL CENEPA                                                   </t>
  </si>
  <si>
    <t xml:space="preserve">ISLAY                                                       </t>
  </si>
  <si>
    <t xml:space="preserve">RIO SANTIAGO                                                </t>
  </si>
  <si>
    <t xml:space="preserve">LA UNION                                                    </t>
  </si>
  <si>
    <t xml:space="preserve">LAMUD                                                       </t>
  </si>
  <si>
    <t xml:space="preserve">HUAMANGA                                                    </t>
  </si>
  <si>
    <t xml:space="preserve">CAMPORREDONDO                                               </t>
  </si>
  <si>
    <t xml:space="preserve">CANGALLO                                                    </t>
  </si>
  <si>
    <t xml:space="preserve">COCABAMBA                                                   </t>
  </si>
  <si>
    <t xml:space="preserve">HUANCA SANCOS                                               </t>
  </si>
  <si>
    <t xml:space="preserve">COLCAMAR                                                    </t>
  </si>
  <si>
    <t xml:space="preserve">HUANTA                                                      </t>
  </si>
  <si>
    <t xml:space="preserve">CONILA                                                      </t>
  </si>
  <si>
    <t xml:space="preserve">LA MAR                                                      </t>
  </si>
  <si>
    <t xml:space="preserve">INGUILPATA                                                  </t>
  </si>
  <si>
    <t xml:space="preserve">LUCANAS                                                     </t>
  </si>
  <si>
    <t xml:space="preserve">LONGUITA                                                    </t>
  </si>
  <si>
    <t xml:space="preserve">PARINACOCHAS                                                </t>
  </si>
  <si>
    <t xml:space="preserve">LONYA CHICO                                                 </t>
  </si>
  <si>
    <t xml:space="preserve">PAUCAR DEL SARA SARA                                        </t>
  </si>
  <si>
    <t xml:space="preserve">SUCRE                                                       </t>
  </si>
  <si>
    <t xml:space="preserve">LUYA VIEJO                                                  </t>
  </si>
  <si>
    <t xml:space="preserve">VICTOR FAJARDO                                              </t>
  </si>
  <si>
    <t xml:space="preserve">MARIA                                                       </t>
  </si>
  <si>
    <t xml:space="preserve">VILCAS HUAMAN                                               </t>
  </si>
  <si>
    <t xml:space="preserve">OCALLI                                                      </t>
  </si>
  <si>
    <t xml:space="preserve">OCUMAL                                                      </t>
  </si>
  <si>
    <t xml:space="preserve">CAJABAMBA                                                   </t>
  </si>
  <si>
    <t xml:space="preserve">PISUQUIA                                                    </t>
  </si>
  <si>
    <t xml:space="preserve">CELENDIN                                                    </t>
  </si>
  <si>
    <t xml:space="preserve">PROVIDENCIA                                                 </t>
  </si>
  <si>
    <t xml:space="preserve">CHOTA                                                       </t>
  </si>
  <si>
    <t xml:space="preserve">SAN CRISTOBAL                                               </t>
  </si>
  <si>
    <t xml:space="preserve">CONTUMAZA                                                   </t>
  </si>
  <si>
    <t xml:space="preserve">SAN FRANCISCO DEL YESO                                      </t>
  </si>
  <si>
    <t xml:space="preserve">CUTERVO                                                     </t>
  </si>
  <si>
    <t xml:space="preserve">SAN JERONIMO                                                </t>
  </si>
  <si>
    <t xml:space="preserve">HUALGAYOC                                                   </t>
  </si>
  <si>
    <t xml:space="preserve">SAN JUAN DE LOPECANCHA                                      </t>
  </si>
  <si>
    <t xml:space="preserve">JAEN                                                        </t>
  </si>
  <si>
    <t xml:space="preserve">SANTA CATALINA                                              </t>
  </si>
  <si>
    <t xml:space="preserve">SAN IGNACIO                                                 </t>
  </si>
  <si>
    <t xml:space="preserve">SANTO TOMAS                                                 </t>
  </si>
  <si>
    <t xml:space="preserve">SAN MARCOS                                                  </t>
  </si>
  <si>
    <t xml:space="preserve">TINGO                                                       </t>
  </si>
  <si>
    <t xml:space="preserve">SAN MIGUEL                                                  </t>
  </si>
  <si>
    <t xml:space="preserve">TRITA                                                       </t>
  </si>
  <si>
    <t xml:space="preserve">SAN PABLO                                                   </t>
  </si>
  <si>
    <t xml:space="preserve">SAN NICOLAS                                                 </t>
  </si>
  <si>
    <t xml:space="preserve">SANTA CRUZ                                                  </t>
  </si>
  <si>
    <t xml:space="preserve">CHIRIMOTO                                                   </t>
  </si>
  <si>
    <t xml:space="preserve">COCHAMAL                                                    </t>
  </si>
  <si>
    <t xml:space="preserve">HUAMBO                                                      </t>
  </si>
  <si>
    <t xml:space="preserve">ACOMAYO                                                     </t>
  </si>
  <si>
    <t xml:space="preserve">LIMABAMBA                                                   </t>
  </si>
  <si>
    <t xml:space="preserve">ANTA                                                        </t>
  </si>
  <si>
    <t xml:space="preserve">LONGAR                                                      </t>
  </si>
  <si>
    <t xml:space="preserve">CALCA                                                       </t>
  </si>
  <si>
    <t xml:space="preserve">MARISCAL BENAVIDES                                          </t>
  </si>
  <si>
    <t xml:space="preserve">CANAS                                                       </t>
  </si>
  <si>
    <t xml:space="preserve">MILPUC                                                      </t>
  </si>
  <si>
    <t xml:space="preserve">CANCHIS                                                     </t>
  </si>
  <si>
    <t xml:space="preserve">OMIA                                                        </t>
  </si>
  <si>
    <t xml:space="preserve">CHUMBIVILCAS                                                </t>
  </si>
  <si>
    <t xml:space="preserve">SANTA ROSA                                                  </t>
  </si>
  <si>
    <t xml:space="preserve">ESPINAR                                                     </t>
  </si>
  <si>
    <t xml:space="preserve">TOTORA                                                      </t>
  </si>
  <si>
    <t xml:space="preserve">LA CONVENCION                                               </t>
  </si>
  <si>
    <t xml:space="preserve">VISTA ALEGRE                                                </t>
  </si>
  <si>
    <t xml:space="preserve">PARURO                                                      </t>
  </si>
  <si>
    <t xml:space="preserve">BAGUA GRANDE                                                </t>
  </si>
  <si>
    <t xml:space="preserve">PAUCARTAMBO                                                 </t>
  </si>
  <si>
    <t xml:space="preserve">CAJARURO                                                    </t>
  </si>
  <si>
    <t xml:space="preserve">QUISPICANCHI                                                </t>
  </si>
  <si>
    <t xml:space="preserve">CUMBA                                                       </t>
  </si>
  <si>
    <t xml:space="preserve">URUBAMBA                                                    </t>
  </si>
  <si>
    <t xml:space="preserve">EL MILAGRO                                                  </t>
  </si>
  <si>
    <t xml:space="preserve">JAMALCA                                                     </t>
  </si>
  <si>
    <t xml:space="preserve">ACOBAMBA                                                    </t>
  </si>
  <si>
    <t xml:space="preserve">LONYA GRANDE                                                </t>
  </si>
  <si>
    <t xml:space="preserve">ANGARAES                                                    </t>
  </si>
  <si>
    <t xml:space="preserve">YAMON                                                       </t>
  </si>
  <si>
    <t xml:space="preserve">CASTROVIRREYNA                                              </t>
  </si>
  <si>
    <t xml:space="preserve">CHURCAMPA                                                   </t>
  </si>
  <si>
    <t xml:space="preserve">COCHABAMBA                                                  </t>
  </si>
  <si>
    <t xml:space="preserve">HUAYTARA                                                    </t>
  </si>
  <si>
    <t xml:space="preserve">COLCABAMBA                                                  </t>
  </si>
  <si>
    <t xml:space="preserve">TAYACAJA                                                    </t>
  </si>
  <si>
    <t xml:space="preserve">HUANCHAY                                                    </t>
  </si>
  <si>
    <t xml:space="preserve">INDEPENDENCIA                                               </t>
  </si>
  <si>
    <t xml:space="preserve">AMBO                                                        </t>
  </si>
  <si>
    <t xml:space="preserve">JANGAS                                                      </t>
  </si>
  <si>
    <t xml:space="preserve">DOS DE MAYO                                                 </t>
  </si>
  <si>
    <t xml:space="preserve">HUACAYBAMBA                                                 </t>
  </si>
  <si>
    <t xml:space="preserve">HUAMALIES                                                   </t>
  </si>
  <si>
    <t xml:space="preserve">PAMPAS                                                      </t>
  </si>
  <si>
    <t xml:space="preserve">LEONCIO PRADO                                               </t>
  </si>
  <si>
    <t xml:space="preserve">PARIACOTO                                                   </t>
  </si>
  <si>
    <t xml:space="preserve">MARAÑON                                                     </t>
  </si>
  <si>
    <t xml:space="preserve">PIRA                                                        </t>
  </si>
  <si>
    <t xml:space="preserve">PACHITEA                                                    </t>
  </si>
  <si>
    <t xml:space="preserve">TARICA                                                      </t>
  </si>
  <si>
    <t xml:space="preserve">PUERTO INCA                                                 </t>
  </si>
  <si>
    <t xml:space="preserve">LAURICOCHA                                                  </t>
  </si>
  <si>
    <t xml:space="preserve">CORIS                                                       </t>
  </si>
  <si>
    <t xml:space="preserve">YAROWILCA                                                   </t>
  </si>
  <si>
    <t xml:space="preserve">HUACLLAN                                                    </t>
  </si>
  <si>
    <t xml:space="preserve">LA MERCED                                                   </t>
  </si>
  <si>
    <t xml:space="preserve">CHINCHA                                                     </t>
  </si>
  <si>
    <t xml:space="preserve">SUCCHA                                                      </t>
  </si>
  <si>
    <t xml:space="preserve">NAZCA                                                       </t>
  </si>
  <si>
    <t xml:space="preserve">LLAMELLIN                                                   </t>
  </si>
  <si>
    <t xml:space="preserve">PALPA                                                       </t>
  </si>
  <si>
    <t xml:space="preserve">ACZO                                                        </t>
  </si>
  <si>
    <t xml:space="preserve">PISCO                                                       </t>
  </si>
  <si>
    <t xml:space="preserve">CHACCHO                                                     </t>
  </si>
  <si>
    <t xml:space="preserve">HUANCAYO                                                    </t>
  </si>
  <si>
    <t xml:space="preserve">CHINGAS                                                     </t>
  </si>
  <si>
    <t xml:space="preserve">CONCEPCION                                                  </t>
  </si>
  <si>
    <t xml:space="preserve">MIRGAS                                                      </t>
  </si>
  <si>
    <t xml:space="preserve">CHANCHAMAYO                                                 </t>
  </si>
  <si>
    <t xml:space="preserve">SAN JUAN DE RONTOY                                          </t>
  </si>
  <si>
    <t xml:space="preserve">JAUJA                                                       </t>
  </si>
  <si>
    <t xml:space="preserve">CHACAS                                                      </t>
  </si>
  <si>
    <t xml:space="preserve">ACOCHACA                                                    </t>
  </si>
  <si>
    <t xml:space="preserve">SATIPO                                                      </t>
  </si>
  <si>
    <t xml:space="preserve">CHIQUIAN                                                    </t>
  </si>
  <si>
    <t xml:space="preserve">TARMA                                                       </t>
  </si>
  <si>
    <t xml:space="preserve">ABELARDO PARDO LEZAMETA                                     </t>
  </si>
  <si>
    <t xml:space="preserve">YAULI                                                       </t>
  </si>
  <si>
    <t xml:space="preserve">CHUPACA                                                     </t>
  </si>
  <si>
    <t xml:space="preserve">AQUIA                                                       </t>
  </si>
  <si>
    <t xml:space="preserve">TRUJILLO                                                    </t>
  </si>
  <si>
    <t xml:space="preserve">CAJACAY                                                     </t>
  </si>
  <si>
    <t xml:space="preserve">ASCOPE                                                      </t>
  </si>
  <si>
    <t xml:space="preserve">CANIS                                                       </t>
  </si>
  <si>
    <t xml:space="preserve">BOLIVAR                                                     </t>
  </si>
  <si>
    <t xml:space="preserve">COLQUIOC                                                    </t>
  </si>
  <si>
    <t xml:space="preserve">CHEPEN                                                      </t>
  </si>
  <si>
    <t xml:space="preserve">HUALLANCA                                                   </t>
  </si>
  <si>
    <t xml:space="preserve">JULCAN                                                      </t>
  </si>
  <si>
    <t xml:space="preserve">HUASTA                                                      </t>
  </si>
  <si>
    <t xml:space="preserve">OTUZCO                                                      </t>
  </si>
  <si>
    <t xml:space="preserve">HUAYLLACAYAN                                                </t>
  </si>
  <si>
    <t xml:space="preserve">PACASMAYO                                                   </t>
  </si>
  <si>
    <t xml:space="preserve">LA PRIMAVERA                                                </t>
  </si>
  <si>
    <t xml:space="preserve">PATAZ                                                       </t>
  </si>
  <si>
    <t xml:space="preserve">MANGAS                                                      </t>
  </si>
  <si>
    <t xml:space="preserve">SANCHEZ CARRION                                             </t>
  </si>
  <si>
    <t xml:space="preserve">PACLLON                                                     </t>
  </si>
  <si>
    <t xml:space="preserve">SANTIAGO DE CHUCO                                           </t>
  </si>
  <si>
    <t xml:space="preserve">SAN MIGUEL DE CORPANQUI                                     </t>
  </si>
  <si>
    <t xml:space="preserve">GRAN CHIMU                                                  </t>
  </si>
  <si>
    <t xml:space="preserve">TICLLOS                                                     </t>
  </si>
  <si>
    <t xml:space="preserve">VIRU                                                        </t>
  </si>
  <si>
    <t xml:space="preserve">CHICLAYO                                                    </t>
  </si>
  <si>
    <t xml:space="preserve">ACOPAMPA                                                    </t>
  </si>
  <si>
    <t xml:space="preserve">FERREÑAFE                                                   </t>
  </si>
  <si>
    <t xml:space="preserve">AMASHCA                                                     </t>
  </si>
  <si>
    <t xml:space="preserve">ATAQUERO                                                    </t>
  </si>
  <si>
    <t xml:space="preserve">BARRANCA                                                    </t>
  </si>
  <si>
    <t xml:space="preserve">MARCARA                                                     </t>
  </si>
  <si>
    <t xml:space="preserve">CAJATAMBO                                                   </t>
  </si>
  <si>
    <t xml:space="preserve">PARIAHUANCA                                                 </t>
  </si>
  <si>
    <t xml:space="preserve">CANTA                                                       </t>
  </si>
  <si>
    <t xml:space="preserve">SAN MIGUEL DE ACO                                           </t>
  </si>
  <si>
    <t xml:space="preserve">CAÑETE                                                      </t>
  </si>
  <si>
    <t xml:space="preserve">SHILLA                                                      </t>
  </si>
  <si>
    <t xml:space="preserve">HUARAL                                                      </t>
  </si>
  <si>
    <t xml:space="preserve">TINCO                                                       </t>
  </si>
  <si>
    <t xml:space="preserve">HUAROCHIRI                                                  </t>
  </si>
  <si>
    <t xml:space="preserve">YUNGAR                                                      </t>
  </si>
  <si>
    <t xml:space="preserve">HUAURA                                                      </t>
  </si>
  <si>
    <t xml:space="preserve">SAN LUIS                                                    </t>
  </si>
  <si>
    <t xml:space="preserve">OYON                                                        </t>
  </si>
  <si>
    <t xml:space="preserve">YAUYOS                                                      </t>
  </si>
  <si>
    <t xml:space="preserve">YAUYA                                                       </t>
  </si>
  <si>
    <t xml:space="preserve">MAYNAS                                                      </t>
  </si>
  <si>
    <t xml:space="preserve">ALTO AMAZONAS                                               </t>
  </si>
  <si>
    <t xml:space="preserve">BUENA VISTA ALTA                                            </t>
  </si>
  <si>
    <t xml:space="preserve">COMANDANTE NOEL                                             </t>
  </si>
  <si>
    <t xml:space="preserve">MARISCAL RAMON CASTILLA                                     </t>
  </si>
  <si>
    <t xml:space="preserve">YAUTAN                                                      </t>
  </si>
  <si>
    <t xml:space="preserve">REQUENA                                                     </t>
  </si>
  <si>
    <t xml:space="preserve">ACO                                                         </t>
  </si>
  <si>
    <t xml:space="preserve">DATEM DEL MARAÑON                                           </t>
  </si>
  <si>
    <t xml:space="preserve">BAMBAS                                                      </t>
  </si>
  <si>
    <t xml:space="preserve">TAMBOPATA                                                   </t>
  </si>
  <si>
    <t xml:space="preserve">CUSCA                                                       </t>
  </si>
  <si>
    <t xml:space="preserve">MANU                                                        </t>
  </si>
  <si>
    <t xml:space="preserve">LA PAMPA                                                    </t>
  </si>
  <si>
    <t xml:space="preserve">TAHUAMANU                                                   </t>
  </si>
  <si>
    <t xml:space="preserve">YANAC                                                       </t>
  </si>
  <si>
    <t xml:space="preserve">MARISCAL NIETO                                              </t>
  </si>
  <si>
    <t xml:space="preserve">YUPAN                                                       </t>
  </si>
  <si>
    <t xml:space="preserve">GENERAL SANCHEZ CERRO                                       </t>
  </si>
  <si>
    <t xml:space="preserve">ILO                                                         </t>
  </si>
  <si>
    <t xml:space="preserve">ANRA                                                        </t>
  </si>
  <si>
    <t xml:space="preserve">CAJAY                                                       </t>
  </si>
  <si>
    <t xml:space="preserve">DANIEL ALCIDES CARRION                                      </t>
  </si>
  <si>
    <t xml:space="preserve">CHAVIN DE HUANTAR                                           </t>
  </si>
  <si>
    <t xml:space="preserve">OXAPAMPA                                                    </t>
  </si>
  <si>
    <t xml:space="preserve">HUACACHI                                                    </t>
  </si>
  <si>
    <t xml:space="preserve">HUACCHIS                                                    </t>
  </si>
  <si>
    <t xml:space="preserve">AYABACA                                                     </t>
  </si>
  <si>
    <t xml:space="preserve">HUACHIS                                                     </t>
  </si>
  <si>
    <t xml:space="preserve">HUANCABAMBA                                                 </t>
  </si>
  <si>
    <t xml:space="preserve">HUANTAR                                                     </t>
  </si>
  <si>
    <t xml:space="preserve">MORROPON                                                    </t>
  </si>
  <si>
    <t xml:space="preserve">MASIN                                                       </t>
  </si>
  <si>
    <t xml:space="preserve">PAITA                                                       </t>
  </si>
  <si>
    <t xml:space="preserve">PAUCAS                                                      </t>
  </si>
  <si>
    <t xml:space="preserve">SULLANA                                                     </t>
  </si>
  <si>
    <t xml:space="preserve">PONTO                                                       </t>
  </si>
  <si>
    <t xml:space="preserve">TALARA                                                      </t>
  </si>
  <si>
    <t xml:space="preserve">RAHUAPAMPA                                                  </t>
  </si>
  <si>
    <t xml:space="preserve">SECHURA                                                     </t>
  </si>
  <si>
    <t xml:space="preserve">RAPAYAN                                                     </t>
  </si>
  <si>
    <t xml:space="preserve">AZANGARO                                                    </t>
  </si>
  <si>
    <t xml:space="preserve">SAN PEDRO DE CHANA                                          </t>
  </si>
  <si>
    <t xml:space="preserve">CARABAYA                                                    </t>
  </si>
  <si>
    <t xml:space="preserve">UCO                                                         </t>
  </si>
  <si>
    <t xml:space="preserve">CHUCUITO                                                    </t>
  </si>
  <si>
    <t xml:space="preserve">EL COLLAO                                                   </t>
  </si>
  <si>
    <t xml:space="preserve">COCHAPETI                                                   </t>
  </si>
  <si>
    <t xml:space="preserve">HUANCANE                                                    </t>
  </si>
  <si>
    <t xml:space="preserve">CULEBRAS                                                    </t>
  </si>
  <si>
    <t xml:space="preserve">LAMPA                                                       </t>
  </si>
  <si>
    <t xml:space="preserve">HUAYAN                                                      </t>
  </si>
  <si>
    <t xml:space="preserve">MELGAR                                                      </t>
  </si>
  <si>
    <t xml:space="preserve">MALVAS                                                      </t>
  </si>
  <si>
    <t xml:space="preserve">MOHO                                                        </t>
  </si>
  <si>
    <t xml:space="preserve">CARAZ                                                       </t>
  </si>
  <si>
    <t xml:space="preserve">SAN ANTONIO DE PUTINA                                       </t>
  </si>
  <si>
    <t xml:space="preserve">SAN ROMAN                                                   </t>
  </si>
  <si>
    <t xml:space="preserve">HUATA                                                       </t>
  </si>
  <si>
    <t xml:space="preserve">SANDIA                                                      </t>
  </si>
  <si>
    <t xml:space="preserve">YUNGUYO                                                     </t>
  </si>
  <si>
    <t xml:space="preserve">MATO                                                        </t>
  </si>
  <si>
    <t xml:space="preserve">MOYOBAMBA                                                   </t>
  </si>
  <si>
    <t xml:space="preserve">PAMPAROMAS                                                  </t>
  </si>
  <si>
    <t xml:space="preserve">BELLAVISTA                                                  </t>
  </si>
  <si>
    <t xml:space="preserve">PUEBLO LIBRE                                                </t>
  </si>
  <si>
    <t xml:space="preserve">EL DORADO                                                   </t>
  </si>
  <si>
    <t xml:space="preserve">HUALLAGA                                                    </t>
  </si>
  <si>
    <t xml:space="preserve">SANTO TORIBIO                                               </t>
  </si>
  <si>
    <t xml:space="preserve">LAMAS                                                       </t>
  </si>
  <si>
    <t xml:space="preserve">YURACMARCA                                                  </t>
  </si>
  <si>
    <t xml:space="preserve">MARISCAL CACERES                                            </t>
  </si>
  <si>
    <t xml:space="preserve">PISCOBAMBA                                                  </t>
  </si>
  <si>
    <t xml:space="preserve">PICOTA                                                      </t>
  </si>
  <si>
    <t xml:space="preserve">CASCA                                                       </t>
  </si>
  <si>
    <t xml:space="preserve">RIOJA                                                       </t>
  </si>
  <si>
    <t xml:space="preserve">ELEAZAR GUZMAN BARRON                                       </t>
  </si>
  <si>
    <t xml:space="preserve">FIDEL OLIVAS ESCUDERO                                       </t>
  </si>
  <si>
    <t xml:space="preserve">TOCACHE                                                     </t>
  </si>
  <si>
    <t xml:space="preserve">LLAMA                                                       </t>
  </si>
  <si>
    <t xml:space="preserve">LLUMPA                                                      </t>
  </si>
  <si>
    <t xml:space="preserve">CANDARAVE                                                   </t>
  </si>
  <si>
    <t xml:space="preserve">LUCMA                                                       </t>
  </si>
  <si>
    <t xml:space="preserve">JORGE BASADRE                                               </t>
  </si>
  <si>
    <t xml:space="preserve">MUSGA                                                       </t>
  </si>
  <si>
    <t xml:space="preserve">TARATA                                                      </t>
  </si>
  <si>
    <t xml:space="preserve">ACAS                                                        </t>
  </si>
  <si>
    <t xml:space="preserve">CONTRALMIRANTE VILLAR                                       </t>
  </si>
  <si>
    <t xml:space="preserve">CAJAMARQUILLA                                               </t>
  </si>
  <si>
    <t xml:space="preserve">ZARUMILLA                                                   </t>
  </si>
  <si>
    <t xml:space="preserve">CARHUAPAMPA                                                 </t>
  </si>
  <si>
    <t xml:space="preserve">CORONEL PORTILLO                                            </t>
  </si>
  <si>
    <t xml:space="preserve">COCHAS                                                      </t>
  </si>
  <si>
    <t xml:space="preserve">ATALAYA                                                     </t>
  </si>
  <si>
    <t xml:space="preserve">CONGAS                                                      </t>
  </si>
  <si>
    <t xml:space="preserve">PADRE ABAD                                                  </t>
  </si>
  <si>
    <t xml:space="preserve">LLIPA                                                       </t>
  </si>
  <si>
    <t xml:space="preserve">PURUS                                                       </t>
  </si>
  <si>
    <t xml:space="preserve">SAN CRISTOBAL DE RAJAN                                      </t>
  </si>
  <si>
    <t xml:space="preserve">SAN PEDRO                                                   </t>
  </si>
  <si>
    <t xml:space="preserve">SANTIAGO DE CHILCAS                                         </t>
  </si>
  <si>
    <t xml:space="preserve">CABANA                                                      </t>
  </si>
  <si>
    <t xml:space="preserve">CONCHUCOS                                                   </t>
  </si>
  <si>
    <t xml:space="preserve">HUACASCHUQUE                                                </t>
  </si>
  <si>
    <t xml:space="preserve">HUANDOVAL                                                   </t>
  </si>
  <si>
    <t xml:space="preserve">LACABAMBA                                                   </t>
  </si>
  <si>
    <t xml:space="preserve">LLAPO                                                       </t>
  </si>
  <si>
    <t xml:space="preserve">TAUCA                                                       </t>
  </si>
  <si>
    <t xml:space="preserve">HUAYLLAN                                                    </t>
  </si>
  <si>
    <t xml:space="preserve">PAROBAMBA                                                   </t>
  </si>
  <si>
    <t xml:space="preserve">QUINUABAMBA                                                 </t>
  </si>
  <si>
    <t xml:space="preserve">CATAC                                                       </t>
  </si>
  <si>
    <t xml:space="preserve">COTAPARACO                                                  </t>
  </si>
  <si>
    <t xml:space="preserve">HUAYLLAPAMPA                                                </t>
  </si>
  <si>
    <t xml:space="preserve">LLACLLIN                                                    </t>
  </si>
  <si>
    <t xml:space="preserve">MARCA                                                       </t>
  </si>
  <si>
    <t xml:space="preserve">PAMPAS CHICO                                                </t>
  </si>
  <si>
    <t xml:space="preserve">PARARIN                                                     </t>
  </si>
  <si>
    <t xml:space="preserve">TAPACOCHA                                                   </t>
  </si>
  <si>
    <t xml:space="preserve">TICAPAMPA                                                   </t>
  </si>
  <si>
    <t xml:space="preserve">CHIMBOTE                                                    </t>
  </si>
  <si>
    <t xml:space="preserve">CACERES DEL PERU                                            </t>
  </si>
  <si>
    <t xml:space="preserve">COISHCO                                                     </t>
  </si>
  <si>
    <t xml:space="preserve">MACATE                                                      </t>
  </si>
  <si>
    <t xml:space="preserve">MORO                                                        </t>
  </si>
  <si>
    <t xml:space="preserve">NEPEÑA                                                      </t>
  </si>
  <si>
    <t xml:space="preserve">SAMANCO                                                     </t>
  </si>
  <si>
    <t xml:space="preserve">NUEVO CHIMBOTE                                              </t>
  </si>
  <si>
    <t xml:space="preserve">ALFONSO UGARTE                                              </t>
  </si>
  <si>
    <t xml:space="preserve">CASHAPAMPA                                                  </t>
  </si>
  <si>
    <t xml:space="preserve">CHINGALPO                                                   </t>
  </si>
  <si>
    <t xml:space="preserve">HUAYLLABAMBA                                                </t>
  </si>
  <si>
    <t xml:space="preserve">QUICHES                                                     </t>
  </si>
  <si>
    <t xml:space="preserve">RAGASH                                                      </t>
  </si>
  <si>
    <t xml:space="preserve">SAN JUAN                                                    </t>
  </si>
  <si>
    <t xml:space="preserve">SICSIBAMBA                                                  </t>
  </si>
  <si>
    <t xml:space="preserve">CASCAPARA                                                   </t>
  </si>
  <si>
    <t xml:space="preserve">MANCOS                                                      </t>
  </si>
  <si>
    <t xml:space="preserve">MATACOTO                                                    </t>
  </si>
  <si>
    <t xml:space="preserve">QUILLO                                                      </t>
  </si>
  <si>
    <t xml:space="preserve">RANRAHIRCA                                                  </t>
  </si>
  <si>
    <t xml:space="preserve">SHUPLUY                                                     </t>
  </si>
  <si>
    <t xml:space="preserve">YANAMA                                                      </t>
  </si>
  <si>
    <t xml:space="preserve">CHACOCHE                                                    </t>
  </si>
  <si>
    <t xml:space="preserve">CIRCA                                                       </t>
  </si>
  <si>
    <t xml:space="preserve">CURAHUASI                                                   </t>
  </si>
  <si>
    <t xml:space="preserve">HUANIPACA                                                   </t>
  </si>
  <si>
    <t xml:space="preserve">LAMBRAMA                                                    </t>
  </si>
  <si>
    <t xml:space="preserve">PICHIRHUA                                                   </t>
  </si>
  <si>
    <t xml:space="preserve">SAN PEDRO DE CACHORA                                        </t>
  </si>
  <si>
    <t xml:space="preserve">TAMBURCO                                                    </t>
  </si>
  <si>
    <t xml:space="preserve">ANDARAPA                                                    </t>
  </si>
  <si>
    <t xml:space="preserve">CHIARA                                                      </t>
  </si>
  <si>
    <t xml:space="preserve">HUANCARAMA                                                  </t>
  </si>
  <si>
    <t xml:space="preserve">HUANCARAY                                                   </t>
  </si>
  <si>
    <t xml:space="preserve">HUAYANA                                                     </t>
  </si>
  <si>
    <t xml:space="preserve">KISHUARA                                                    </t>
  </si>
  <si>
    <t xml:space="preserve">PACOBAMBA                                                   </t>
  </si>
  <si>
    <t xml:space="preserve">PACUCHA                                                     </t>
  </si>
  <si>
    <t xml:space="preserve">PAMPACHIRI                                                  </t>
  </si>
  <si>
    <t xml:space="preserve">POMACOCHA                                                   </t>
  </si>
  <si>
    <t xml:space="preserve">SAN ANTONIO DE CACHI                                        </t>
  </si>
  <si>
    <t xml:space="preserve">SAN MIGUEL DE CHACCRAMPA                                    </t>
  </si>
  <si>
    <t xml:space="preserve">SANTA MARIA DE CHICMO                                       </t>
  </si>
  <si>
    <t xml:space="preserve">TALAVERA                                                    </t>
  </si>
  <si>
    <t xml:space="preserve">TUMAY HUARACA                                               </t>
  </si>
  <si>
    <t xml:space="preserve">TURPO                                                       </t>
  </si>
  <si>
    <t xml:space="preserve">KAQUIABAMBA                                                 </t>
  </si>
  <si>
    <t xml:space="preserve">EL ORO                                                      </t>
  </si>
  <si>
    <t xml:space="preserve">HUAQUIRCA                                                   </t>
  </si>
  <si>
    <t xml:space="preserve">JUAN ESPINOZA MEDRANO                                       </t>
  </si>
  <si>
    <t xml:space="preserve">OROPESA                                                     </t>
  </si>
  <si>
    <t xml:space="preserve">PACHACONAS                                                  </t>
  </si>
  <si>
    <t xml:space="preserve">SABAINO                                                     </t>
  </si>
  <si>
    <t xml:space="preserve">CHALHUANCA                                                  </t>
  </si>
  <si>
    <t xml:space="preserve">CAPAYA                                                      </t>
  </si>
  <si>
    <t xml:space="preserve">CARAYBAMBA                                                  </t>
  </si>
  <si>
    <t xml:space="preserve">CHAPIMARCA                                                  </t>
  </si>
  <si>
    <t xml:space="preserve">COTARUSE                                                    </t>
  </si>
  <si>
    <t xml:space="preserve">HUAYLLO                                                     </t>
  </si>
  <si>
    <t xml:space="preserve">JUSTO APU SAHUARAURA                                        </t>
  </si>
  <si>
    <t xml:space="preserve">LUCRE                                                       </t>
  </si>
  <si>
    <t xml:space="preserve">POCOHUANCA                                                  </t>
  </si>
  <si>
    <t xml:space="preserve">SAN JUAN DE CHACÑA                                          </t>
  </si>
  <si>
    <t xml:space="preserve">SAÑAYCA                                                     </t>
  </si>
  <si>
    <t xml:space="preserve">SORAYA                                                      </t>
  </si>
  <si>
    <t xml:space="preserve">TAPAIRIHUA                                                  </t>
  </si>
  <si>
    <t xml:space="preserve">TINTAY                                                      </t>
  </si>
  <si>
    <t xml:space="preserve">TORAYA                                                      </t>
  </si>
  <si>
    <t xml:space="preserve">YANACA                                                      </t>
  </si>
  <si>
    <t xml:space="preserve">TAMBOBAMBA                                                  </t>
  </si>
  <si>
    <t xml:space="preserve">COYLLURQUI                                                  </t>
  </si>
  <si>
    <t xml:space="preserve">HAQUIRA                                                     </t>
  </si>
  <si>
    <t xml:space="preserve">MARA                                                        </t>
  </si>
  <si>
    <t xml:space="preserve">CHALLHUAHUACHO                                              </t>
  </si>
  <si>
    <t xml:space="preserve">ANCO_HUALLO                                                 </t>
  </si>
  <si>
    <t xml:space="preserve">COCHARCAS                                                   </t>
  </si>
  <si>
    <t xml:space="preserve">HUACCANA                                                    </t>
  </si>
  <si>
    <t xml:space="preserve">OCOBAMBA                                                    </t>
  </si>
  <si>
    <t xml:space="preserve">ONGOY                                                       </t>
  </si>
  <si>
    <t xml:space="preserve">URANMARCA                                                   </t>
  </si>
  <si>
    <t xml:space="preserve">RANRACANCHA                                                 </t>
  </si>
  <si>
    <t xml:space="preserve">CHUQUIBAMBILLA                                              </t>
  </si>
  <si>
    <t xml:space="preserve">CURPAHUASI                                                  </t>
  </si>
  <si>
    <t xml:space="preserve">GAMARRA                                                     </t>
  </si>
  <si>
    <t xml:space="preserve">HUAYLLATI                                                   </t>
  </si>
  <si>
    <t xml:space="preserve">MAMARA                                                      </t>
  </si>
  <si>
    <t xml:space="preserve">MICAELA BASTIDAS                                            </t>
  </si>
  <si>
    <t xml:space="preserve">PATAYPAMPA                                                  </t>
  </si>
  <si>
    <t xml:space="preserve">PROGRESO                                                    </t>
  </si>
  <si>
    <t xml:space="preserve">SAN ANTONIO                                                 </t>
  </si>
  <si>
    <t xml:space="preserve">TURPAY                                                      </t>
  </si>
  <si>
    <t xml:space="preserve">VILCABAMBA                                                  </t>
  </si>
  <si>
    <t xml:space="preserve">VIRUNDO                                                     </t>
  </si>
  <si>
    <t xml:space="preserve">CURASCO                                                     </t>
  </si>
  <si>
    <t xml:space="preserve">ALTO SELVA ALEGRE                                           </t>
  </si>
  <si>
    <t xml:space="preserve">CAYMA                                                       </t>
  </si>
  <si>
    <t xml:space="preserve">CERRO COLORADO                                              </t>
  </si>
  <si>
    <t xml:space="preserve">CHARACATO                                                   </t>
  </si>
  <si>
    <t xml:space="preserve">CHIGUATA                                                    </t>
  </si>
  <si>
    <t xml:space="preserve">JACOBO HUNTER                                               </t>
  </si>
  <si>
    <t xml:space="preserve">LA JOYA                                                     </t>
  </si>
  <si>
    <t xml:space="preserve">MARIANO MELGAR                                              </t>
  </si>
  <si>
    <t xml:space="preserve">MIRAFLORES                                                  </t>
  </si>
  <si>
    <t xml:space="preserve">MOLLEBAYA                                                   </t>
  </si>
  <si>
    <t xml:space="preserve">PAUCARPATA                                                  </t>
  </si>
  <si>
    <t xml:space="preserve">POCSI                                                       </t>
  </si>
  <si>
    <t xml:space="preserve">POLOBAYA                                                    </t>
  </si>
  <si>
    <t xml:space="preserve">QUEQUEÑA                                                    </t>
  </si>
  <si>
    <t xml:space="preserve">SABANDIA                                                    </t>
  </si>
  <si>
    <t xml:space="preserve">SACHACA                                                     </t>
  </si>
  <si>
    <t xml:space="preserve">SAN JUAN DE SIGUAS                                          </t>
  </si>
  <si>
    <t xml:space="preserve">SAN JUAN DE TARUCANI                                        </t>
  </si>
  <si>
    <t xml:space="preserve">SANTA ISABEL DE SIGUAS                                      </t>
  </si>
  <si>
    <t xml:space="preserve">SANTA RITA DE SIGUAS                                        </t>
  </si>
  <si>
    <t xml:space="preserve">SOCABAYA                                                    </t>
  </si>
  <si>
    <t xml:space="preserve">TIABAYA                                                     </t>
  </si>
  <si>
    <t xml:space="preserve">UCHUMAYO                                                    </t>
  </si>
  <si>
    <t xml:space="preserve">VITOR                                                       </t>
  </si>
  <si>
    <t>26</t>
  </si>
  <si>
    <t xml:space="preserve">YANAHUARA                                                   </t>
  </si>
  <si>
    <t>27</t>
  </si>
  <si>
    <t xml:space="preserve">YARABAMBA                                                   </t>
  </si>
  <si>
    <t>28</t>
  </si>
  <si>
    <t xml:space="preserve">YURA                                                        </t>
  </si>
  <si>
    <t>29</t>
  </si>
  <si>
    <t xml:space="preserve">JOSE LUIS BUSTAMANTE Y RIVERO                               </t>
  </si>
  <si>
    <t xml:space="preserve">JOSE MARIA QUIMPER                                          </t>
  </si>
  <si>
    <t xml:space="preserve">MARIANO NICOLAS VALCARCEL                                   </t>
  </si>
  <si>
    <t xml:space="preserve">NICOLAS DE PIEROLA                                          </t>
  </si>
  <si>
    <t xml:space="preserve">OCOÑA                                                       </t>
  </si>
  <si>
    <t xml:space="preserve">QUILCA                                                      </t>
  </si>
  <si>
    <t xml:space="preserve">SAMUEL PASTOR                                               </t>
  </si>
  <si>
    <t xml:space="preserve">ACARI                                                       </t>
  </si>
  <si>
    <t xml:space="preserve">ATICO                                                       </t>
  </si>
  <si>
    <t xml:space="preserve">ATIQUIPA                                                    </t>
  </si>
  <si>
    <t xml:space="preserve">BELLA UNION                                                 </t>
  </si>
  <si>
    <t xml:space="preserve">CAHUACHO                                                    </t>
  </si>
  <si>
    <t xml:space="preserve">CHALA                                                       </t>
  </si>
  <si>
    <t xml:space="preserve">CHAPARRA                                                    </t>
  </si>
  <si>
    <t xml:space="preserve">HUANUHUANU                                                  </t>
  </si>
  <si>
    <t xml:space="preserve">JAQUI                                                       </t>
  </si>
  <si>
    <t xml:space="preserve">LOMAS                                                       </t>
  </si>
  <si>
    <t xml:space="preserve">QUICACHA                                                    </t>
  </si>
  <si>
    <t xml:space="preserve">YAUCA                                                       </t>
  </si>
  <si>
    <t xml:space="preserve">APLAO                                                       </t>
  </si>
  <si>
    <t xml:space="preserve">ANDAGUA                                                     </t>
  </si>
  <si>
    <t xml:space="preserve">AYO                                                         </t>
  </si>
  <si>
    <t xml:space="preserve">CHACHAS                                                     </t>
  </si>
  <si>
    <t xml:space="preserve">CHILCAYMARCA                                                </t>
  </si>
  <si>
    <t xml:space="preserve">CHOCO                                                       </t>
  </si>
  <si>
    <t xml:space="preserve">HUANCARQUI                                                  </t>
  </si>
  <si>
    <t xml:space="preserve">MACHAGUAY                                                   </t>
  </si>
  <si>
    <t xml:space="preserve">ORCOPAMPA                                                   </t>
  </si>
  <si>
    <t xml:space="preserve">PAMPACOLCA                                                  </t>
  </si>
  <si>
    <t xml:space="preserve">TIPAN                                                       </t>
  </si>
  <si>
    <t xml:space="preserve">UÑON                                                        </t>
  </si>
  <si>
    <t xml:space="preserve">URACA                                                       </t>
  </si>
  <si>
    <t xml:space="preserve">VIRACO                                                      </t>
  </si>
  <si>
    <t xml:space="preserve">CHIVAY                                                      </t>
  </si>
  <si>
    <t xml:space="preserve">ACHOMA                                                      </t>
  </si>
  <si>
    <t xml:space="preserve">CABANACONDE                                                 </t>
  </si>
  <si>
    <t xml:space="preserve">CALLALLI                                                    </t>
  </si>
  <si>
    <t xml:space="preserve">COPORAQUE                                                   </t>
  </si>
  <si>
    <t xml:space="preserve">HUANCA                                                      </t>
  </si>
  <si>
    <t xml:space="preserve">ICHUPAMPA                                                   </t>
  </si>
  <si>
    <t xml:space="preserve">LARI                                                        </t>
  </si>
  <si>
    <t xml:space="preserve">LLUTA                                                       </t>
  </si>
  <si>
    <t xml:space="preserve">MACA                                                        </t>
  </si>
  <si>
    <t xml:space="preserve">MADRIGAL                                                    </t>
  </si>
  <si>
    <t xml:space="preserve">SAN ANTONIO DE CHUCA                                        </t>
  </si>
  <si>
    <t xml:space="preserve">SIBAYO                                                      </t>
  </si>
  <si>
    <t xml:space="preserve">TAPAY                                                       </t>
  </si>
  <si>
    <t xml:space="preserve">TISCO                                                       </t>
  </si>
  <si>
    <t xml:space="preserve">TUTI                                                        </t>
  </si>
  <si>
    <t xml:space="preserve">YANQUE                                                      </t>
  </si>
  <si>
    <t xml:space="preserve">MAJES                                                       </t>
  </si>
  <si>
    <t xml:space="preserve">ANDARAY                                                     </t>
  </si>
  <si>
    <t xml:space="preserve">CAYARANI                                                    </t>
  </si>
  <si>
    <t xml:space="preserve">CHICHAS                                                     </t>
  </si>
  <si>
    <t xml:space="preserve">IRAY                                                        </t>
  </si>
  <si>
    <t xml:space="preserve">RIO GRANDE                                                  </t>
  </si>
  <si>
    <t xml:space="preserve">SALAMANCA                                                   </t>
  </si>
  <si>
    <t xml:space="preserve">YANAQUIHUA                                                  </t>
  </si>
  <si>
    <t xml:space="preserve">MOLLENDO                                                    </t>
  </si>
  <si>
    <t xml:space="preserve">COCACHACRA                                                  </t>
  </si>
  <si>
    <t xml:space="preserve">DEAN VALDIVIA                                               </t>
  </si>
  <si>
    <t xml:space="preserve">MEJIA                                                       </t>
  </si>
  <si>
    <t xml:space="preserve">PUNTA DE BOMBON                                             </t>
  </si>
  <si>
    <t xml:space="preserve">COTAHUASI                                                   </t>
  </si>
  <si>
    <t xml:space="preserve">ALCA                                                        </t>
  </si>
  <si>
    <t xml:space="preserve">CHARCANA                                                    </t>
  </si>
  <si>
    <t xml:space="preserve">HUAYNACOTAS                                                 </t>
  </si>
  <si>
    <t xml:space="preserve">PAMPAMARCA                                                  </t>
  </si>
  <si>
    <t xml:space="preserve">PUYCA                                                       </t>
  </si>
  <si>
    <t xml:space="preserve">QUECHUALLA                                                  </t>
  </si>
  <si>
    <t xml:space="preserve">SAYLA                                                       </t>
  </si>
  <si>
    <t xml:space="preserve">TAURIA                                                      </t>
  </si>
  <si>
    <t xml:space="preserve">TOMEPAMPA                                                   </t>
  </si>
  <si>
    <t xml:space="preserve">TORO                                                        </t>
  </si>
  <si>
    <t xml:space="preserve">ACOCRO                                                      </t>
  </si>
  <si>
    <t xml:space="preserve">ACOS VINCHOS                                                </t>
  </si>
  <si>
    <t xml:space="preserve">CARMEN ALTO                                                 </t>
  </si>
  <si>
    <t xml:space="preserve">PACAYCASA                                                   </t>
  </si>
  <si>
    <t xml:space="preserve">QUINUA                                                      </t>
  </si>
  <si>
    <t xml:space="preserve">SAN JOSE DE TICLLAS                                         </t>
  </si>
  <si>
    <t xml:space="preserve">SAN JUAN BAUTISTA                                           </t>
  </si>
  <si>
    <t xml:space="preserve">SANTIAGO DE PISCHA                                          </t>
  </si>
  <si>
    <t xml:space="preserve">SOCOS                                                       </t>
  </si>
  <si>
    <t xml:space="preserve">TAMBILLO                                                    </t>
  </si>
  <si>
    <t xml:space="preserve">VINCHOS                                                     </t>
  </si>
  <si>
    <t xml:space="preserve">JESUS NAZARENO                                              </t>
  </si>
  <si>
    <t xml:space="preserve">CHUSCHI                                                     </t>
  </si>
  <si>
    <t xml:space="preserve">LOS MOROCHUCOS                                              </t>
  </si>
  <si>
    <t xml:space="preserve">MARIA PARADO DE BELLIDO                                     </t>
  </si>
  <si>
    <t xml:space="preserve">PARAS                                                       </t>
  </si>
  <si>
    <t xml:space="preserve">TOTOS                                                       </t>
  </si>
  <si>
    <t xml:space="preserve">SANCOS                                                      </t>
  </si>
  <si>
    <t xml:space="preserve">CARAPO                                                      </t>
  </si>
  <si>
    <t xml:space="preserve">SACSAMARCA                                                  </t>
  </si>
  <si>
    <t xml:space="preserve">SANTIAGO DE LUCANAMARCA                                     </t>
  </si>
  <si>
    <t xml:space="preserve">AYAHUANCO                                                   </t>
  </si>
  <si>
    <t xml:space="preserve">HUAMANGUILLA                                                </t>
  </si>
  <si>
    <t xml:space="preserve">IGUAIN                                                      </t>
  </si>
  <si>
    <t xml:space="preserve">LURICOCHA                                                   </t>
  </si>
  <si>
    <t xml:space="preserve">SANTILLANA                                                  </t>
  </si>
  <si>
    <t xml:space="preserve">SIVIA                                                       </t>
  </si>
  <si>
    <t xml:space="preserve">LLOCHEGUA                                                   </t>
  </si>
  <si>
    <t xml:space="preserve">ANCO                                                        </t>
  </si>
  <si>
    <t xml:space="preserve">AYNA                                                        </t>
  </si>
  <si>
    <t xml:space="preserve">CHILCAS                                                     </t>
  </si>
  <si>
    <t xml:space="preserve">CHUNGUI                                                     </t>
  </si>
  <si>
    <t xml:space="preserve">LUIS CARRANZA                                               </t>
  </si>
  <si>
    <t xml:space="preserve">TAMBO                                                       </t>
  </si>
  <si>
    <t xml:space="preserve">PUQUIO                                                      </t>
  </si>
  <si>
    <t xml:space="preserve">AUCARA                                                      </t>
  </si>
  <si>
    <t xml:space="preserve">CARMEN SALCEDO                                              </t>
  </si>
  <si>
    <t xml:space="preserve">CHAVIÑA                                                     </t>
  </si>
  <si>
    <t xml:space="preserve">CHIPAO                                                      </t>
  </si>
  <si>
    <t xml:space="preserve">HUAC-HUAS                                                   </t>
  </si>
  <si>
    <t xml:space="preserve">LARAMATE                                                    </t>
  </si>
  <si>
    <t xml:space="preserve">LLAUTA                                                      </t>
  </si>
  <si>
    <t xml:space="preserve">OCAÑA                                                       </t>
  </si>
  <si>
    <t xml:space="preserve">OTOCA                                                       </t>
  </si>
  <si>
    <t xml:space="preserve">SAISA                                                       </t>
  </si>
  <si>
    <t xml:space="preserve">SAN PEDRO DE PALCO                                          </t>
  </si>
  <si>
    <t xml:space="preserve">SANTA ANA DE HUAYCAHUACHO                                   </t>
  </si>
  <si>
    <t xml:space="preserve">SANTA LUCIA                                                 </t>
  </si>
  <si>
    <t xml:space="preserve">CORACORA                                                    </t>
  </si>
  <si>
    <t xml:space="preserve">CHUMPI                                                      </t>
  </si>
  <si>
    <t xml:space="preserve">CORONEL CASTAÑEDA                                           </t>
  </si>
  <si>
    <t xml:space="preserve">PACAPAUSA                                                   </t>
  </si>
  <si>
    <t xml:space="preserve">PULLO                                                       </t>
  </si>
  <si>
    <t xml:space="preserve">PUYUSCA                                                     </t>
  </si>
  <si>
    <t xml:space="preserve">SAN FRANCISCO DE RAVACAYCO                                  </t>
  </si>
  <si>
    <t xml:space="preserve">UPAHUACHO                                                   </t>
  </si>
  <si>
    <t xml:space="preserve">PAUSA                                                       </t>
  </si>
  <si>
    <t xml:space="preserve">COLTA                                                       </t>
  </si>
  <si>
    <t xml:space="preserve">CORCULLA                                                    </t>
  </si>
  <si>
    <t xml:space="preserve">MARCABAMBA                                                  </t>
  </si>
  <si>
    <t xml:space="preserve">OYOLO                                                       </t>
  </si>
  <si>
    <t xml:space="preserve">PARARCA                                                     </t>
  </si>
  <si>
    <t xml:space="preserve">SAN JAVIER DE ALPABAMBA                                     </t>
  </si>
  <si>
    <t xml:space="preserve">SAN JOSE DE USHUA                                           </t>
  </si>
  <si>
    <t xml:space="preserve">SARA SARA                                                   </t>
  </si>
  <si>
    <t xml:space="preserve">QUEROBAMBA                                                  </t>
  </si>
  <si>
    <t xml:space="preserve">BELEN                                                       </t>
  </si>
  <si>
    <t xml:space="preserve">CHALCOS                                                     </t>
  </si>
  <si>
    <t xml:space="preserve">CHILCAYOC                                                   </t>
  </si>
  <si>
    <t xml:space="preserve">HUACAÑA                                                     </t>
  </si>
  <si>
    <t xml:space="preserve">MORCOLLA                                                    </t>
  </si>
  <si>
    <t xml:space="preserve">PAICO                                                       </t>
  </si>
  <si>
    <t xml:space="preserve">SAN PEDRO DE LARCAY                                         </t>
  </si>
  <si>
    <t xml:space="preserve">SAN SALVADOR DE QUIJE                                       </t>
  </si>
  <si>
    <t xml:space="preserve">SANTIAGO DE PAUCARAY                                        </t>
  </si>
  <si>
    <t xml:space="preserve">SORAS                                                       </t>
  </si>
  <si>
    <t xml:space="preserve">HUANCAPI                                                    </t>
  </si>
  <si>
    <t xml:space="preserve">ALCAMENCA                                                   </t>
  </si>
  <si>
    <t xml:space="preserve">APONGO                                                      </t>
  </si>
  <si>
    <t xml:space="preserve">ASQUIPATA                                                   </t>
  </si>
  <si>
    <t xml:space="preserve">CANARIA                                                     </t>
  </si>
  <si>
    <t xml:space="preserve">CAYARA                                                      </t>
  </si>
  <si>
    <t xml:space="preserve">COLCA                                                       </t>
  </si>
  <si>
    <t xml:space="preserve">HUAMANQUIQUIA                                               </t>
  </si>
  <si>
    <t xml:space="preserve">HUANCARAYLLA                                                </t>
  </si>
  <si>
    <t xml:space="preserve">HUAYA                                                       </t>
  </si>
  <si>
    <t xml:space="preserve">SARHUA                                                      </t>
  </si>
  <si>
    <t xml:space="preserve">VILCANCHOS                                                  </t>
  </si>
  <si>
    <t xml:space="preserve">ACCOMARCA                                                   </t>
  </si>
  <si>
    <t xml:space="preserve">CARHUANCA                                                   </t>
  </si>
  <si>
    <t xml:space="preserve">HUAMBALPA                                                   </t>
  </si>
  <si>
    <t xml:space="preserve">SAURAMA                                                     </t>
  </si>
  <si>
    <t xml:space="preserve">VISCHONGO                                                   </t>
  </si>
  <si>
    <t xml:space="preserve">CHETILLA                                                    </t>
  </si>
  <si>
    <t xml:space="preserve">COSPAN                                                      </t>
  </si>
  <si>
    <t xml:space="preserve">ENCAÑADA                                                    </t>
  </si>
  <si>
    <t xml:space="preserve">JESUS                                                       </t>
  </si>
  <si>
    <t xml:space="preserve">LLACANORA                                                   </t>
  </si>
  <si>
    <t xml:space="preserve">LOS BAÑOS DEL INCA                                          </t>
  </si>
  <si>
    <t xml:space="preserve">MATARA                                                      </t>
  </si>
  <si>
    <t xml:space="preserve">NAMORA                                                      </t>
  </si>
  <si>
    <t xml:space="preserve">CACHACHI                                                    </t>
  </si>
  <si>
    <t xml:space="preserve">CONDEBAMBA                                                  </t>
  </si>
  <si>
    <t xml:space="preserve">SITACOCHA                                                   </t>
  </si>
  <si>
    <t xml:space="preserve">CHUMUCH                                                     </t>
  </si>
  <si>
    <t xml:space="preserve">CORTEGANA                                                   </t>
  </si>
  <si>
    <t xml:space="preserve">HUASMIN                                                     </t>
  </si>
  <si>
    <t xml:space="preserve">JORGE CHAVEZ                                                </t>
  </si>
  <si>
    <t xml:space="preserve">JOSE GALVEZ                                                 </t>
  </si>
  <si>
    <t xml:space="preserve">MIGUEL IGLESIAS                                             </t>
  </si>
  <si>
    <t xml:space="preserve">OXAMARCA                                                    </t>
  </si>
  <si>
    <t xml:space="preserve">SOROCHUCO                                                   </t>
  </si>
  <si>
    <t xml:space="preserve">UTCO                                                        </t>
  </si>
  <si>
    <t xml:space="preserve">LA LIBERTAD DE PALLAN                                       </t>
  </si>
  <si>
    <t xml:space="preserve">ANGUIA                                                      </t>
  </si>
  <si>
    <t xml:space="preserve">CHADIN                                                      </t>
  </si>
  <si>
    <t xml:space="preserve">CHIGUIRIP                                                   </t>
  </si>
  <si>
    <t xml:space="preserve">CHIMBAN                                                     </t>
  </si>
  <si>
    <t xml:space="preserve">CHOROPAMPA                                                  </t>
  </si>
  <si>
    <t xml:space="preserve">CONCHAN                                                     </t>
  </si>
  <si>
    <t xml:space="preserve">HUAMBOS                                                     </t>
  </si>
  <si>
    <t xml:space="preserve">LAJAS                                                       </t>
  </si>
  <si>
    <t xml:space="preserve">MIRACOSTA                                                   </t>
  </si>
  <si>
    <t xml:space="preserve">PACCHA                                                      </t>
  </si>
  <si>
    <t xml:space="preserve">PION                                                        </t>
  </si>
  <si>
    <t xml:space="preserve">QUEROCOTO                                                   </t>
  </si>
  <si>
    <t xml:space="preserve">SAN JUAN DE LICUPIS                                         </t>
  </si>
  <si>
    <t xml:space="preserve">TACABAMBA                                                   </t>
  </si>
  <si>
    <t xml:space="preserve">TOCMOCHE                                                    </t>
  </si>
  <si>
    <t xml:space="preserve">CHALAMARCA                                                  </t>
  </si>
  <si>
    <t xml:space="preserve">CHILETE                                                     </t>
  </si>
  <si>
    <t xml:space="preserve">CUPISNIQUE                                                  </t>
  </si>
  <si>
    <t xml:space="preserve">GUZMANGO                                                    </t>
  </si>
  <si>
    <t xml:space="preserve">SAN BENITO                                                  </t>
  </si>
  <si>
    <t xml:space="preserve">SANTA CRUZ DE TOLED                                         </t>
  </si>
  <si>
    <t xml:space="preserve">TANTARICA                                                   </t>
  </si>
  <si>
    <t xml:space="preserve">YONAN                                                       </t>
  </si>
  <si>
    <t xml:space="preserve">CALLAYUC                                                    </t>
  </si>
  <si>
    <t xml:space="preserve">CHOROS                                                      </t>
  </si>
  <si>
    <t xml:space="preserve">CUJILLO                                                     </t>
  </si>
  <si>
    <t xml:space="preserve">LA RAMADA                                                   </t>
  </si>
  <si>
    <t xml:space="preserve">PIMPINGOS                                                   </t>
  </si>
  <si>
    <t xml:space="preserve">QUEROCOTILLO                                                </t>
  </si>
  <si>
    <t xml:space="preserve">SAN ANDRES DE CUTERVO                                       </t>
  </si>
  <si>
    <t xml:space="preserve">SAN JUAN DE CUTERVO                                         </t>
  </si>
  <si>
    <t xml:space="preserve">SAN LUIS DE LUCMA                                           </t>
  </si>
  <si>
    <t xml:space="preserve">SANTO DOMINGO DE LA CAPILLA                                 </t>
  </si>
  <si>
    <t xml:space="preserve">SOCOTA                                                      </t>
  </si>
  <si>
    <t xml:space="preserve">TORIBIO CASANOVA                                            </t>
  </si>
  <si>
    <t xml:space="preserve">BAMBAMARCA                                                  </t>
  </si>
  <si>
    <t xml:space="preserve">CHUGUR                                                      </t>
  </si>
  <si>
    <t xml:space="preserve">CHONTALI                                                    </t>
  </si>
  <si>
    <t xml:space="preserve">COLASAY                                                     </t>
  </si>
  <si>
    <t xml:space="preserve">HUABAL                                                      </t>
  </si>
  <si>
    <t xml:space="preserve">LAS PIRIAS                                                  </t>
  </si>
  <si>
    <t xml:space="preserve">POMAHUACA                                                   </t>
  </si>
  <si>
    <t xml:space="preserve">PUCARA                                                      </t>
  </si>
  <si>
    <t xml:space="preserve">SALLIQUE                                                    </t>
  </si>
  <si>
    <t xml:space="preserve">SAN FELIPE                                                  </t>
  </si>
  <si>
    <t xml:space="preserve">SAN JOSE DEL ALTO                                           </t>
  </si>
  <si>
    <t xml:space="preserve">CHIRINOS                                                    </t>
  </si>
  <si>
    <t xml:space="preserve">HUARANGO                                                    </t>
  </si>
  <si>
    <t xml:space="preserve">LA COIPA                                                    </t>
  </si>
  <si>
    <t xml:space="preserve">NAMBALLE                                                    </t>
  </si>
  <si>
    <t xml:space="preserve">SAN JOSE DE LOURDES                                         </t>
  </si>
  <si>
    <t xml:space="preserve">TABACONAS                                                   </t>
  </si>
  <si>
    <t xml:space="preserve">PEDRO GALVEZ                                                </t>
  </si>
  <si>
    <t xml:space="preserve">CHANCAY                                                     </t>
  </si>
  <si>
    <t xml:space="preserve">EDUARDO VILLANUEVA                                          </t>
  </si>
  <si>
    <t xml:space="preserve">GREGORIO PITA                                               </t>
  </si>
  <si>
    <t xml:space="preserve">ICHOCAN                                                     </t>
  </si>
  <si>
    <t xml:space="preserve">JOSE MANUEL QUIROZ                                          </t>
  </si>
  <si>
    <t xml:space="preserve">JOSE SABOGAL                                                </t>
  </si>
  <si>
    <t xml:space="preserve">CALQUIS                                                     </t>
  </si>
  <si>
    <t xml:space="preserve">CATILLUC                                                    </t>
  </si>
  <si>
    <t xml:space="preserve">EL PRADO                                                    </t>
  </si>
  <si>
    <t xml:space="preserve">LA FLORIDA                                                  </t>
  </si>
  <si>
    <t xml:space="preserve">LLAPA                                                       </t>
  </si>
  <si>
    <t xml:space="preserve">NANCHOC                                                     </t>
  </si>
  <si>
    <t xml:space="preserve">NIEPOS                                                      </t>
  </si>
  <si>
    <t xml:space="preserve">SAN GREGORIO                                                </t>
  </si>
  <si>
    <t xml:space="preserve">SAN SILVESTRE DE COCHAN                                     </t>
  </si>
  <si>
    <t xml:space="preserve">TONGOD                                                      </t>
  </si>
  <si>
    <t xml:space="preserve">UNION AGUA BLANCA                                           </t>
  </si>
  <si>
    <t xml:space="preserve">SAN BERNARDINO                                              </t>
  </si>
  <si>
    <t xml:space="preserve">TUMBADEN                                                    </t>
  </si>
  <si>
    <t xml:space="preserve">ANDABAMBA                                                   </t>
  </si>
  <si>
    <t xml:space="preserve">CATACHE                                                     </t>
  </si>
  <si>
    <t xml:space="preserve">CHANCAYBAÑOS                                                </t>
  </si>
  <si>
    <t xml:space="preserve">LA ESPERANZA                                                </t>
  </si>
  <si>
    <t xml:space="preserve">NINABAMBA                                                   </t>
  </si>
  <si>
    <t xml:space="preserve">PULAN                                                       </t>
  </si>
  <si>
    <t xml:space="preserve">SAUCEPAMPA                                                  </t>
  </si>
  <si>
    <t xml:space="preserve">SEXI                                                        </t>
  </si>
  <si>
    <t xml:space="preserve">UTICYACU                                                    </t>
  </si>
  <si>
    <t xml:space="preserve">YAUYUCAN                                                    </t>
  </si>
  <si>
    <t xml:space="preserve">CARMEN DE LA LEGUA REYNOSO                                  </t>
  </si>
  <si>
    <t xml:space="preserve">LA PERLA                                                    </t>
  </si>
  <si>
    <t xml:space="preserve">LA PUNTA                                                    </t>
  </si>
  <si>
    <t xml:space="preserve">VENTANILLA                                                  </t>
  </si>
  <si>
    <t xml:space="preserve">CCORCA                                                      </t>
  </si>
  <si>
    <t xml:space="preserve">POROY                                                       </t>
  </si>
  <si>
    <t xml:space="preserve">SAN SEBASTIAN                                               </t>
  </si>
  <si>
    <t xml:space="preserve">SANTIAGO                                                    </t>
  </si>
  <si>
    <t xml:space="preserve">SAYLLA                                                      </t>
  </si>
  <si>
    <t xml:space="preserve">WANCHAQ                                                     </t>
  </si>
  <si>
    <t xml:space="preserve">ACOPIA                                                      </t>
  </si>
  <si>
    <t xml:space="preserve">ACOS                                                        </t>
  </si>
  <si>
    <t xml:space="preserve">MOSOC LLACTA                                                </t>
  </si>
  <si>
    <t xml:space="preserve">POMACANCHI                                                  </t>
  </si>
  <si>
    <t xml:space="preserve">RONDOCAN                                                    </t>
  </si>
  <si>
    <t xml:space="preserve">SANGARARA                                                   </t>
  </si>
  <si>
    <t xml:space="preserve">ANCAHUASI                                                   </t>
  </si>
  <si>
    <t xml:space="preserve">CACHIMAYO                                                   </t>
  </si>
  <si>
    <t xml:space="preserve">CHINCHAYPUJIO                                               </t>
  </si>
  <si>
    <t xml:space="preserve">HUAROCONDO                                                  </t>
  </si>
  <si>
    <t xml:space="preserve">LIMATAMBO                                                   </t>
  </si>
  <si>
    <t xml:space="preserve">MOLLEPATA                                                   </t>
  </si>
  <si>
    <t xml:space="preserve">PUCYURA                                                     </t>
  </si>
  <si>
    <t xml:space="preserve">ZURITE                                                      </t>
  </si>
  <si>
    <t xml:space="preserve">COYA                                                        </t>
  </si>
  <si>
    <t xml:space="preserve">LAMAY                                                       </t>
  </si>
  <si>
    <t xml:space="preserve">LARES                                                       </t>
  </si>
  <si>
    <t xml:space="preserve">PISAC                                                       </t>
  </si>
  <si>
    <t xml:space="preserve">SAN SALVADOR                                                </t>
  </si>
  <si>
    <t xml:space="preserve">TARAY                                                       </t>
  </si>
  <si>
    <t xml:space="preserve">YANATILE                                                    </t>
  </si>
  <si>
    <t xml:space="preserve">YANAOCA                                                     </t>
  </si>
  <si>
    <t xml:space="preserve">CHECCA                                                      </t>
  </si>
  <si>
    <t xml:space="preserve">KUNTURKANKI                                                 </t>
  </si>
  <si>
    <t xml:space="preserve">LANGUI                                                      </t>
  </si>
  <si>
    <t xml:space="preserve">LAYO                                                        </t>
  </si>
  <si>
    <t xml:space="preserve">QUEHUE                                                      </t>
  </si>
  <si>
    <t xml:space="preserve">TUPAC AMARU                                                 </t>
  </si>
  <si>
    <t xml:space="preserve">SICUANI                                                     </t>
  </si>
  <si>
    <t xml:space="preserve">CHECACUPE                                                   </t>
  </si>
  <si>
    <t xml:space="preserve">COMBAPATA                                                   </t>
  </si>
  <si>
    <t xml:space="preserve">MARANGANI                                                   </t>
  </si>
  <si>
    <t xml:space="preserve">PITUMARCA                                                   </t>
  </si>
  <si>
    <t xml:space="preserve">TINTA                                                       </t>
  </si>
  <si>
    <t xml:space="preserve">CAPACMARCA                                                  </t>
  </si>
  <si>
    <t xml:space="preserve">CHAMACA                                                     </t>
  </si>
  <si>
    <t xml:space="preserve">COLQUEMARCA                                                 </t>
  </si>
  <si>
    <t xml:space="preserve">LIVITACA                                                    </t>
  </si>
  <si>
    <t xml:space="preserve">LLUSCO                                                      </t>
  </si>
  <si>
    <t xml:space="preserve">QUIÑOTA                                                     </t>
  </si>
  <si>
    <t xml:space="preserve">VELILLE                                                     </t>
  </si>
  <si>
    <t xml:space="preserve">CONDOROMA                                                   </t>
  </si>
  <si>
    <t xml:space="preserve">OCORURO                                                     </t>
  </si>
  <si>
    <t xml:space="preserve">PALLPATA                                                    </t>
  </si>
  <si>
    <t xml:space="preserve">PICHIGUA                                                    </t>
  </si>
  <si>
    <t xml:space="preserve">SUYCKUTAMBO                                                 </t>
  </si>
  <si>
    <t xml:space="preserve">ALTO PICHIGUA                                               </t>
  </si>
  <si>
    <t xml:space="preserve">SANTA ANA                                                   </t>
  </si>
  <si>
    <t xml:space="preserve">ECHARATE                                                    </t>
  </si>
  <si>
    <t xml:space="preserve">HUAYOPATA                                                   </t>
  </si>
  <si>
    <t xml:space="preserve">MARANURA                                                    </t>
  </si>
  <si>
    <t xml:space="preserve">QUELLOUNO                                                   </t>
  </si>
  <si>
    <t xml:space="preserve">KIMBIRI                                                     </t>
  </si>
  <si>
    <t xml:space="preserve">SANTA TERESA                                                </t>
  </si>
  <si>
    <t xml:space="preserve">PICHARI                                                     </t>
  </si>
  <si>
    <t xml:space="preserve">ACCHA                                                       </t>
  </si>
  <si>
    <t xml:space="preserve">CCAPI                                                       </t>
  </si>
  <si>
    <t xml:space="preserve">COLCHA                                                      </t>
  </si>
  <si>
    <t xml:space="preserve">HUANOQUITE                                                  </t>
  </si>
  <si>
    <t xml:space="preserve">OMACHA                                                      </t>
  </si>
  <si>
    <t xml:space="preserve">PACCARITAMBO                                                </t>
  </si>
  <si>
    <t xml:space="preserve">PILLPINTO                                                   </t>
  </si>
  <si>
    <t xml:space="preserve">YAURISQUE                                                   </t>
  </si>
  <si>
    <t xml:space="preserve">CAICAY                                                      </t>
  </si>
  <si>
    <t xml:space="preserve">CHALLABAMBA                                                 </t>
  </si>
  <si>
    <t xml:space="preserve">COLQUEPATA                                                  </t>
  </si>
  <si>
    <t xml:space="preserve">HUANCARANI                                                  </t>
  </si>
  <si>
    <t xml:space="preserve">KOSÑIPATA                                                   </t>
  </si>
  <si>
    <t xml:space="preserve">URCOS                                                       </t>
  </si>
  <si>
    <t xml:space="preserve">ANDAHUAYLILLAS                                              </t>
  </si>
  <si>
    <t xml:space="preserve">CAMANTI                                                     </t>
  </si>
  <si>
    <t xml:space="preserve">CCARHUAYO                                                   </t>
  </si>
  <si>
    <t xml:space="preserve">CCATCA                                                      </t>
  </si>
  <si>
    <t xml:space="preserve">CUSIPATA                                                    </t>
  </si>
  <si>
    <t xml:space="preserve">HUARO                                                       </t>
  </si>
  <si>
    <t xml:space="preserve">MARCAPATA                                                   </t>
  </si>
  <si>
    <t xml:space="preserve">OCONGATE                                                    </t>
  </si>
  <si>
    <t xml:space="preserve">QUIQUIJANA                                                  </t>
  </si>
  <si>
    <t xml:space="preserve">CHINCHERO                                                   </t>
  </si>
  <si>
    <t xml:space="preserve">MACHUPICCHU                                                 </t>
  </si>
  <si>
    <t xml:space="preserve">MARAS                                                       </t>
  </si>
  <si>
    <t xml:space="preserve">OLLANTAYTAMBO                                               </t>
  </si>
  <si>
    <t xml:space="preserve">YUCAY                                                       </t>
  </si>
  <si>
    <t xml:space="preserve">ACOBAMBILLA                                                 </t>
  </si>
  <si>
    <t xml:space="preserve">ACORIA                                                      </t>
  </si>
  <si>
    <t xml:space="preserve">CONAYCA                                                     </t>
  </si>
  <si>
    <t xml:space="preserve">CUENCA                                                      </t>
  </si>
  <si>
    <t xml:space="preserve">HUACHOCOLPA                                                 </t>
  </si>
  <si>
    <t xml:space="preserve">HUAYLLAHUARA                                                </t>
  </si>
  <si>
    <t xml:space="preserve">IZCUCHACA                                                   </t>
  </si>
  <si>
    <t xml:space="preserve">LARIA                                                       </t>
  </si>
  <si>
    <t xml:space="preserve">MANTA                                                       </t>
  </si>
  <si>
    <t xml:space="preserve">MOYA                                                        </t>
  </si>
  <si>
    <t xml:space="preserve">NUEVO OCCORO                                                </t>
  </si>
  <si>
    <t xml:space="preserve">PALCA                                                       </t>
  </si>
  <si>
    <t xml:space="preserve">PILCHACA                                                    </t>
  </si>
  <si>
    <t xml:space="preserve">VILCA                                                       </t>
  </si>
  <si>
    <t xml:space="preserve">ASCENSION                                                   </t>
  </si>
  <si>
    <t xml:space="preserve">HUANDO                                                      </t>
  </si>
  <si>
    <t xml:space="preserve">CAJA                                                        </t>
  </si>
  <si>
    <t xml:space="preserve">MARCAS                                                      </t>
  </si>
  <si>
    <t xml:space="preserve">PAUCARA                                                     </t>
  </si>
  <si>
    <t xml:space="preserve">ROSARIO                                                     </t>
  </si>
  <si>
    <t xml:space="preserve">LIRCAY                                                      </t>
  </si>
  <si>
    <t xml:space="preserve">ANCHONGA                                                    </t>
  </si>
  <si>
    <t xml:space="preserve">CALLANMARCA                                                 </t>
  </si>
  <si>
    <t xml:space="preserve">CCOCHACCASA                                                 </t>
  </si>
  <si>
    <t xml:space="preserve">CHINCHO                                                     </t>
  </si>
  <si>
    <t xml:space="preserve">CONGALLA                                                    </t>
  </si>
  <si>
    <t xml:space="preserve">HUANCA-HUANCA                                               </t>
  </si>
  <si>
    <t xml:space="preserve">HUAYLLAY GRANDE                                             </t>
  </si>
  <si>
    <t xml:space="preserve">JULCAMARCA                                                  </t>
  </si>
  <si>
    <t xml:space="preserve">SAN ANTONIO DE ANTAPARCO                                    </t>
  </si>
  <si>
    <t xml:space="preserve">SANTO TOMAS DE PATA                                         </t>
  </si>
  <si>
    <t xml:space="preserve">SECCLLA                                                     </t>
  </si>
  <si>
    <t xml:space="preserve">ARMA                                                        </t>
  </si>
  <si>
    <t xml:space="preserve">AURAHUA                                                     </t>
  </si>
  <si>
    <t xml:space="preserve">CAPILLAS                                                    </t>
  </si>
  <si>
    <t xml:space="preserve">CHUPAMARCA                                                  </t>
  </si>
  <si>
    <t xml:space="preserve">COCAS                                                       </t>
  </si>
  <si>
    <t xml:space="preserve">HUACHOS                                                     </t>
  </si>
  <si>
    <t xml:space="preserve">HUAMATAMBO                                                  </t>
  </si>
  <si>
    <t xml:space="preserve">MOLLEPAMPA                                                  </t>
  </si>
  <si>
    <t xml:space="preserve">TANTARA                                                     </t>
  </si>
  <si>
    <t xml:space="preserve">TICRAPO                                                     </t>
  </si>
  <si>
    <t xml:space="preserve">CHINCHIHUASI                                                </t>
  </si>
  <si>
    <t xml:space="preserve">EL CARMEN                                                   </t>
  </si>
  <si>
    <t xml:space="preserve">LOCROJA                                                     </t>
  </si>
  <si>
    <t xml:space="preserve">PAUCARBAMBA                                                 </t>
  </si>
  <si>
    <t xml:space="preserve">SAN MIGUEL DE MAYOCC                                        </t>
  </si>
  <si>
    <t xml:space="preserve">SAN PEDRO DE CORIS                                          </t>
  </si>
  <si>
    <t xml:space="preserve">PACHAMARCA                                                  </t>
  </si>
  <si>
    <t xml:space="preserve">AYAVI                                                       </t>
  </si>
  <si>
    <t xml:space="preserve">CORDOVA                                                     </t>
  </si>
  <si>
    <t xml:space="preserve">HUAYACUNDO ARMA                                             </t>
  </si>
  <si>
    <t xml:space="preserve">LARAMARCA                                                   </t>
  </si>
  <si>
    <t xml:space="preserve">OCOYO                                                       </t>
  </si>
  <si>
    <t xml:space="preserve">PILPICHACA                                                  </t>
  </si>
  <si>
    <t xml:space="preserve">QUERCO                                                      </t>
  </si>
  <si>
    <t xml:space="preserve">QUITO-ARMA                                                  </t>
  </si>
  <si>
    <t xml:space="preserve">SAN ANTONIO DE CUSICANCHA                                   </t>
  </si>
  <si>
    <t xml:space="preserve">SAN FRANCISCO DE SANGAYAICO                                 </t>
  </si>
  <si>
    <t xml:space="preserve">SAN ISIDRO                                                  </t>
  </si>
  <si>
    <t xml:space="preserve">SANTIAGO DE CHOCORVOS                                       </t>
  </si>
  <si>
    <t xml:space="preserve">SANTIAGO DE QUIRAHUARA                                      </t>
  </si>
  <si>
    <t xml:space="preserve">SANTO DOMINGO DE CAPILLAS                                   </t>
  </si>
  <si>
    <t xml:space="preserve">ACOSTAMBO                                                   </t>
  </si>
  <si>
    <t xml:space="preserve">ACRAQUIA                                                    </t>
  </si>
  <si>
    <t xml:space="preserve">AHUAYCHA                                                    </t>
  </si>
  <si>
    <t xml:space="preserve">DANIEL HERNANDEZ                                            </t>
  </si>
  <si>
    <t xml:space="preserve">HUARIBAMBA                                                  </t>
  </si>
  <si>
    <t xml:space="preserve">ÑAHUIMPUQUIO                                                </t>
  </si>
  <si>
    <t xml:space="preserve">PAZOS                                                       </t>
  </si>
  <si>
    <t xml:space="preserve">QUISHUAR                                                    </t>
  </si>
  <si>
    <t xml:space="preserve">SALCABAMBA                                                  </t>
  </si>
  <si>
    <t xml:space="preserve">SALCAHUASI                                                  </t>
  </si>
  <si>
    <t xml:space="preserve">SAN MARCOS DE ROCCHAC                                       </t>
  </si>
  <si>
    <t xml:space="preserve">SURCUBAMBA                                                  </t>
  </si>
  <si>
    <t xml:space="preserve">TINTAY PUNCU                                                </t>
  </si>
  <si>
    <t xml:space="preserve">AMARILIS                                                    </t>
  </si>
  <si>
    <t xml:space="preserve">CHINCHAO                                                    </t>
  </si>
  <si>
    <t xml:space="preserve">CHURUBAMBA                                                  </t>
  </si>
  <si>
    <t xml:space="preserve">MARGOS                                                      </t>
  </si>
  <si>
    <t xml:space="preserve">QUISQUI                                                     </t>
  </si>
  <si>
    <t xml:space="preserve">SAN FRANCISCO DE CAYRAN                                     </t>
  </si>
  <si>
    <t xml:space="preserve">SAN PEDRO DE CHAULAN                                        </t>
  </si>
  <si>
    <t xml:space="preserve">SANTA MARIA DEL VALLE                                       </t>
  </si>
  <si>
    <t xml:space="preserve">YARUMAYO                                                    </t>
  </si>
  <si>
    <t xml:space="preserve">PILLCO MARCA                                                </t>
  </si>
  <si>
    <t xml:space="preserve">CAYNA                                                       </t>
  </si>
  <si>
    <t xml:space="preserve">COLPAS                                                      </t>
  </si>
  <si>
    <t xml:space="preserve">CONCHAMARCA                                                 </t>
  </si>
  <si>
    <t xml:space="preserve">HUACAR                                                      </t>
  </si>
  <si>
    <t xml:space="preserve">SAN FRANCISCO                                               </t>
  </si>
  <si>
    <t xml:space="preserve">SAN RAFAEL                                                  </t>
  </si>
  <si>
    <t xml:space="preserve">TOMAY KICHWA                                                </t>
  </si>
  <si>
    <t xml:space="preserve">CHUQUIS                                                     </t>
  </si>
  <si>
    <t xml:space="preserve">MARIAS                                                      </t>
  </si>
  <si>
    <t xml:space="preserve">PACHAS                                                      </t>
  </si>
  <si>
    <t xml:space="preserve">QUIVILLA                                                    </t>
  </si>
  <si>
    <t xml:space="preserve">RIPAN                                                       </t>
  </si>
  <si>
    <t xml:space="preserve">SHUNQUI                                                     </t>
  </si>
  <si>
    <t xml:space="preserve">SILLAPATA                                                   </t>
  </si>
  <si>
    <t xml:space="preserve">YANAS                                                       </t>
  </si>
  <si>
    <t xml:space="preserve">CANCHABAMBA                                                 </t>
  </si>
  <si>
    <t xml:space="preserve">PINRA                                                       </t>
  </si>
  <si>
    <t xml:space="preserve">LLATA                                                       </t>
  </si>
  <si>
    <t xml:space="preserve">ARANCAY                                                     </t>
  </si>
  <si>
    <t xml:space="preserve">CHAVIN DE PARIARCA                                          </t>
  </si>
  <si>
    <t xml:space="preserve">JACAS GRANDE                                                </t>
  </si>
  <si>
    <t xml:space="preserve">JIRCAN                                                      </t>
  </si>
  <si>
    <t xml:space="preserve">MONZON                                                      </t>
  </si>
  <si>
    <t xml:space="preserve">PUNCHAO                                                     </t>
  </si>
  <si>
    <t xml:space="preserve">PUÑOS                                                       </t>
  </si>
  <si>
    <t xml:space="preserve">SINGA                                                       </t>
  </si>
  <si>
    <t xml:space="preserve">TANTAMAYO                                                   </t>
  </si>
  <si>
    <t xml:space="preserve">RUPA-RUPA                                                   </t>
  </si>
  <si>
    <t xml:space="preserve">DANIEL ALOMIAS ROBLES                                       </t>
  </si>
  <si>
    <t xml:space="preserve">HERMILIO VALDIZAN                                           </t>
  </si>
  <si>
    <t xml:space="preserve">JOSE CRESPO Y CASTILLO                                      </t>
  </si>
  <si>
    <t xml:space="preserve">LUYANDO                                                     </t>
  </si>
  <si>
    <t xml:space="preserve">MARIANO DAMASO BERAUN                                       </t>
  </si>
  <si>
    <t xml:space="preserve">HUACRACHUCO                                                 </t>
  </si>
  <si>
    <t xml:space="preserve">CHOLON                                                      </t>
  </si>
  <si>
    <t xml:space="preserve">SAN BUENAVENTURA                                            </t>
  </si>
  <si>
    <t xml:space="preserve">PANAO                                                       </t>
  </si>
  <si>
    <t xml:space="preserve">CHAGLLA                                                     </t>
  </si>
  <si>
    <t xml:space="preserve">MOLINO                                                      </t>
  </si>
  <si>
    <t xml:space="preserve">UMARI                                                       </t>
  </si>
  <si>
    <t xml:space="preserve">CODO DEL POZUZO                                             </t>
  </si>
  <si>
    <t xml:space="preserve">HONORIA                                                     </t>
  </si>
  <si>
    <t xml:space="preserve">TOURNAVISTA                                                 </t>
  </si>
  <si>
    <t xml:space="preserve">YUYAPICHIS                                                  </t>
  </si>
  <si>
    <t xml:space="preserve">BAÑOS                                                       </t>
  </si>
  <si>
    <t xml:space="preserve">JIVIA                                                       </t>
  </si>
  <si>
    <t xml:space="preserve">QUEROPALCA                                                  </t>
  </si>
  <si>
    <t xml:space="preserve">RONDOS                                                      </t>
  </si>
  <si>
    <t xml:space="preserve">SAN FRANCISCO DE ASIS                                       </t>
  </si>
  <si>
    <t xml:space="preserve">SAN MIGUEL DE CAURI                                         </t>
  </si>
  <si>
    <t xml:space="preserve">CHAVINILLO                                                  </t>
  </si>
  <si>
    <t xml:space="preserve">CAHUAC                                                      </t>
  </si>
  <si>
    <t xml:space="preserve">CHACABAMBA                                                  </t>
  </si>
  <si>
    <t xml:space="preserve">APARICIO POMARES                                            </t>
  </si>
  <si>
    <t xml:space="preserve">JACAS CHICO                                                 </t>
  </si>
  <si>
    <t xml:space="preserve">OBAS                                                        </t>
  </si>
  <si>
    <t xml:space="preserve">CHORAS                                                      </t>
  </si>
  <si>
    <t xml:space="preserve">LA TINGUIÑA                                                 </t>
  </si>
  <si>
    <t xml:space="preserve">LOS AQUIJES                                                 </t>
  </si>
  <si>
    <t xml:space="preserve">OCUCAJE                                                     </t>
  </si>
  <si>
    <t xml:space="preserve">PACHACUTEC                                                  </t>
  </si>
  <si>
    <t xml:space="preserve">PARCONA                                                     </t>
  </si>
  <si>
    <t xml:space="preserve">PUEBLO NUEVO                                                </t>
  </si>
  <si>
    <t xml:space="preserve">SALAS                                                       </t>
  </si>
  <si>
    <t xml:space="preserve">SAN JOSE DE LOS MOLINOS                                     </t>
  </si>
  <si>
    <t xml:space="preserve">SUBTANJALLA                                                 </t>
  </si>
  <si>
    <t xml:space="preserve">TATE                                                        </t>
  </si>
  <si>
    <t xml:space="preserve">YAUCA DEL ROSARIO                                           </t>
  </si>
  <si>
    <t xml:space="preserve">CHINCHA ALTA                                                </t>
  </si>
  <si>
    <t xml:space="preserve">ALTO LARAN                                                  </t>
  </si>
  <si>
    <t xml:space="preserve">CHAVIN                                                      </t>
  </si>
  <si>
    <t xml:space="preserve">CHINCHA BAJA                                                </t>
  </si>
  <si>
    <t xml:space="preserve">GROCIO PRADO                                                </t>
  </si>
  <si>
    <t xml:space="preserve">SAN JUAN DE YANAC                                           </t>
  </si>
  <si>
    <t xml:space="preserve">SAN PEDRO DE HUACARPANA                                     </t>
  </si>
  <si>
    <t xml:space="preserve">SUNAMPE                                                     </t>
  </si>
  <si>
    <t xml:space="preserve">TAMBO DE MORA                                               </t>
  </si>
  <si>
    <t xml:space="preserve">CHANGUILLO                                                  </t>
  </si>
  <si>
    <t xml:space="preserve">EL INGENIO                                                  </t>
  </si>
  <si>
    <t xml:space="preserve">MARCONA                                                     </t>
  </si>
  <si>
    <t xml:space="preserve">LLIPATA                                                     </t>
  </si>
  <si>
    <t xml:space="preserve">TIBILLO                                                     </t>
  </si>
  <si>
    <t xml:space="preserve">HUANCANO                                                    </t>
  </si>
  <si>
    <t xml:space="preserve">HUMAY                                                       </t>
  </si>
  <si>
    <t xml:space="preserve">PARACAS                                                     </t>
  </si>
  <si>
    <t xml:space="preserve">SAN ANDRES                                                  </t>
  </si>
  <si>
    <t xml:space="preserve">SAN CLEMENTE                                                </t>
  </si>
  <si>
    <t xml:space="preserve">TUPAC AMARU INCA                                            </t>
  </si>
  <si>
    <t xml:space="preserve">CARHUACALLANGA                                              </t>
  </si>
  <si>
    <t xml:space="preserve">CHACAPAMPA                                                  </t>
  </si>
  <si>
    <t xml:space="preserve">CHICCHE                                                     </t>
  </si>
  <si>
    <t xml:space="preserve">CHILCA                                                      </t>
  </si>
  <si>
    <t xml:space="preserve">CHONGOS ALTO                                                </t>
  </si>
  <si>
    <t xml:space="preserve">CHUPURO                                                     </t>
  </si>
  <si>
    <t xml:space="preserve">CULLHUAS                                                    </t>
  </si>
  <si>
    <t xml:space="preserve">EL TAMBO                                                    </t>
  </si>
  <si>
    <t xml:space="preserve">HUACRAPUQUIO                                                </t>
  </si>
  <si>
    <t xml:space="preserve">HUALHUAS                                                    </t>
  </si>
  <si>
    <t xml:space="preserve">HUANCAN                                                     </t>
  </si>
  <si>
    <t xml:space="preserve">HUASICANCHA                                                 </t>
  </si>
  <si>
    <t xml:space="preserve">HUAYUCACHI                                                  </t>
  </si>
  <si>
    <t xml:space="preserve">INGENIO                                                     </t>
  </si>
  <si>
    <t xml:space="preserve">PILCOMAYO                                                   </t>
  </si>
  <si>
    <t xml:space="preserve">QUICHUAY                                                    </t>
  </si>
  <si>
    <t xml:space="preserve">QUILCAS                                                     </t>
  </si>
  <si>
    <t xml:space="preserve">SAN AGUSTIN                                                 </t>
  </si>
  <si>
    <t>30</t>
  </si>
  <si>
    <t xml:space="preserve">SAN JERONIMO DE TUNAN                                       </t>
  </si>
  <si>
    <t>32</t>
  </si>
  <si>
    <t xml:space="preserve">SAÑO                                                        </t>
  </si>
  <si>
    <t>33</t>
  </si>
  <si>
    <t xml:space="preserve">SAPALLANGA                                                  </t>
  </si>
  <si>
    <t>34</t>
  </si>
  <si>
    <t xml:space="preserve">SICAYA                                                      </t>
  </si>
  <si>
    <t>35</t>
  </si>
  <si>
    <t xml:space="preserve">SANTO DOMINGO DE ACOBAMBA                                   </t>
  </si>
  <si>
    <t>36</t>
  </si>
  <si>
    <t xml:space="preserve">VIQUES                                                      </t>
  </si>
  <si>
    <t xml:space="preserve">ANDAMARCA                                                   </t>
  </si>
  <si>
    <t xml:space="preserve">CHAMBARA                                                    </t>
  </si>
  <si>
    <t xml:space="preserve">COMAS                                                       </t>
  </si>
  <si>
    <t xml:space="preserve">HEROINAS TOLEDO                                             </t>
  </si>
  <si>
    <t xml:space="preserve">MANZANARES                                                  </t>
  </si>
  <si>
    <t xml:space="preserve">MATAHUASI                                                   </t>
  </si>
  <si>
    <t xml:space="preserve">MITO                                                        </t>
  </si>
  <si>
    <t xml:space="preserve">NUEVE DE JULIO                                              </t>
  </si>
  <si>
    <t xml:space="preserve">ORCOTUNA                                                    </t>
  </si>
  <si>
    <t xml:space="preserve">SAN JOSE DE QUERO                                           </t>
  </si>
  <si>
    <t xml:space="preserve">SANTA ROSA DE OCOPA                                         </t>
  </si>
  <si>
    <t xml:space="preserve">PERENE                                                      </t>
  </si>
  <si>
    <t xml:space="preserve">PICHANAQUI                                                  </t>
  </si>
  <si>
    <t xml:space="preserve">SAN LUIS DE SHUARO                                          </t>
  </si>
  <si>
    <t xml:space="preserve">SAN RAMON                                                   </t>
  </si>
  <si>
    <t xml:space="preserve">VITOC                                                       </t>
  </si>
  <si>
    <t xml:space="preserve">ACOLLA                                                      </t>
  </si>
  <si>
    <t xml:space="preserve">APATA                                                       </t>
  </si>
  <si>
    <t xml:space="preserve">ATAURA                                                      </t>
  </si>
  <si>
    <t xml:space="preserve">CANCHAYLLO                                                  </t>
  </si>
  <si>
    <t xml:space="preserve">CURICACA                                                    </t>
  </si>
  <si>
    <t xml:space="preserve">EL MANTARO                                                  </t>
  </si>
  <si>
    <t xml:space="preserve">HUAMALI                                                     </t>
  </si>
  <si>
    <t xml:space="preserve">HUARIPAMPA                                                  </t>
  </si>
  <si>
    <t xml:space="preserve">HUERTAS                                                     </t>
  </si>
  <si>
    <t xml:space="preserve">JANJAILLO                                                   </t>
  </si>
  <si>
    <t xml:space="preserve">LEONOR ORDOÑEZ                                              </t>
  </si>
  <si>
    <t xml:space="preserve">LLOCLLAPAMPA                                                </t>
  </si>
  <si>
    <t xml:space="preserve">MARCO                                                       </t>
  </si>
  <si>
    <t xml:space="preserve">MASMA                                                       </t>
  </si>
  <si>
    <t xml:space="preserve">MASMA CHICCHE                                               </t>
  </si>
  <si>
    <t xml:space="preserve">MOLINOS                                                     </t>
  </si>
  <si>
    <t xml:space="preserve">MONOBAMBA                                                   </t>
  </si>
  <si>
    <t xml:space="preserve">MUQUI                                                       </t>
  </si>
  <si>
    <t xml:space="preserve">MUQUIYAUYO                                                  </t>
  </si>
  <si>
    <t xml:space="preserve">PACA                                                        </t>
  </si>
  <si>
    <t xml:space="preserve">PANCAN                                                      </t>
  </si>
  <si>
    <t xml:space="preserve">PARCO                                                       </t>
  </si>
  <si>
    <t xml:space="preserve">POMACANCHA                                                  </t>
  </si>
  <si>
    <t xml:space="preserve">RICRAN                                                      </t>
  </si>
  <si>
    <t xml:space="preserve">SAN LORENZO                                                 </t>
  </si>
  <si>
    <t xml:space="preserve">SAN PEDRO DE CHUNAN                                         </t>
  </si>
  <si>
    <t xml:space="preserve">SAUSA                                                       </t>
  </si>
  <si>
    <t>31</t>
  </si>
  <si>
    <t xml:space="preserve">SINCOS                                                      </t>
  </si>
  <si>
    <t xml:space="preserve">TUNAN MARCA                                                 </t>
  </si>
  <si>
    <t xml:space="preserve">CARHUAMAYO                                                  </t>
  </si>
  <si>
    <t xml:space="preserve">ONDORES                                                     </t>
  </si>
  <si>
    <t xml:space="preserve">ULCUMAYO                                                    </t>
  </si>
  <si>
    <t xml:space="preserve">COVIRIALI                                                   </t>
  </si>
  <si>
    <t xml:space="preserve">LLAYLLA                                                     </t>
  </si>
  <si>
    <t xml:space="preserve">MAZAMARI                                                    </t>
  </si>
  <si>
    <t xml:space="preserve">PAMPA HERMOSA                                               </t>
  </si>
  <si>
    <t xml:space="preserve">PANGOA                                                      </t>
  </si>
  <si>
    <t xml:space="preserve">RIO NEGRO                                                   </t>
  </si>
  <si>
    <t xml:space="preserve">RIO TAMBO                                                   </t>
  </si>
  <si>
    <t xml:space="preserve">HUARICOLCA                                                  </t>
  </si>
  <si>
    <t xml:space="preserve">HUASAHUASI                                                  </t>
  </si>
  <si>
    <t xml:space="preserve">PALCAMAYO                                                   </t>
  </si>
  <si>
    <t xml:space="preserve">SAN PEDRO DE CAJAS                                          </t>
  </si>
  <si>
    <t xml:space="preserve">TAPO                                                        </t>
  </si>
  <si>
    <t xml:space="preserve">LA OROYA                                                    </t>
  </si>
  <si>
    <t xml:space="preserve">CHACAPALPA                                                  </t>
  </si>
  <si>
    <t xml:space="preserve">HUAY-HUAY                                                   </t>
  </si>
  <si>
    <t xml:space="preserve">MARCAPOMACOCHA                                              </t>
  </si>
  <si>
    <t xml:space="preserve">MOROCOCHA                                                   </t>
  </si>
  <si>
    <t xml:space="preserve">SANTA BARBARA DE CARHUACAYAN                                </t>
  </si>
  <si>
    <t xml:space="preserve">SANTA ROSA DE SACCO                                         </t>
  </si>
  <si>
    <t xml:space="preserve">SUITUCANCHA                                                 </t>
  </si>
  <si>
    <t xml:space="preserve">AHUAC                                                       </t>
  </si>
  <si>
    <t xml:space="preserve">CHONGOS BAJO                                                </t>
  </si>
  <si>
    <t xml:space="preserve">HUACHAC                                                     </t>
  </si>
  <si>
    <t xml:space="preserve">HUAMANCACA CHICO                                            </t>
  </si>
  <si>
    <t xml:space="preserve">SAN JUAN DE YSCOS                                           </t>
  </si>
  <si>
    <t xml:space="preserve">SAN JUAN DE JARPA                                           </t>
  </si>
  <si>
    <t xml:space="preserve">TRES DE DICIEMBRE                                           </t>
  </si>
  <si>
    <t xml:space="preserve">YANACANCHA                                                  </t>
  </si>
  <si>
    <t xml:space="preserve">EL PORVENIR                                                 </t>
  </si>
  <si>
    <t xml:space="preserve">FLORENCIA DE MORA                                           </t>
  </si>
  <si>
    <t xml:space="preserve">HUANCHACO                                                   </t>
  </si>
  <si>
    <t xml:space="preserve">LAREDO                                                      </t>
  </si>
  <si>
    <t xml:space="preserve">MOCHE                                                       </t>
  </si>
  <si>
    <t xml:space="preserve">POROTO                                                      </t>
  </si>
  <si>
    <t xml:space="preserve">SALAVERRY                                                   </t>
  </si>
  <si>
    <t xml:space="preserve">SIMBAL                                                      </t>
  </si>
  <si>
    <t xml:space="preserve">VICTOR LARCO HERRERA                                        </t>
  </si>
  <si>
    <t xml:space="preserve">CHICAMA                                                     </t>
  </si>
  <si>
    <t xml:space="preserve">CHOCOPE                                                     </t>
  </si>
  <si>
    <t xml:space="preserve">MAGDALENA DE CAO                                            </t>
  </si>
  <si>
    <t xml:space="preserve">PAIJAN                                                      </t>
  </si>
  <si>
    <t xml:space="preserve">RAZURI                                                      </t>
  </si>
  <si>
    <t xml:space="preserve">SANTIAGO DE CAO                                             </t>
  </si>
  <si>
    <t xml:space="preserve">CASA GRANDE                                                 </t>
  </si>
  <si>
    <t xml:space="preserve">CONDORMARCA                                                 </t>
  </si>
  <si>
    <t xml:space="preserve">LONGOTEA                                                    </t>
  </si>
  <si>
    <t xml:space="preserve">UCHUMARCA                                                   </t>
  </si>
  <si>
    <t xml:space="preserve">UCUNCHA                                                     </t>
  </si>
  <si>
    <t xml:space="preserve">PACANGA                                                     </t>
  </si>
  <si>
    <t xml:space="preserve">CALAMARCA                                                   </t>
  </si>
  <si>
    <t xml:space="preserve">CARABAMBA                                                   </t>
  </si>
  <si>
    <t xml:space="preserve">HUASO                                                       </t>
  </si>
  <si>
    <t xml:space="preserve">AGALLPAMPA                                                  </t>
  </si>
  <si>
    <t xml:space="preserve">CHARAT                                                      </t>
  </si>
  <si>
    <t xml:space="preserve">HUARANCHAL                                                  </t>
  </si>
  <si>
    <t xml:space="preserve">LA CUESTA                                                   </t>
  </si>
  <si>
    <t xml:space="preserve">MACHE                                                       </t>
  </si>
  <si>
    <t xml:space="preserve">PARANDAY                                                    </t>
  </si>
  <si>
    <t xml:space="preserve">SALPO                                                       </t>
  </si>
  <si>
    <t xml:space="preserve">SINSICAP                                                    </t>
  </si>
  <si>
    <t xml:space="preserve">USQUIL                                                      </t>
  </si>
  <si>
    <t xml:space="preserve">SAN PEDRO DE LLOC                                           </t>
  </si>
  <si>
    <t xml:space="preserve">GUADALUPE                                                   </t>
  </si>
  <si>
    <t xml:space="preserve">JEQUETEPEQUE                                                </t>
  </si>
  <si>
    <t xml:space="preserve">SAN JOSE                                                    </t>
  </si>
  <si>
    <t xml:space="preserve">TAYABAMBA                                                   </t>
  </si>
  <si>
    <t xml:space="preserve">BULDIBUYO                                                   </t>
  </si>
  <si>
    <t xml:space="preserve">CHILLIA                                                     </t>
  </si>
  <si>
    <t xml:space="preserve">HUANCASPATA                                                 </t>
  </si>
  <si>
    <t xml:space="preserve">HUAYLILLAS                                                  </t>
  </si>
  <si>
    <t xml:space="preserve">HUAYO                                                       </t>
  </si>
  <si>
    <t xml:space="preserve">ONGON                                                       </t>
  </si>
  <si>
    <t xml:space="preserve">PARCOY                                                      </t>
  </si>
  <si>
    <t xml:space="preserve">PIAS                                                        </t>
  </si>
  <si>
    <t xml:space="preserve">SANTIAGO DE CHALLAS                                         </t>
  </si>
  <si>
    <t xml:space="preserve">TAURIJA                                                     </t>
  </si>
  <si>
    <t xml:space="preserve">URPAY                                                       </t>
  </si>
  <si>
    <t xml:space="preserve">HUAMACHUCO                                                  </t>
  </si>
  <si>
    <t xml:space="preserve">CHUGAY                                                      </t>
  </si>
  <si>
    <t xml:space="preserve">COCHORCO                                                    </t>
  </si>
  <si>
    <t xml:space="preserve">CURGOS                                                      </t>
  </si>
  <si>
    <t xml:space="preserve">MARCABAL                                                    </t>
  </si>
  <si>
    <t xml:space="preserve">SANAGORAN                                                   </t>
  </si>
  <si>
    <t xml:space="preserve">SARIN                                                       </t>
  </si>
  <si>
    <t xml:space="preserve">SARTIMBAMBA                                                 </t>
  </si>
  <si>
    <t xml:space="preserve">ANGASMARCA                                                  </t>
  </si>
  <si>
    <t xml:space="preserve">CACHICADAN                                                  </t>
  </si>
  <si>
    <t xml:space="preserve">MOLLEBAMBA                                                  </t>
  </si>
  <si>
    <t xml:space="preserve">QUIRUVILCA                                                  </t>
  </si>
  <si>
    <t xml:space="preserve">SANTA CRUZ DE CHUCA                                         </t>
  </si>
  <si>
    <t xml:space="preserve">SITABAMBA                                                   </t>
  </si>
  <si>
    <t xml:space="preserve">CASCAS                                                      </t>
  </si>
  <si>
    <t xml:space="preserve">COMPIN                                                      </t>
  </si>
  <si>
    <t xml:space="preserve">SAYAPULLO                                                   </t>
  </si>
  <si>
    <t xml:space="preserve">CHAO                                                        </t>
  </si>
  <si>
    <t xml:space="preserve">GUADALUPITO                                                 </t>
  </si>
  <si>
    <t xml:space="preserve">CHONGOYAPE                                                  </t>
  </si>
  <si>
    <t xml:space="preserve">ETEN                                                        </t>
  </si>
  <si>
    <t xml:space="preserve">ETEN PUERTO                                                 </t>
  </si>
  <si>
    <t xml:space="preserve">JOSE LEONARDO ORTIZ                                         </t>
  </si>
  <si>
    <t xml:space="preserve">LA VICTORIA                                                 </t>
  </si>
  <si>
    <t xml:space="preserve">LAGUNAS                                                     </t>
  </si>
  <si>
    <t xml:space="preserve">MONSEFU                                                     </t>
  </si>
  <si>
    <t xml:space="preserve">NUEVA ARICA                                                 </t>
  </si>
  <si>
    <t xml:space="preserve">OYOTUN                                                      </t>
  </si>
  <si>
    <t xml:space="preserve">PICSI                                                       </t>
  </si>
  <si>
    <t xml:space="preserve">PIMENTEL                                                    </t>
  </si>
  <si>
    <t xml:space="preserve">REQUE                                                       </t>
  </si>
  <si>
    <t xml:space="preserve">SAÑA                                                        </t>
  </si>
  <si>
    <t xml:space="preserve">CAYALTI                                                     </t>
  </si>
  <si>
    <t xml:space="preserve">PATAPO                                                      </t>
  </si>
  <si>
    <t xml:space="preserve">POMALCA                                                     </t>
  </si>
  <si>
    <t xml:space="preserve">PUCALA                                                      </t>
  </si>
  <si>
    <t xml:space="preserve">TUMAN                                                       </t>
  </si>
  <si>
    <t xml:space="preserve">CAÑARIS                                                     </t>
  </si>
  <si>
    <t xml:space="preserve">INCAHUASI                                                   </t>
  </si>
  <si>
    <t xml:space="preserve">MANUEL ANTONIO MESONES MURO                                 </t>
  </si>
  <si>
    <t xml:space="preserve">PITIPO                                                      </t>
  </si>
  <si>
    <t xml:space="preserve">CHOCHOPE                                                    </t>
  </si>
  <si>
    <t xml:space="preserve">ILLIMO                                                      </t>
  </si>
  <si>
    <t xml:space="preserve">JAYANCA                                                     </t>
  </si>
  <si>
    <t xml:space="preserve">MOCHUMI                                                     </t>
  </si>
  <si>
    <t xml:space="preserve">MORROPE                                                     </t>
  </si>
  <si>
    <t xml:space="preserve">MOTUPE                                                      </t>
  </si>
  <si>
    <t xml:space="preserve">OLMOS                                                       </t>
  </si>
  <si>
    <t xml:space="preserve">PACORA                                                      </t>
  </si>
  <si>
    <t xml:space="preserve">TUCUME                                                      </t>
  </si>
  <si>
    <t xml:space="preserve">ANCON                                                       </t>
  </si>
  <si>
    <t xml:space="preserve">ATE                                                         </t>
  </si>
  <si>
    <t xml:space="preserve">BARRANCO                                                    </t>
  </si>
  <si>
    <t xml:space="preserve">BREÑA                                                       </t>
  </si>
  <si>
    <t xml:space="preserve">CARABAYLLO                                                  </t>
  </si>
  <si>
    <t xml:space="preserve">CHACLACAYO                                                  </t>
  </si>
  <si>
    <t xml:space="preserve">CHORRILLOS                                                  </t>
  </si>
  <si>
    <t xml:space="preserve">CIENEGUILLA                                                 </t>
  </si>
  <si>
    <t xml:space="preserve">EL AGUSTINO                                                 </t>
  </si>
  <si>
    <t xml:space="preserve">JESUS MARIA                                                 </t>
  </si>
  <si>
    <t xml:space="preserve">LA MOLINA                                                   </t>
  </si>
  <si>
    <t xml:space="preserve">LINCE                                                       </t>
  </si>
  <si>
    <t xml:space="preserve">LOS OLIVOS                                                  </t>
  </si>
  <si>
    <t xml:space="preserve">LURIGANCHO                                                  </t>
  </si>
  <si>
    <t xml:space="preserve">LURIN                                                       </t>
  </si>
  <si>
    <t xml:space="preserve">MAGDALENA DEL MAR                                           </t>
  </si>
  <si>
    <t xml:space="preserve">PUEBLO LIBRE (MAGDALENA VIEJA)                              </t>
  </si>
  <si>
    <t xml:space="preserve">PACHACAMAC                                                  </t>
  </si>
  <si>
    <t xml:space="preserve">PUCUSANA                                                    </t>
  </si>
  <si>
    <t xml:space="preserve">PUENTE PIEDRA                                               </t>
  </si>
  <si>
    <t xml:space="preserve">PUNTA HERMOSA                                               </t>
  </si>
  <si>
    <t xml:space="preserve">PUNTA NEGRA                                                 </t>
  </si>
  <si>
    <t xml:space="preserve">RIMAC                                                       </t>
  </si>
  <si>
    <t xml:space="preserve">SAN BARTOLO                                                 </t>
  </si>
  <si>
    <t xml:space="preserve">SAN BORJA                                                   </t>
  </si>
  <si>
    <t xml:space="preserve">SAN JUAN DE LURIGANCHO                                      </t>
  </si>
  <si>
    <t xml:space="preserve">SAN JUAN DE MIRAFLORES                                      </t>
  </si>
  <si>
    <t xml:space="preserve">SAN MARTIN DE PORRES                                        </t>
  </si>
  <si>
    <t>37</t>
  </si>
  <si>
    <t xml:space="preserve">SANTA ANITA                                                 </t>
  </si>
  <si>
    <t>38</t>
  </si>
  <si>
    <t xml:space="preserve">SANTA MARIA DEL MAR                                         </t>
  </si>
  <si>
    <t>39</t>
  </si>
  <si>
    <t>40</t>
  </si>
  <si>
    <t xml:space="preserve">SANTIAGO DE SURCO                                           </t>
  </si>
  <si>
    <t>41</t>
  </si>
  <si>
    <t xml:space="preserve">SURQUILLO                                                   </t>
  </si>
  <si>
    <t>42</t>
  </si>
  <si>
    <t xml:space="preserve">VILLA EL SALVADOR                                           </t>
  </si>
  <si>
    <t>43</t>
  </si>
  <si>
    <t xml:space="preserve">VILLA MARIA DEL TRIUNFO                                     </t>
  </si>
  <si>
    <t xml:space="preserve">PARAMONGA                                                   </t>
  </si>
  <si>
    <t xml:space="preserve">PATIVILCA                                                   </t>
  </si>
  <si>
    <t xml:space="preserve">SUPE                                                        </t>
  </si>
  <si>
    <t xml:space="preserve">SUPE PUERTO                                                 </t>
  </si>
  <si>
    <t xml:space="preserve">COPA                                                        </t>
  </si>
  <si>
    <t xml:space="preserve">GORGOR                                                      </t>
  </si>
  <si>
    <t xml:space="preserve">HUANCAPON                                                   </t>
  </si>
  <si>
    <t xml:space="preserve">MANAS                                                       </t>
  </si>
  <si>
    <t xml:space="preserve">ARAHUAY                                                     </t>
  </si>
  <si>
    <t xml:space="preserve">HUAMANTANGA                                                 </t>
  </si>
  <si>
    <t xml:space="preserve">HUAROS                                                      </t>
  </si>
  <si>
    <t xml:space="preserve">LACHAQUI                                                    </t>
  </si>
  <si>
    <t xml:space="preserve">SANTA ROSA DE QUIVES                                        </t>
  </si>
  <si>
    <t xml:space="preserve">SAN VICENTE DE CAÑETE                                       </t>
  </si>
  <si>
    <t xml:space="preserve">ASIA                                                        </t>
  </si>
  <si>
    <t xml:space="preserve">CALANGO                                                     </t>
  </si>
  <si>
    <t xml:space="preserve">CERRO AZUL                                                  </t>
  </si>
  <si>
    <t xml:space="preserve">COAYLLO                                                     </t>
  </si>
  <si>
    <t xml:space="preserve">IMPERIAL                                                    </t>
  </si>
  <si>
    <t xml:space="preserve">LUNAHUANA                                                   </t>
  </si>
  <si>
    <t xml:space="preserve">MALA                                                        </t>
  </si>
  <si>
    <t xml:space="preserve">NUEVO IMPERIAL                                              </t>
  </si>
  <si>
    <t xml:space="preserve">PACARAN                                                     </t>
  </si>
  <si>
    <t xml:space="preserve">QUILMANA                                                    </t>
  </si>
  <si>
    <t xml:space="preserve">SANTA CRUZ DE FLORES                                        </t>
  </si>
  <si>
    <t xml:space="preserve">ZUÑIGA                                                      </t>
  </si>
  <si>
    <t xml:space="preserve">ATAVILLOS ALTO                                              </t>
  </si>
  <si>
    <t xml:space="preserve">ATAVILLOS BAJO                                              </t>
  </si>
  <si>
    <t xml:space="preserve">AUCALLAMA                                                   </t>
  </si>
  <si>
    <t xml:space="preserve">IHUARI                                                      </t>
  </si>
  <si>
    <t xml:space="preserve">LAMPIAN                                                     </t>
  </si>
  <si>
    <t xml:space="preserve">PACARAOS                                                    </t>
  </si>
  <si>
    <t xml:space="preserve">SAN MIGUEL DE ACOS                                          </t>
  </si>
  <si>
    <t xml:space="preserve">SANTA CRUZ DE ANDAMARCA                                     </t>
  </si>
  <si>
    <t xml:space="preserve">SUMBILCA                                                    </t>
  </si>
  <si>
    <t xml:space="preserve">VEINTISIETE DE NOVIEMBRE                                    </t>
  </si>
  <si>
    <t xml:space="preserve">MATUCANA                                                    </t>
  </si>
  <si>
    <t xml:space="preserve">ANTIOQUIA                                                   </t>
  </si>
  <si>
    <t xml:space="preserve">CALLAHUANCA                                                 </t>
  </si>
  <si>
    <t xml:space="preserve">CARAMPOMA                                                   </t>
  </si>
  <si>
    <t xml:space="preserve">CHICLA                                                      </t>
  </si>
  <si>
    <t xml:space="preserve">HUACHUPAMPA                                                 </t>
  </si>
  <si>
    <t xml:space="preserve">HUANZA                                                      </t>
  </si>
  <si>
    <t xml:space="preserve">LAHUAYTAMBO                                                 </t>
  </si>
  <si>
    <t xml:space="preserve">LANGA                                                       </t>
  </si>
  <si>
    <t xml:space="preserve">LARAOS                                                      </t>
  </si>
  <si>
    <t xml:space="preserve">MARIATANA                                                   </t>
  </si>
  <si>
    <t xml:space="preserve">RICARDO PALMA                                               </t>
  </si>
  <si>
    <t xml:space="preserve">SAN ANDRES DE TUPICOCHA                                     </t>
  </si>
  <si>
    <t xml:space="preserve">SAN BARTOLOME                                               </t>
  </si>
  <si>
    <t xml:space="preserve">SAN DAMIAN                                                  </t>
  </si>
  <si>
    <t xml:space="preserve">SAN JUAN DE IRIS                                            </t>
  </si>
  <si>
    <t xml:space="preserve">SAN JUAN DE TANTARANCHE                                     </t>
  </si>
  <si>
    <t xml:space="preserve">SAN LORENZO DE QUINTI                                       </t>
  </si>
  <si>
    <t xml:space="preserve">SAN MATEO                                                   </t>
  </si>
  <si>
    <t xml:space="preserve">SAN MATEO DE OTAO                                           </t>
  </si>
  <si>
    <t xml:space="preserve">SAN PEDRO DE CASTA                                          </t>
  </si>
  <si>
    <t xml:space="preserve">SAN PEDRO DE HUANCAYRE                                      </t>
  </si>
  <si>
    <t xml:space="preserve">SANGALLAYA                                                  </t>
  </si>
  <si>
    <t xml:space="preserve">SANTA CRUZ DE COCACHACRA                                    </t>
  </si>
  <si>
    <t xml:space="preserve">SANTA EULALIA                                               </t>
  </si>
  <si>
    <t xml:space="preserve">SANTIAGO DE ANCHUCAYA                                       </t>
  </si>
  <si>
    <t xml:space="preserve">SANTIAGO DE TUNA                                            </t>
  </si>
  <si>
    <t xml:space="preserve">SANTO DOMINGO DE LOS OLLEROS                                </t>
  </si>
  <si>
    <t xml:space="preserve">SURCO                                                       </t>
  </si>
  <si>
    <t xml:space="preserve">HUACHO                                                      </t>
  </si>
  <si>
    <t xml:space="preserve">AMBAR                                                       </t>
  </si>
  <si>
    <t xml:space="preserve">CALETA DE CARQUIN                                           </t>
  </si>
  <si>
    <t xml:space="preserve">CHECRAS                                                     </t>
  </si>
  <si>
    <t xml:space="preserve">HUALMAY                                                     </t>
  </si>
  <si>
    <t xml:space="preserve">PACCHO                                                      </t>
  </si>
  <si>
    <t xml:space="preserve">SANTA LEONOR                                                </t>
  </si>
  <si>
    <t xml:space="preserve">SANTA MARIA                                                 </t>
  </si>
  <si>
    <t xml:space="preserve">SAYAN                                                       </t>
  </si>
  <si>
    <t xml:space="preserve">VEGUETA                                                     </t>
  </si>
  <si>
    <t xml:space="preserve">ANDAJES                                                     </t>
  </si>
  <si>
    <t xml:space="preserve">CAUJUL                                                      </t>
  </si>
  <si>
    <t xml:space="preserve">COCHAMARCA                                                  </t>
  </si>
  <si>
    <t xml:space="preserve">NAVAN                                                       </t>
  </si>
  <si>
    <t xml:space="preserve">PACHANGARA                                                  </t>
  </si>
  <si>
    <t xml:space="preserve">ALIS                                                        </t>
  </si>
  <si>
    <t xml:space="preserve">AYAUCA                                                      </t>
  </si>
  <si>
    <t xml:space="preserve">AYAVIRI                                                     </t>
  </si>
  <si>
    <t xml:space="preserve">CACRA                                                       </t>
  </si>
  <si>
    <t xml:space="preserve">CARANIA                                                     </t>
  </si>
  <si>
    <t xml:space="preserve">CATAHUASI                                                   </t>
  </si>
  <si>
    <t xml:space="preserve">CHOCOS                                                      </t>
  </si>
  <si>
    <t xml:space="preserve">COLONIA                                                     </t>
  </si>
  <si>
    <t xml:space="preserve">HONGOS                                                      </t>
  </si>
  <si>
    <t xml:space="preserve">HUAMPARA                                                    </t>
  </si>
  <si>
    <t xml:space="preserve">HUANCAYA                                                    </t>
  </si>
  <si>
    <t xml:space="preserve">HUANGASCAR                                                  </t>
  </si>
  <si>
    <t xml:space="preserve">HUANTAN                                                     </t>
  </si>
  <si>
    <t xml:space="preserve">HUAÑEC                                                      </t>
  </si>
  <si>
    <t xml:space="preserve">LINCHA                                                      </t>
  </si>
  <si>
    <t xml:space="preserve">MADEAN                                                      </t>
  </si>
  <si>
    <t xml:space="preserve">OMAS                                                        </t>
  </si>
  <si>
    <t xml:space="preserve">PUTINZA                                                     </t>
  </si>
  <si>
    <t xml:space="preserve">QUINCHES                                                    </t>
  </si>
  <si>
    <t xml:space="preserve">QUINOCAY                                                    </t>
  </si>
  <si>
    <t xml:space="preserve">SAN JOAQUIN                                                 </t>
  </si>
  <si>
    <t xml:space="preserve">SAN PEDRO DE PILAS                                          </t>
  </si>
  <si>
    <t xml:space="preserve">TANTA                                                       </t>
  </si>
  <si>
    <t xml:space="preserve">TAURIPAMPA                                                  </t>
  </si>
  <si>
    <t xml:space="preserve">TOMAS                                                       </t>
  </si>
  <si>
    <t xml:space="preserve">TUPE                                                        </t>
  </si>
  <si>
    <t xml:space="preserve">VIÑAC                                                       </t>
  </si>
  <si>
    <t xml:space="preserve">VITIS                                                       </t>
  </si>
  <si>
    <t xml:space="preserve">IQUITOS                                                     </t>
  </si>
  <si>
    <t xml:space="preserve">ALTO NANAY                                                  </t>
  </si>
  <si>
    <t xml:space="preserve">FERNANDO LORES                                              </t>
  </si>
  <si>
    <t xml:space="preserve">INDIANA                                                     </t>
  </si>
  <si>
    <t xml:space="preserve">LAS AMAZONAS                                                </t>
  </si>
  <si>
    <t xml:space="preserve">MAZAN                                                       </t>
  </si>
  <si>
    <t xml:space="preserve">NAPO                                                        </t>
  </si>
  <si>
    <t xml:space="preserve">PUNCHANA                                                    </t>
  </si>
  <si>
    <t xml:space="preserve">PUTUMAYO                                                    </t>
  </si>
  <si>
    <t xml:space="preserve">TORRES CAUSANA                                              </t>
  </si>
  <si>
    <t xml:space="preserve">TENIENTE MANUEL CLAVERO                                     </t>
  </si>
  <si>
    <t xml:space="preserve">YURIMAGUAS                                                  </t>
  </si>
  <si>
    <t xml:space="preserve">BALSAPUERTO                                                 </t>
  </si>
  <si>
    <t xml:space="preserve">JEBEROS                                                     </t>
  </si>
  <si>
    <t xml:space="preserve">TENIENTE CESAR LOPEZ ROJAS                                  </t>
  </si>
  <si>
    <t xml:space="preserve">NAUTA                                                       </t>
  </si>
  <si>
    <t xml:space="preserve">PARINARI                                                    </t>
  </si>
  <si>
    <t xml:space="preserve">TIGRE                                                       </t>
  </si>
  <si>
    <t xml:space="preserve">TROMPETEROS                                                 </t>
  </si>
  <si>
    <t xml:space="preserve">URARINAS                                                    </t>
  </si>
  <si>
    <t xml:space="preserve">RAMON CASTILLA                                              </t>
  </si>
  <si>
    <t xml:space="preserve">PEBAS                                                       </t>
  </si>
  <si>
    <t xml:space="preserve">YAVARI                                                      </t>
  </si>
  <si>
    <t xml:space="preserve">ALTO TAPICHE                                                </t>
  </si>
  <si>
    <t xml:space="preserve">CAPELO                                                      </t>
  </si>
  <si>
    <t xml:space="preserve">EMILIO SAN MARTIN                                           </t>
  </si>
  <si>
    <t xml:space="preserve">MAQUIA                                                      </t>
  </si>
  <si>
    <t xml:space="preserve">PUINAHUA                                                    </t>
  </si>
  <si>
    <t xml:space="preserve">SAQUENA                                                     </t>
  </si>
  <si>
    <t xml:space="preserve">SOPLIN                                                      </t>
  </si>
  <si>
    <t xml:space="preserve">TAPICHE                                                     </t>
  </si>
  <si>
    <t xml:space="preserve">JENARO HERRERA                                              </t>
  </si>
  <si>
    <t xml:space="preserve">YAQUERANA                                                   </t>
  </si>
  <si>
    <t xml:space="preserve">CONTAMANA                                                   </t>
  </si>
  <si>
    <t xml:space="preserve">INAHUAYA                                                    </t>
  </si>
  <si>
    <t xml:space="preserve">PADRE MARQUEZ                                               </t>
  </si>
  <si>
    <t xml:space="preserve">SARAYACU                                                    </t>
  </si>
  <si>
    <t xml:space="preserve">VARGAS GUERRA                                               </t>
  </si>
  <si>
    <t xml:space="preserve">CAHUAPANAS                                                  </t>
  </si>
  <si>
    <t xml:space="preserve">MANSERICHE                                                  </t>
  </si>
  <si>
    <t xml:space="preserve">MORONA                                                      </t>
  </si>
  <si>
    <t xml:space="preserve">PASTAZA                                                     </t>
  </si>
  <si>
    <t xml:space="preserve">ANDOAS                                                      </t>
  </si>
  <si>
    <t xml:space="preserve">INAMBARI                                                    </t>
  </si>
  <si>
    <t xml:space="preserve">LAS PIEDRAS                                                 </t>
  </si>
  <si>
    <t xml:space="preserve">LABERINTO                                                   </t>
  </si>
  <si>
    <t xml:space="preserve">FITZCARRALD                                                 </t>
  </si>
  <si>
    <t xml:space="preserve">HUEPETUHE                                                   </t>
  </si>
  <si>
    <t xml:space="preserve">IÑAPARI                                                     </t>
  </si>
  <si>
    <t xml:space="preserve">IBERIA                                                      </t>
  </si>
  <si>
    <t xml:space="preserve">CARUMAS                                                     </t>
  </si>
  <si>
    <t xml:space="preserve">CUCHUMBAYA                                                  </t>
  </si>
  <si>
    <t xml:space="preserve">SAMEGUA                                                     </t>
  </si>
  <si>
    <t xml:space="preserve">TORATA                                                      </t>
  </si>
  <si>
    <t xml:space="preserve">OMATE                                                       </t>
  </si>
  <si>
    <t xml:space="preserve">CHOJATA                                                     </t>
  </si>
  <si>
    <t xml:space="preserve">COALAQUE                                                    </t>
  </si>
  <si>
    <t xml:space="preserve">ICHUÑA                                                      </t>
  </si>
  <si>
    <t xml:space="preserve">LA CAPILLA                                                  </t>
  </si>
  <si>
    <t xml:space="preserve">LLOQUE                                                      </t>
  </si>
  <si>
    <t xml:space="preserve">MATALAQUE                                                   </t>
  </si>
  <si>
    <t xml:space="preserve">PUQUINA                                                     </t>
  </si>
  <si>
    <t xml:space="preserve">QUINISTAQUILLAS                                             </t>
  </si>
  <si>
    <t xml:space="preserve">UBINAS                                                      </t>
  </si>
  <si>
    <t xml:space="preserve">YUNGA                                                       </t>
  </si>
  <si>
    <t xml:space="preserve">EL ALGARROBAL                                               </t>
  </si>
  <si>
    <t xml:space="preserve">PACOCHA                                                     </t>
  </si>
  <si>
    <t xml:space="preserve">CHAUPIMARCA                                                 </t>
  </si>
  <si>
    <t xml:space="preserve">HUACHON                                                     </t>
  </si>
  <si>
    <t xml:space="preserve">HUARIACA                                                    </t>
  </si>
  <si>
    <t xml:space="preserve">HUAYLLAY                                                    </t>
  </si>
  <si>
    <t xml:space="preserve">NINACACA                                                    </t>
  </si>
  <si>
    <t xml:space="preserve">PALLANCHACRA                                                </t>
  </si>
  <si>
    <t xml:space="preserve">SAN FRANCISCO DE ASIS DE YARUSYACAN                         </t>
  </si>
  <si>
    <t xml:space="preserve">SIMON BOLIVAR                                               </t>
  </si>
  <si>
    <t xml:space="preserve">TICLACAYAN                                                  </t>
  </si>
  <si>
    <t xml:space="preserve">TINYAHUARCO                                                 </t>
  </si>
  <si>
    <t xml:space="preserve">VICCO                                                       </t>
  </si>
  <si>
    <t xml:space="preserve">YANAHUANCA                                                  </t>
  </si>
  <si>
    <t xml:space="preserve">CHACAYAN                                                    </t>
  </si>
  <si>
    <t xml:space="preserve">GOYLLARISQUIZGA                                             </t>
  </si>
  <si>
    <t xml:space="preserve">PAUCAR                                                      </t>
  </si>
  <si>
    <t xml:space="preserve">SAN PEDRO DE PILLAO                                         </t>
  </si>
  <si>
    <t xml:space="preserve">SANTA ANA DE TUSI                                           </t>
  </si>
  <si>
    <t xml:space="preserve">TAPUC                                                       </t>
  </si>
  <si>
    <t xml:space="preserve">CHONTABAMBA                                                 </t>
  </si>
  <si>
    <t xml:space="preserve">PALCAZU                                                     </t>
  </si>
  <si>
    <t xml:space="preserve">POZUZO                                                      </t>
  </si>
  <si>
    <t xml:space="preserve">PUERTO BERMUDEZ                                             </t>
  </si>
  <si>
    <t xml:space="preserve">VILLA RICA                                                  </t>
  </si>
  <si>
    <t xml:space="preserve">CATACAOS                                                    </t>
  </si>
  <si>
    <t xml:space="preserve">CURA MORI                                                   </t>
  </si>
  <si>
    <t xml:space="preserve">EL TALLAN                                                   </t>
  </si>
  <si>
    <t xml:space="preserve">LA ARENA                                                    </t>
  </si>
  <si>
    <t xml:space="preserve">LAS LOMAS                                                   </t>
  </si>
  <si>
    <t xml:space="preserve">TAMBO GRANDE                                                </t>
  </si>
  <si>
    <t xml:space="preserve">FRIAS                                                       </t>
  </si>
  <si>
    <t xml:space="preserve">JILILI                                                      </t>
  </si>
  <si>
    <t xml:space="preserve">MONTERO                                                     </t>
  </si>
  <si>
    <t xml:space="preserve">PACAIPAMPA                                                  </t>
  </si>
  <si>
    <t xml:space="preserve">PAIMAS                                                      </t>
  </si>
  <si>
    <t xml:space="preserve">SAPILLICA                                                   </t>
  </si>
  <si>
    <t xml:space="preserve">SICCHEZ                                                     </t>
  </si>
  <si>
    <t xml:space="preserve">SUYO                                                        </t>
  </si>
  <si>
    <t xml:space="preserve">CANCHAQUE                                                   </t>
  </si>
  <si>
    <t xml:space="preserve">EL CARMEN DE LA FRONTERA                                    </t>
  </si>
  <si>
    <t xml:space="preserve">HUARMACA                                                    </t>
  </si>
  <si>
    <t xml:space="preserve">LALAQUIZ                                                    </t>
  </si>
  <si>
    <t xml:space="preserve">SAN MIGUEL DE EL FAIQUE                                     </t>
  </si>
  <si>
    <t xml:space="preserve">SONDOR                                                      </t>
  </si>
  <si>
    <t xml:space="preserve">SONDORILLO                                                  </t>
  </si>
  <si>
    <t xml:space="preserve">CHULUCANAS                                                  </t>
  </si>
  <si>
    <t xml:space="preserve">BUENOS AIRES                                                </t>
  </si>
  <si>
    <t xml:space="preserve">CHALACO                                                     </t>
  </si>
  <si>
    <t xml:space="preserve">LA MATANZA                                                  </t>
  </si>
  <si>
    <t xml:space="preserve">SALITRAL                                                    </t>
  </si>
  <si>
    <t xml:space="preserve">SAN JUAN DE BIGOTE                                          </t>
  </si>
  <si>
    <t xml:space="preserve">SANTA CATALINA DE MOSSA                                     </t>
  </si>
  <si>
    <t xml:space="preserve">SANTO DOMINGO                                               </t>
  </si>
  <si>
    <t xml:space="preserve">YAMANGO                                                     </t>
  </si>
  <si>
    <t xml:space="preserve">AMOTAPE                                                     </t>
  </si>
  <si>
    <t xml:space="preserve">ARENAL                                                      </t>
  </si>
  <si>
    <t xml:space="preserve">COLAN                                                       </t>
  </si>
  <si>
    <t xml:space="preserve">LA HUACA                                                    </t>
  </si>
  <si>
    <t xml:space="preserve">TAMARINDO                                                   </t>
  </si>
  <si>
    <t xml:space="preserve">VICHAYAL                                                    </t>
  </si>
  <si>
    <t xml:space="preserve">IGNACIO ESCUDERO                                            </t>
  </si>
  <si>
    <t xml:space="preserve">LANCONES                                                    </t>
  </si>
  <si>
    <t xml:space="preserve">MARCAVELICA                                                 </t>
  </si>
  <si>
    <t xml:space="preserve">MIGUEL CHECA                                                </t>
  </si>
  <si>
    <t xml:space="preserve">QUERECOTILLO                                                </t>
  </si>
  <si>
    <t xml:space="preserve">PARIÑAS                                                     </t>
  </si>
  <si>
    <t xml:space="preserve">EL ALTO                                                     </t>
  </si>
  <si>
    <t xml:space="preserve">LA BREA                                                     </t>
  </si>
  <si>
    <t xml:space="preserve">LOBITOS                                                     </t>
  </si>
  <si>
    <t xml:space="preserve">LOS ORGANOS                                                 </t>
  </si>
  <si>
    <t xml:space="preserve">MANCORA                                                     </t>
  </si>
  <si>
    <t xml:space="preserve">BELLAVISTA DE LA UNION                                      </t>
  </si>
  <si>
    <t xml:space="preserve">BERNAL                                                      </t>
  </si>
  <si>
    <t xml:space="preserve">CRISTO NOS VALGA                                            </t>
  </si>
  <si>
    <t xml:space="preserve">VICE                                                        </t>
  </si>
  <si>
    <t xml:space="preserve">RINCONADA LLICUAR                                           </t>
  </si>
  <si>
    <t xml:space="preserve">ACORA                                                       </t>
  </si>
  <si>
    <t xml:space="preserve">AMANTANI                                                    </t>
  </si>
  <si>
    <t xml:space="preserve">ATUNCOLLA                                                   </t>
  </si>
  <si>
    <t xml:space="preserve">CAPACHICA                                                   </t>
  </si>
  <si>
    <t xml:space="preserve">COATA                                                       </t>
  </si>
  <si>
    <t xml:space="preserve">MAÑAZO                                                      </t>
  </si>
  <si>
    <t xml:space="preserve">PAUCARCOLLA                                                 </t>
  </si>
  <si>
    <t xml:space="preserve">PICHACANI                                                   </t>
  </si>
  <si>
    <t xml:space="preserve">PLATERIA                                                    </t>
  </si>
  <si>
    <t xml:space="preserve">TIQUILLACA                                                  </t>
  </si>
  <si>
    <t xml:space="preserve">VILQUE                                                      </t>
  </si>
  <si>
    <t xml:space="preserve">ACHAYA                                                      </t>
  </si>
  <si>
    <t xml:space="preserve">ARAPA                                                       </t>
  </si>
  <si>
    <t xml:space="preserve">ASILLO                                                      </t>
  </si>
  <si>
    <t xml:space="preserve">CAMINACA                                                    </t>
  </si>
  <si>
    <t xml:space="preserve">CHUPA                                                       </t>
  </si>
  <si>
    <t xml:space="preserve">JOSE DOMINGO CHOQUEHUANCA                                   </t>
  </si>
  <si>
    <t xml:space="preserve">MUÑANI                                                      </t>
  </si>
  <si>
    <t xml:space="preserve">POTONI                                                      </t>
  </si>
  <si>
    <t xml:space="preserve">SAMAN                                                       </t>
  </si>
  <si>
    <t xml:space="preserve">SAN ANTON                                                   </t>
  </si>
  <si>
    <t xml:space="preserve">SAN JUAN DE SALINAS                                         </t>
  </si>
  <si>
    <t xml:space="preserve">SANTIAGO DE PUPUJA                                          </t>
  </si>
  <si>
    <t xml:space="preserve">TIRAPATA                                                    </t>
  </si>
  <si>
    <t xml:space="preserve">MACUSANI                                                    </t>
  </si>
  <si>
    <t xml:space="preserve">AJOYANI                                                     </t>
  </si>
  <si>
    <t xml:space="preserve">AYAPATA                                                     </t>
  </si>
  <si>
    <t xml:space="preserve">COASA                                                       </t>
  </si>
  <si>
    <t xml:space="preserve">CORANI                                                      </t>
  </si>
  <si>
    <t xml:space="preserve">CRUCERO                                                     </t>
  </si>
  <si>
    <t xml:space="preserve">ITUATA                                                      </t>
  </si>
  <si>
    <t xml:space="preserve">OLLACHEA                                                    </t>
  </si>
  <si>
    <t xml:space="preserve">SAN GABAN                                                   </t>
  </si>
  <si>
    <t xml:space="preserve">USICAYOS                                                    </t>
  </si>
  <si>
    <t xml:space="preserve">JULI                                                        </t>
  </si>
  <si>
    <t xml:space="preserve">DESAGUADERO                                                 </t>
  </si>
  <si>
    <t xml:space="preserve">HUACULLANI                                                  </t>
  </si>
  <si>
    <t xml:space="preserve">KELLUYO                                                     </t>
  </si>
  <si>
    <t xml:space="preserve">PISACOMA                                                    </t>
  </si>
  <si>
    <t xml:space="preserve">POMATA                                                      </t>
  </si>
  <si>
    <t xml:space="preserve">ZEPITA                                                      </t>
  </si>
  <si>
    <t xml:space="preserve">ILAVE                                                       </t>
  </si>
  <si>
    <t xml:space="preserve">CAPAZO                                                      </t>
  </si>
  <si>
    <t xml:space="preserve">PILCUYO                                                     </t>
  </si>
  <si>
    <t xml:space="preserve">CONDURIRI                                                   </t>
  </si>
  <si>
    <t xml:space="preserve">COJATA                                                      </t>
  </si>
  <si>
    <t xml:space="preserve">HUATASANI                                                   </t>
  </si>
  <si>
    <t xml:space="preserve">INCHUPALLA                                                  </t>
  </si>
  <si>
    <t xml:space="preserve">PUSI                                                        </t>
  </si>
  <si>
    <t xml:space="preserve">ROSASPATA                                                   </t>
  </si>
  <si>
    <t xml:space="preserve">TARACO                                                      </t>
  </si>
  <si>
    <t xml:space="preserve">VILQUE CHICO                                                </t>
  </si>
  <si>
    <t xml:space="preserve">CABANILLA                                                   </t>
  </si>
  <si>
    <t xml:space="preserve">CALAPUJA                                                    </t>
  </si>
  <si>
    <t xml:space="preserve">NICASIO                                                     </t>
  </si>
  <si>
    <t xml:space="preserve">OCUVIRI                                                     </t>
  </si>
  <si>
    <t xml:space="preserve">PARATIA                                                     </t>
  </si>
  <si>
    <t xml:space="preserve">VILAVILA                                                    </t>
  </si>
  <si>
    <t xml:space="preserve">ANTAUTA                                                     </t>
  </si>
  <si>
    <t xml:space="preserve">CUPI                                                        </t>
  </si>
  <si>
    <t xml:space="preserve">LLALLI                                                      </t>
  </si>
  <si>
    <t xml:space="preserve">MACARI                                                      </t>
  </si>
  <si>
    <t xml:space="preserve">NUÑOA                                                       </t>
  </si>
  <si>
    <t xml:space="preserve">ORURILLO                                                    </t>
  </si>
  <si>
    <t xml:space="preserve">UMACHIRI                                                    </t>
  </si>
  <si>
    <t xml:space="preserve">CONIMA                                                      </t>
  </si>
  <si>
    <t xml:space="preserve">HUAYRAPATA                                                  </t>
  </si>
  <si>
    <t xml:space="preserve">TILALI                                                      </t>
  </si>
  <si>
    <t xml:space="preserve">PUTINA                                                      </t>
  </si>
  <si>
    <t xml:space="preserve">ANANEA                                                      </t>
  </si>
  <si>
    <t xml:space="preserve">PEDRO VILCA APAZA                                           </t>
  </si>
  <si>
    <t xml:space="preserve">QUILCAPUNCU                                                 </t>
  </si>
  <si>
    <t xml:space="preserve">SINA                                                        </t>
  </si>
  <si>
    <t xml:space="preserve">JULIACA                                                     </t>
  </si>
  <si>
    <t xml:space="preserve">CABANILLAS                                                  </t>
  </si>
  <si>
    <t xml:space="preserve">CARACOTO                                                    </t>
  </si>
  <si>
    <t xml:space="preserve">CUYOCUYO                                                    </t>
  </si>
  <si>
    <t xml:space="preserve">LIMBANI                                                     </t>
  </si>
  <si>
    <t xml:space="preserve">PATAMBUCO                                                   </t>
  </si>
  <si>
    <t xml:space="preserve">PHARA                                                       </t>
  </si>
  <si>
    <t xml:space="preserve">QUIACA                                                      </t>
  </si>
  <si>
    <t xml:space="preserve">SAN JUAN DEL ORO                                            </t>
  </si>
  <si>
    <t xml:space="preserve">YANAHUAYA                                                   </t>
  </si>
  <si>
    <t xml:space="preserve">ALTO INAMBARI                                               </t>
  </si>
  <si>
    <t xml:space="preserve">SAN PEDRO DE PUTINA PUNCO                                   </t>
  </si>
  <si>
    <t xml:space="preserve">ANAPIA                                                      </t>
  </si>
  <si>
    <t xml:space="preserve">COPANI                                                      </t>
  </si>
  <si>
    <t xml:space="preserve">CUTURAPI                                                    </t>
  </si>
  <si>
    <t xml:space="preserve">OLLARAYA                                                    </t>
  </si>
  <si>
    <t xml:space="preserve">TINICACHI                                                   </t>
  </si>
  <si>
    <t xml:space="preserve">UNICACHI                                                    </t>
  </si>
  <si>
    <t xml:space="preserve">CALZADA                                                     </t>
  </si>
  <si>
    <t xml:space="preserve">HABANA                                                      </t>
  </si>
  <si>
    <t xml:space="preserve">JEPELACIO                                                   </t>
  </si>
  <si>
    <t xml:space="preserve">SORITOR                                                     </t>
  </si>
  <si>
    <t xml:space="preserve">YANTALO                                                     </t>
  </si>
  <si>
    <t xml:space="preserve">ALTO BIAVO                                                  </t>
  </si>
  <si>
    <t xml:space="preserve">BAJO BIAVO                                                  </t>
  </si>
  <si>
    <t xml:space="preserve">SAN JOSE DE SISA                                            </t>
  </si>
  <si>
    <t xml:space="preserve">AGUA BLANCA                                                 </t>
  </si>
  <si>
    <t xml:space="preserve">SHATOJA                                                     </t>
  </si>
  <si>
    <t xml:space="preserve">SAPOSOA                                                     </t>
  </si>
  <si>
    <t xml:space="preserve">ALTO SAPOSOA                                                </t>
  </si>
  <si>
    <t xml:space="preserve">EL ESLABON                                                  </t>
  </si>
  <si>
    <t xml:space="preserve">PISCOYACU                                                   </t>
  </si>
  <si>
    <t xml:space="preserve">SACANCHE                                                    </t>
  </si>
  <si>
    <t xml:space="preserve">TINGO DE SAPOSOA                                            </t>
  </si>
  <si>
    <t xml:space="preserve">ALONSO DE ALVARADO                                          </t>
  </si>
  <si>
    <t xml:space="preserve">BARRANQUITA                                                 </t>
  </si>
  <si>
    <t xml:space="preserve">CAYNARACHI                                                  </t>
  </si>
  <si>
    <t xml:space="preserve">CUÑUMBUQUI                                                  </t>
  </si>
  <si>
    <t xml:space="preserve">PINTO RECODO                                                </t>
  </si>
  <si>
    <t xml:space="preserve">RUMISAPA                                                    </t>
  </si>
  <si>
    <t xml:space="preserve">SAN ROQUE DE CUMBAZA                                        </t>
  </si>
  <si>
    <t xml:space="preserve">SHANAO                                                      </t>
  </si>
  <si>
    <t xml:space="preserve">TABALOSOS                                                   </t>
  </si>
  <si>
    <t xml:space="preserve">ZAPATERO                                                    </t>
  </si>
  <si>
    <t xml:space="preserve">JUANJUI                                                     </t>
  </si>
  <si>
    <t xml:space="preserve">CAMPANILLA                                                  </t>
  </si>
  <si>
    <t xml:space="preserve">HUICUNGO                                                    </t>
  </si>
  <si>
    <t xml:space="preserve">PACHIZA                                                     </t>
  </si>
  <si>
    <t xml:space="preserve">PAJARILLO                                                   </t>
  </si>
  <si>
    <t xml:space="preserve">CASPISAPA                                                   </t>
  </si>
  <si>
    <t xml:space="preserve">PILLUANA                                                    </t>
  </si>
  <si>
    <t xml:space="preserve">PUCACACA                                                    </t>
  </si>
  <si>
    <t xml:space="preserve">SAN HILARION                                                </t>
  </si>
  <si>
    <t xml:space="preserve">SHAMBOYACU                                                  </t>
  </si>
  <si>
    <t xml:space="preserve">TINGO DE PONASA                                             </t>
  </si>
  <si>
    <t xml:space="preserve">TRES UNIDOS                                                 </t>
  </si>
  <si>
    <t xml:space="preserve">AWAJUN                                                      </t>
  </si>
  <si>
    <t xml:space="preserve">ELIAS SOPLIN VARGAS                                         </t>
  </si>
  <si>
    <t xml:space="preserve">NUEVA CAJAMARCA                                             </t>
  </si>
  <si>
    <t xml:space="preserve">PARDO MIGUEL                                                </t>
  </si>
  <si>
    <t xml:space="preserve">POSIC                                                       </t>
  </si>
  <si>
    <t xml:space="preserve">SAN FERNANDO                                                </t>
  </si>
  <si>
    <t xml:space="preserve">YORONGOS                                                    </t>
  </si>
  <si>
    <t xml:space="preserve">YURACYACU                                                   </t>
  </si>
  <si>
    <t xml:space="preserve">TARAPOTO                                                    </t>
  </si>
  <si>
    <t xml:space="preserve">ALBERTO LEVEAU                                              </t>
  </si>
  <si>
    <t xml:space="preserve">CACATACHI                                                   </t>
  </si>
  <si>
    <t xml:space="preserve">CHAZUTA                                                     </t>
  </si>
  <si>
    <t xml:space="preserve">CHIPURANA                                                   </t>
  </si>
  <si>
    <t xml:space="preserve">HUIMBAYOC                                                   </t>
  </si>
  <si>
    <t xml:space="preserve">JUAN GUERRA                                                 </t>
  </si>
  <si>
    <t xml:space="preserve">LA BANDA DE SHILCAYO                                        </t>
  </si>
  <si>
    <t xml:space="preserve">MORALES                                                     </t>
  </si>
  <si>
    <t xml:space="preserve">PAPAPLAYA                                                   </t>
  </si>
  <si>
    <t xml:space="preserve">SAUCE                                                       </t>
  </si>
  <si>
    <t xml:space="preserve">SHAPAJA                                                     </t>
  </si>
  <si>
    <t xml:space="preserve">NUEVO PROGRESO                                              </t>
  </si>
  <si>
    <t xml:space="preserve">POLVORA                                                     </t>
  </si>
  <si>
    <t xml:space="preserve">SHUNTE                                                      </t>
  </si>
  <si>
    <t xml:space="preserve">UCHIZA                                                      </t>
  </si>
  <si>
    <t xml:space="preserve">ALTO DE LA ALIANZA                                          </t>
  </si>
  <si>
    <t xml:space="preserve">CALANA                                                      </t>
  </si>
  <si>
    <t xml:space="preserve">CIUDAD NUEVA                                                </t>
  </si>
  <si>
    <t xml:space="preserve">INCLAN                                                      </t>
  </si>
  <si>
    <t xml:space="preserve">PACHIA                                                      </t>
  </si>
  <si>
    <t xml:space="preserve">POCOLLAY                                                    </t>
  </si>
  <si>
    <t xml:space="preserve">SAMA                                                        </t>
  </si>
  <si>
    <t xml:space="preserve">CORONEL GREGORIO ALBARRACIN LANCHIPA                        </t>
  </si>
  <si>
    <t xml:space="preserve">CAIRANI                                                     </t>
  </si>
  <si>
    <t xml:space="preserve">CAMILACA                                                    </t>
  </si>
  <si>
    <t xml:space="preserve">CURIBAYA                                                    </t>
  </si>
  <si>
    <t xml:space="preserve">HUANUARA                                                    </t>
  </si>
  <si>
    <t xml:space="preserve">QUILAHUANI                                                  </t>
  </si>
  <si>
    <t xml:space="preserve">LOCUMBA                                                     </t>
  </si>
  <si>
    <t xml:space="preserve">ILABAYA                                                     </t>
  </si>
  <si>
    <t xml:space="preserve">ITE                                                         </t>
  </si>
  <si>
    <t xml:space="preserve">HEROES ALBARRACIN                                           </t>
  </si>
  <si>
    <t xml:space="preserve">ESTIQUE                                                     </t>
  </si>
  <si>
    <t xml:space="preserve">ESTIQUE-PAMPA                                               </t>
  </si>
  <si>
    <t xml:space="preserve">SITAJARA                                                    </t>
  </si>
  <si>
    <t xml:space="preserve">SUSAPAYA                                                    </t>
  </si>
  <si>
    <t xml:space="preserve">TARUCACHI                                                   </t>
  </si>
  <si>
    <t xml:space="preserve">TICACO                                                      </t>
  </si>
  <si>
    <t xml:space="preserve">CORRALES                                                    </t>
  </si>
  <si>
    <t xml:space="preserve">LA CRUZ                                                     </t>
  </si>
  <si>
    <t xml:space="preserve">PAMPAS DE HOSPITAL                                          </t>
  </si>
  <si>
    <t xml:space="preserve">SAN JACINTO                                                 </t>
  </si>
  <si>
    <t xml:space="preserve">SAN JUAN DE LA VIRGEN                                       </t>
  </si>
  <si>
    <t xml:space="preserve">ZORRITOS                                                    </t>
  </si>
  <si>
    <t xml:space="preserve">CASITAS                                                     </t>
  </si>
  <si>
    <t xml:space="preserve">CANOAS DE PUNTA SAL                                         </t>
  </si>
  <si>
    <t xml:space="preserve">AGUAS VERDES                                                </t>
  </si>
  <si>
    <t xml:space="preserve">MATAPALO                                                    </t>
  </si>
  <si>
    <t xml:space="preserve">PAPAYAL                                                     </t>
  </si>
  <si>
    <t xml:space="preserve">CALLERIA                                                    </t>
  </si>
  <si>
    <t xml:space="preserve">CAMPOVERDE                                                  </t>
  </si>
  <si>
    <t xml:space="preserve">IPARIA                                                      </t>
  </si>
  <si>
    <t xml:space="preserve">MASISEA                                                     </t>
  </si>
  <si>
    <t xml:space="preserve">YARINACOCHA                                                 </t>
  </si>
  <si>
    <t xml:space="preserve">NUEVA REQUENA                                               </t>
  </si>
  <si>
    <t xml:space="preserve">RAYMONDI                                                    </t>
  </si>
  <si>
    <t xml:space="preserve">SEPAHUA                                                     </t>
  </si>
  <si>
    <t xml:space="preserve">TAHUANIA                                                    </t>
  </si>
  <si>
    <t xml:space="preserve">YURUA                                                       </t>
  </si>
  <si>
    <t xml:space="preserve">IRAZOLA                                                     </t>
  </si>
  <si>
    <t xml:space="preserve">CURIMANA                                                    </t>
  </si>
  <si>
    <t xml:space="preserve">26 DE OCTUBRE                                               </t>
  </si>
  <si>
    <t>N° de Folio</t>
  </si>
  <si>
    <t>N° de Servicio Tasadora</t>
  </si>
  <si>
    <t>Fecha de Expedición</t>
  </si>
  <si>
    <t>Fecha de caducidad</t>
  </si>
  <si>
    <t>INFORME DE TASACIÓN</t>
  </si>
  <si>
    <t>BIEN TERMINADO</t>
  </si>
  <si>
    <t>OF.</t>
  </si>
  <si>
    <t>FUNC.</t>
  </si>
  <si>
    <t>Tasaciones PN</t>
  </si>
  <si>
    <t>TIPO DE USO</t>
  </si>
  <si>
    <t>%</t>
  </si>
  <si>
    <t xml:space="preserve">TIPO DE USO </t>
  </si>
  <si>
    <t>De acuerdo a expediente documental y tipo de construcción predominante</t>
  </si>
  <si>
    <t>SÍ</t>
  </si>
  <si>
    <t>X</t>
  </si>
  <si>
    <t xml:space="preserve">NO </t>
  </si>
  <si>
    <t>Gravámenes</t>
  </si>
  <si>
    <t>DETALLE: DECLARATORIA DE FAB. / CARGAS / GRÁVAMEN</t>
  </si>
  <si>
    <t>VALORES INSCRITOS EN RRPP</t>
  </si>
  <si>
    <t>VALORES NO INSCRITOS EN RRPP</t>
  </si>
  <si>
    <t xml:space="preserve">Soles / Dólar </t>
  </si>
  <si>
    <t>SI</t>
  </si>
  <si>
    <t>NO</t>
  </si>
  <si>
    <t>LUZ</t>
  </si>
  <si>
    <t>AGUA</t>
  </si>
  <si>
    <t>DESAGUE</t>
  </si>
  <si>
    <t>* VANET S.A.C.  trabaja el presente informe en formato aprobado por el banco Banbif.</t>
  </si>
  <si>
    <t>SOLES</t>
  </si>
  <si>
    <t>OTROS</t>
  </si>
  <si>
    <t>Valor 
Comercial</t>
  </si>
  <si>
    <t>VRI</t>
  </si>
  <si>
    <t>Valores 
Asegurables</t>
  </si>
  <si>
    <t>Área</t>
  </si>
  <si>
    <t xml:space="preserve">Valor </t>
  </si>
  <si>
    <t>Área Techada</t>
  </si>
  <si>
    <t>Valor Áreas Comunes</t>
  </si>
  <si>
    <t>Valor Obras Complementarias</t>
  </si>
  <si>
    <t>Valor</t>
  </si>
  <si>
    <t>DOLARES</t>
  </si>
  <si>
    <t>TIPO DE TASACIÓN:</t>
  </si>
  <si>
    <t>INSTANCIA DE TASACIÓN:</t>
  </si>
  <si>
    <t>TIPO DE INMUEBLE TASADO:</t>
  </si>
  <si>
    <t>FACTIBILIDAD:</t>
  </si>
  <si>
    <t>CERTIFICADO DE PARÁMETROS URBANÍSTICOS (CPU):</t>
  </si>
  <si>
    <t>OBSERVACIONES:</t>
  </si>
  <si>
    <t>PERITO:</t>
  </si>
  <si>
    <t>REPEV:</t>
  </si>
  <si>
    <t>FIRMA</t>
  </si>
  <si>
    <t>LINDEROS</t>
  </si>
  <si>
    <t>ml</t>
  </si>
  <si>
    <t>ADVERTENCIAS</t>
  </si>
  <si>
    <t>LATITUD/LONGITUD:</t>
  </si>
  <si>
    <t>Nueva</t>
  </si>
  <si>
    <t>-</t>
  </si>
  <si>
    <t>SOLICITANTE:</t>
  </si>
  <si>
    <t>CLIENTE:</t>
  </si>
  <si>
    <t>PROPIETARIOS:</t>
  </si>
  <si>
    <t>FECHA DE INSPECCIÓN OCULAR:</t>
  </si>
  <si>
    <t>DIRECCIÓN RRPP:</t>
  </si>
  <si>
    <t>DIRECCIÓN MUNICIPAL:</t>
  </si>
  <si>
    <t>DIRECCIÓN EN SITU:</t>
  </si>
  <si>
    <t>DESCRIPCIÓN:</t>
  </si>
  <si>
    <t>CARGAS:</t>
  </si>
  <si>
    <t>TIPO DE CAMBIO APLICADO:</t>
  </si>
  <si>
    <t>RICARDO BARTHELMESS SACO</t>
  </si>
  <si>
    <t>N° 561-2001</t>
  </si>
  <si>
    <t>Lima</t>
  </si>
  <si>
    <t>10 / EL / JB</t>
  </si>
  <si>
    <t>b.</t>
  </si>
  <si>
    <t>c.</t>
  </si>
  <si>
    <t>VALOR DE LAS ÁREAS COMUNES</t>
  </si>
  <si>
    <t>de</t>
  </si>
  <si>
    <t>ÁREA ÚTIL VENDIBLE</t>
  </si>
  <si>
    <t>Para determinar el valor de área útil vendible (valor por metro cuadrado), se ha procedido a elaborar el siguiente estudio de mercado.</t>
  </si>
  <si>
    <t>V.U.A. U.V.
US$/m2</t>
  </si>
  <si>
    <t>Bajo este esquema, al valor de reposición se le aplica un factor de:</t>
  </si>
  <si>
    <t>FRENTE                                   :</t>
  </si>
  <si>
    <t>DERECHA                                :</t>
  </si>
  <si>
    <t>FONDO                                   :</t>
  </si>
  <si>
    <t>Av.</t>
  </si>
  <si>
    <t>HOJA RESUMEN TASACIÓN DE INMUEBLES - FONDO MIVIVIENDA S.A. - C.02</t>
  </si>
  <si>
    <t>FECHA DE VALUACIÓN</t>
  </si>
  <si>
    <t>DE</t>
  </si>
  <si>
    <t>ENTIDAD FINANCIERA</t>
  </si>
  <si>
    <t>BANCO INTERAMERICANO DE FINANZAS</t>
  </si>
  <si>
    <t>BENEFICIARIO</t>
  </si>
  <si>
    <t>DNI / LE / CIP / CE</t>
  </si>
  <si>
    <t>PERITO TASADOR</t>
  </si>
  <si>
    <t>REPEV. SBS</t>
  </si>
  <si>
    <t>UBICACIÓN DEL INMUEBLE</t>
  </si>
  <si>
    <t>Carrt.</t>
  </si>
  <si>
    <t xml:space="preserve"> Jr.</t>
  </si>
  <si>
    <t>Calle</t>
  </si>
  <si>
    <t>Psje</t>
  </si>
  <si>
    <t>N° / Mza./Lt</t>
  </si>
  <si>
    <t>Dpto./Int.</t>
  </si>
  <si>
    <t>Urb./Loc</t>
  </si>
  <si>
    <t>CLASIFICACIÓN</t>
  </si>
  <si>
    <t>BIEN FUTURO</t>
  </si>
  <si>
    <t>a) En Proyecto</t>
  </si>
  <si>
    <t>b) En Construcción</t>
  </si>
  <si>
    <t>c) En acabados</t>
  </si>
  <si>
    <t>d) Culminado</t>
  </si>
  <si>
    <t>*Bien futuro: inmueble en proyecto, en construcción o en acabados sin declaratoria de fábrica inscrita en RR.PP.</t>
  </si>
  <si>
    <t>Registro:            RPI</t>
  </si>
  <si>
    <t>RPU</t>
  </si>
  <si>
    <t>Zona</t>
  </si>
  <si>
    <t>Ficha</t>
  </si>
  <si>
    <t>Partida</t>
  </si>
  <si>
    <t>N°</t>
  </si>
  <si>
    <t>*Bien terminado: Inmueble con construcción terminada, con declaratoria de fábrica y de ser el caso independización inscritas en los RR.PP.</t>
  </si>
  <si>
    <t>DESCRIPCIÓN DEL INMUEBLE</t>
  </si>
  <si>
    <t>TIPO DE INMUEBLE</t>
  </si>
  <si>
    <t>CASA</t>
  </si>
  <si>
    <t>Si vive en un departamento, indicar el piso</t>
  </si>
  <si>
    <t>AREAS</t>
  </si>
  <si>
    <t>AREA DEL TERRENO</t>
  </si>
  <si>
    <r>
      <t>M</t>
    </r>
    <r>
      <rPr>
        <vertAlign val="superscript"/>
        <sz val="8"/>
        <rFont val="Arial"/>
        <family val="2"/>
      </rPr>
      <t>2</t>
    </r>
  </si>
  <si>
    <t>AREA CONSTRUIDA</t>
  </si>
  <si>
    <t>ESTADO DE CONSERVACIÓN</t>
  </si>
  <si>
    <t>Bueno</t>
  </si>
  <si>
    <t>Regular</t>
  </si>
  <si>
    <t>Malo</t>
  </si>
  <si>
    <t>ANTIGÜEDAD CONSTRUCCIÓN</t>
  </si>
  <si>
    <t>Sala-Comedor</t>
  </si>
  <si>
    <t>Dormitorios (Cantidad)</t>
  </si>
  <si>
    <t>Cochera (Cantidad)</t>
  </si>
  <si>
    <t>Cocina</t>
  </si>
  <si>
    <t>Dormitorio de Servicio</t>
  </si>
  <si>
    <t>Jardín</t>
  </si>
  <si>
    <t>Baños (Cantidad)</t>
  </si>
  <si>
    <t>Cuarto de Estudio</t>
  </si>
  <si>
    <t>Terraza</t>
  </si>
  <si>
    <t>Baño de Servicio</t>
  </si>
  <si>
    <t>Lavandería</t>
  </si>
  <si>
    <t>Parque de uso común</t>
  </si>
  <si>
    <t>Instalaciones de gas natural</t>
  </si>
  <si>
    <t>Sala común</t>
  </si>
  <si>
    <t>Canchas/Gimnasios</t>
  </si>
  <si>
    <t>Piscina común</t>
  </si>
  <si>
    <t>ESPECIFICACIONES TECNICAS</t>
  </si>
  <si>
    <t>ESTRUCTURAS</t>
  </si>
  <si>
    <t>CIMENTACIÓN</t>
  </si>
  <si>
    <t>COLUMNAS</t>
  </si>
  <si>
    <t>VIGAS</t>
  </si>
  <si>
    <t>TECHOS</t>
  </si>
  <si>
    <t>MUROS</t>
  </si>
  <si>
    <t>Platea de cimentación</t>
  </si>
  <si>
    <t>a) Concreto</t>
  </si>
  <si>
    <t>Aligerado</t>
  </si>
  <si>
    <t>Concreto</t>
  </si>
  <si>
    <t>Tipos de albañilería</t>
  </si>
  <si>
    <t>Cimientos corridos</t>
  </si>
  <si>
    <t>b) Acero</t>
  </si>
  <si>
    <t>Maciso</t>
  </si>
  <si>
    <t>Albañilería</t>
  </si>
  <si>
    <t>Arcilla</t>
  </si>
  <si>
    <t>Viga de cimentación</t>
  </si>
  <si>
    <t>a) y b)</t>
  </si>
  <si>
    <t>Calcáreo</t>
  </si>
  <si>
    <t>Adobe</t>
  </si>
  <si>
    <t>ACABADOS</t>
  </si>
  <si>
    <t>PUERTAS</t>
  </si>
  <si>
    <t>a) Apanelada</t>
  </si>
  <si>
    <t>b) Maciza</t>
  </si>
  <si>
    <t>c) Contraplacada</t>
  </si>
  <si>
    <t>VENTANAS</t>
  </si>
  <si>
    <t>Aluminio</t>
  </si>
  <si>
    <t>MATERIAL</t>
  </si>
  <si>
    <t>a) Fierro</t>
  </si>
  <si>
    <t>b) Madera</t>
  </si>
  <si>
    <t>c) Otros</t>
  </si>
  <si>
    <t>Fierro</t>
  </si>
  <si>
    <t>MUEBLES DE COCINA</t>
  </si>
  <si>
    <t>APARATOS SANITARIOS</t>
  </si>
  <si>
    <t>AMOBLADA</t>
  </si>
  <si>
    <t>NO AMOBLADA</t>
  </si>
  <si>
    <t>BLANCO</t>
  </si>
  <si>
    <t>COLOR</t>
  </si>
  <si>
    <t>AMBIENTE</t>
  </si>
  <si>
    <t>Vinílico</t>
  </si>
  <si>
    <t>Parquet</t>
  </si>
  <si>
    <t>Machimbrado</t>
  </si>
  <si>
    <t>Cemento</t>
  </si>
  <si>
    <t>Cerámica</t>
  </si>
  <si>
    <t>Baños</t>
  </si>
  <si>
    <t>Dormitorios</t>
  </si>
  <si>
    <t>PRECIOS REFERENCIALES</t>
  </si>
  <si>
    <r>
      <t>AT (m</t>
    </r>
    <r>
      <rPr>
        <vertAlign val="superscript"/>
        <sz val="8"/>
        <rFont val="Arial"/>
        <family val="2"/>
      </rPr>
      <t>2</t>
    </r>
    <r>
      <rPr>
        <sz val="8"/>
        <rFont val="Arial"/>
        <family val="2"/>
      </rPr>
      <t>)</t>
    </r>
  </si>
  <si>
    <r>
      <t>AC (m</t>
    </r>
    <r>
      <rPr>
        <vertAlign val="superscript"/>
        <sz val="8"/>
        <rFont val="Arial"/>
        <family val="2"/>
      </rPr>
      <t>2</t>
    </r>
    <r>
      <rPr>
        <sz val="8"/>
        <rFont val="Arial"/>
        <family val="2"/>
      </rPr>
      <t>)</t>
    </r>
  </si>
  <si>
    <t>PRECIO (US$)</t>
  </si>
  <si>
    <t>FUENTE</t>
  </si>
  <si>
    <t>VALORIZACIONES</t>
  </si>
  <si>
    <t>VALOR DEL TERRENO (En S/.)</t>
  </si>
  <si>
    <t>(*) SEGÚN LA RESOLUCIÓN SBS N° 808-2003 EL VALOR DE REALIZACIÓN SE ENTIENDE COMO EL VALOR NETO QUE LA EMPRESA ESPERA RECUPERAR COMO CONSECUENCIA DE LA EVENTUAL VENTA O EJECUCIÓN DEL BIEN, EN LA SITUACIÓN COMO Y DONDE ESTÉ.  POR TANTO, ESTE VALOR DEBE CONSIDERAR LOS CASTIGOS Y CARGOS POR CONCEPTO DE IMPUESTOS EN LAS VENTAS, COMISIONES, FLETES, MERMAS, ETC.</t>
  </si>
  <si>
    <t>VALOR DEL CASCO HABITABLE (En S/.)</t>
  </si>
  <si>
    <t>VALOR DEL ESTACIONAMIENTO (En S/.)</t>
  </si>
  <si>
    <t>VALOR COMERCIAL DEL INMUEBLE (En S/.)</t>
  </si>
  <si>
    <t>VALOR DE REALIZACIÓN (*) (En S/.)</t>
  </si>
  <si>
    <t>COMENTARIOS / OBSERVACIONES</t>
  </si>
  <si>
    <t>FIRMA DEL PERITO VALUADOR</t>
  </si>
  <si>
    <t>1. En caso los datos de la valorización se hayan obtenido en nuevos soles, se deberá utilizar el tipo</t>
  </si>
  <si>
    <t>de cambio promedio compra SBS, al cierre del día hábil anterior, a la fecha de realizada la tasación</t>
  </si>
  <si>
    <t>2. En caso de Bien Futuro, firmará preliminarmente, el ingeniero supervisor de la EF que financie el</t>
  </si>
  <si>
    <t>proyecto inmobiliario.</t>
  </si>
  <si>
    <t>NOMBRES Y APELLIDOS</t>
  </si>
  <si>
    <t>REPEV S.B.S</t>
  </si>
  <si>
    <t>C.I.P.</t>
  </si>
  <si>
    <t>VALOR DE LAS OBRAS COMPLEMENTARIAS</t>
  </si>
  <si>
    <t>Medida
Aprox.</t>
  </si>
  <si>
    <t>Unitario
$/med.</t>
  </si>
  <si>
    <t>Total $</t>
  </si>
  <si>
    <t>Obras Complementarias Comunes</t>
  </si>
  <si>
    <t>Porcentaje de Áreas Comunes correspondiente al inmueble %</t>
  </si>
  <si>
    <t>Deprec.</t>
  </si>
  <si>
    <t xml:space="preserve">Factor de 
Reajuste </t>
  </si>
  <si>
    <t>m3</t>
  </si>
  <si>
    <t>Total Obras Complementarias Comunes</t>
  </si>
  <si>
    <t>Porcentaje de Áreas Comunes correspondiente al estacionamiento %</t>
  </si>
  <si>
    <t>Porcentaje de Áreas Comunes correspondiente al deposito%</t>
  </si>
  <si>
    <t>Und</t>
  </si>
  <si>
    <t>VALOR COMERCIAL DEL</t>
  </si>
  <si>
    <t>VALOR DEL IMPORTE ASEGURABLE DEL</t>
  </si>
  <si>
    <t>E.-</t>
  </si>
  <si>
    <t>MIVIVIENDA</t>
  </si>
  <si>
    <t>VALOR DEL TERRENO</t>
  </si>
  <si>
    <t>VALOR COMERCIAL UNITARIO DE EDIFICACION</t>
  </si>
  <si>
    <t>CASCO HABITABLE</t>
  </si>
  <si>
    <t>Estacionamiento</t>
  </si>
  <si>
    <t>Deposito</t>
  </si>
  <si>
    <t>VALOR DEL DEPOSITO (En S/.)</t>
  </si>
  <si>
    <t>Para efectos del presente informe se contó con: ….............</t>
  </si>
  <si>
    <t>(Según …......)</t>
  </si>
  <si>
    <t>Porcentaje  correspondiente al Departamento N° …........%</t>
  </si>
  <si>
    <t xml:space="preserve">Porcentaje correspondiente al estacionamiento N° ...% </t>
  </si>
  <si>
    <t xml:space="preserve">Porcentaje correspondiente al depósito N° …...% </t>
  </si>
  <si>
    <t>Departamento N° ….</t>
  </si>
  <si>
    <t>Depósito N°..</t>
  </si>
  <si>
    <t>Estacionamiento N° …</t>
  </si>
  <si>
    <t>(Según …........................)</t>
  </si>
  <si>
    <t>.</t>
  </si>
  <si>
    <t>Al departamento le corresponde un área de terreno de:</t>
  </si>
  <si>
    <t>Al estacionamiento le corresponde un área de terreno de:</t>
  </si>
  <si>
    <t>Al depósito le corresponde un área de terreno de:</t>
  </si>
  <si>
    <t>Inmueble</t>
  </si>
  <si>
    <t>561 2001</t>
  </si>
  <si>
    <t>Vista interior</t>
  </si>
  <si>
    <t>Vista exterior</t>
  </si>
  <si>
    <t>Estacionamientos</t>
  </si>
  <si>
    <t>Tipo:</t>
  </si>
  <si>
    <t>Simple</t>
  </si>
  <si>
    <t>Doble lineal</t>
  </si>
  <si>
    <t>Doble paralelo</t>
  </si>
  <si>
    <t>Depósito(s):</t>
  </si>
  <si>
    <t>MAPA</t>
  </si>
  <si>
    <t>LEYENDA</t>
  </si>
  <si>
    <t>TOTAL DEL PERIMETRO</t>
  </si>
  <si>
    <t>(…. / ….... / CY)</t>
  </si>
  <si>
    <t>/ …</t>
  </si>
  <si>
    <t>El inmueble corre inscrito según Partida Registral Nº ….......... de la Oficina Registral de la Propiedad Inmueble de …..</t>
  </si>
  <si>
    <t>IZQUIERDA                            :</t>
  </si>
  <si>
    <t>"OFERTA EN EL MERCADO"</t>
  </si>
  <si>
    <t>"INMUEBLES VENDIDOS - VENTAS CERRADAS"
Tomado del aplicativo Vanetmap</t>
  </si>
  <si>
    <t>PLANO BGR</t>
  </si>
  <si>
    <t xml:space="preserve"> PLANO DE VISOR GEOLLACTA</t>
  </si>
  <si>
    <t xml:space="preserve">GOOGLE EARTH CON MEDICION </t>
  </si>
  <si>
    <t>PLANO ÁREA DE TERRENO</t>
  </si>
  <si>
    <t>INFORME N° 25</t>
  </si>
  <si>
    <t>La visita de inspección se realizó el ../.../2025, en presencia del …......................, previa coordinación al teléfono …...........  tomándose las vistas fotográficas correspondientes.</t>
  </si>
  <si>
    <t>Este informe incluye un código QR en la parte superior derecha de la hoja frontal, el cual permite verificar su autenticidad. Al escanearlo, debe redirigir al sitio oficial www.vanetperu.com, donde podrá consultarse la versión original emitida por la empresa.</t>
  </si>
  <si>
    <t>- (SI, NO)  cuenta con declaratoria de fábrica.
- (SI, NO)  cuenta con carga (afecta o no al valor comercial)
- (SI, NO)  cuenta con grávamen.</t>
  </si>
  <si>
    <t>Área techada</t>
  </si>
  <si>
    <t>Área sin techar</t>
  </si>
  <si>
    <t>Muros, cimentación, elementos estructurales y columnas:</t>
  </si>
  <si>
    <t>"VALUACIÓN COMERCIAL DE INMUEBLE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</si>
</sst>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64" formatCode="_(&quot;$&quot;* #,##0.00_);_(&quot;$&quot;* \(#,##0.00\);_(&quot;$&quot;* &quot;-&quot;??_);_(@_)"/>
    <numFmt numFmtId="165" formatCode="_-* #,##0.00\ _P_t_s_-;\-* #,##0.00\ _P_t_s_-;_-* &quot;-&quot;??\ _P_t_s_-;_-@_-"/>
    <numFmt numFmtId="166" formatCode="mmmm\ d\,\ yyyy"/>
    <numFmt numFmtId="167" formatCode="\-\ 0###"/>
    <numFmt numFmtId="168" formatCode="_-[$$-409]* #,##0.00_ ;_-[$$-409]* \-#,##0.00\ ;_-[$$-409]* &quot;-&quot;??_ ;_-@_ "/>
    <numFmt numFmtId="169" formatCode="_([$$-409]* #,##0.00_);_([$$-409]* \(#,##0.00\);_([$$-409]* &quot;-&quot;??_);_(@_)"/>
    <numFmt numFmtId="170" formatCode="#.\-"/>
    <numFmt numFmtId="171" formatCode="000#"/>
    <numFmt numFmtId="172" formatCode="\-\ 000#"/>
    <numFmt numFmtId="173" formatCode="\F\o\t\o\ \N\r\o\ 0#"/>
    <numFmt numFmtId="174" formatCode="000##"/>
    <numFmt numFmtId="175" formatCode="_(* #,##0_);_(* \(#,##0\);_(* &quot;-&quot;_);_(@_)"/>
    <numFmt numFmtId="176" formatCode="[$$-540A]#,##0.00"/>
    <numFmt numFmtId="177" formatCode="#,##0.00;\-#,##0.00;&quot;&quot;;@"/>
    <numFmt numFmtId="178" formatCode="dd\-mmm\-yyyy"/>
    <numFmt numFmtId="179" formatCode="&quot;S/.&quot;#,##0.00"/>
    <numFmt numFmtId="180" formatCode="\20\-0\2\9\7"/>
    <numFmt numFmtId="181" formatCode="#,##0.000"/>
    <numFmt numFmtId="182" formatCode="0.000%"/>
    <numFmt numFmtId="183" formatCode="_-[$S/-280A]\ * #,##0.00_-;\-[$S/-280A]\ * #,##0.00_-;_-[$S/-280A]\ * &quot;-&quot;??_-;_-@_-"/>
  </numFmts>
  <fonts count="133" x14ac:knownFonts="1">
    <font>
      <sz val="10"/>
      <name val="Arial"/>
    </font>
    <font>
      <b/>
      <sz val="10"/>
      <name val="Arial"/>
      <family val="2"/>
    </font>
    <font>
      <sz val="10"/>
      <name val="Arial"/>
      <family val="2"/>
    </font>
    <font>
      <sz val="8"/>
      <name val="Arial"/>
      <family val="2"/>
    </font>
    <font>
      <sz val="8"/>
      <name val="Comic Sans MS"/>
      <family val="4"/>
    </font>
    <font>
      <sz val="9"/>
      <name val="Comic Sans MS"/>
      <family val="4"/>
    </font>
    <font>
      <sz val="10"/>
      <name val="Comic Sans MS"/>
      <family val="4"/>
    </font>
    <font>
      <sz val="10"/>
      <name val="Arial"/>
      <family val="2"/>
    </font>
    <font>
      <sz val="9"/>
      <name val="Arial"/>
      <family val="2"/>
    </font>
    <font>
      <sz val="8"/>
      <name val="Arial"/>
      <family val="2"/>
    </font>
    <font>
      <b/>
      <sz val="8"/>
      <name val="Arial"/>
      <family val="2"/>
    </font>
    <font>
      <b/>
      <sz val="10"/>
      <name val="Arial Narrow"/>
      <family val="2"/>
    </font>
    <font>
      <sz val="9"/>
      <name val="Arial Narrow"/>
      <family val="2"/>
    </font>
    <font>
      <sz val="8"/>
      <name val="Arial Narrow"/>
      <family val="2"/>
    </font>
    <font>
      <sz val="10"/>
      <name val="Arial Narrow"/>
      <family val="2"/>
    </font>
    <font>
      <sz val="7"/>
      <name val="Arial"/>
      <family val="2"/>
    </font>
    <font>
      <sz val="10"/>
      <name val="Arial"/>
      <family val="2"/>
    </font>
    <font>
      <b/>
      <sz val="7"/>
      <name val="Arial"/>
      <family val="2"/>
    </font>
    <font>
      <b/>
      <sz val="10"/>
      <name val="Arial"/>
      <family val="2"/>
    </font>
    <font>
      <sz val="9"/>
      <name val="Arial"/>
      <family val="2"/>
    </font>
    <font>
      <b/>
      <sz val="9"/>
      <name val="Arial Narrow"/>
      <family val="2"/>
    </font>
    <font>
      <b/>
      <sz val="9"/>
      <name val="Arial"/>
      <family val="2"/>
    </font>
    <font>
      <b/>
      <sz val="8"/>
      <name val="Arial Narrow"/>
      <family val="2"/>
    </font>
    <font>
      <sz val="11"/>
      <name val="Arial"/>
      <family val="2"/>
    </font>
    <font>
      <b/>
      <sz val="10.5"/>
      <name val="Arial"/>
      <family val="2"/>
    </font>
    <font>
      <sz val="10.5"/>
      <name val="Arial"/>
      <family val="2"/>
    </font>
    <font>
      <sz val="10"/>
      <name val="Arial"/>
      <family val="2"/>
    </font>
    <font>
      <b/>
      <u/>
      <sz val="10.5"/>
      <name val="Arial"/>
      <family val="2"/>
    </font>
    <font>
      <sz val="10"/>
      <name val="Arial"/>
      <family val="2"/>
    </font>
    <font>
      <b/>
      <i/>
      <sz val="10"/>
      <name val="Arial"/>
      <family val="2"/>
    </font>
    <font>
      <b/>
      <u/>
      <sz val="9"/>
      <name val="Arial"/>
      <family val="2"/>
    </font>
    <font>
      <u/>
      <sz val="10"/>
      <name val="Arial"/>
      <family val="2"/>
    </font>
    <font>
      <vertAlign val="superscript"/>
      <sz val="10"/>
      <name val="Arial"/>
      <family val="2"/>
    </font>
    <font>
      <b/>
      <vertAlign val="superscript"/>
      <sz val="10"/>
      <name val="Arial"/>
      <family val="2"/>
    </font>
    <font>
      <b/>
      <u/>
      <sz val="10"/>
      <name val="Arial"/>
      <family val="2"/>
    </font>
    <font>
      <b/>
      <i/>
      <u/>
      <sz val="10"/>
      <name val="Arial"/>
      <family val="2"/>
    </font>
    <font>
      <sz val="10"/>
      <name val="Arial"/>
      <family val="2"/>
    </font>
    <font>
      <b/>
      <sz val="9"/>
      <name val="Arial"/>
      <family val="2"/>
    </font>
    <font>
      <sz val="10"/>
      <name val="Wingdings"/>
      <charset val="2"/>
    </font>
    <font>
      <b/>
      <u/>
      <sz val="8"/>
      <name val="Arial"/>
      <family val="2"/>
    </font>
    <font>
      <b/>
      <u/>
      <sz val="11"/>
      <name val="Arial"/>
      <family val="2"/>
    </font>
    <font>
      <u/>
      <sz val="11"/>
      <name val="Arial"/>
      <family val="2"/>
    </font>
    <font>
      <u/>
      <sz val="9"/>
      <name val="Arial"/>
      <family val="2"/>
    </font>
    <font>
      <u/>
      <sz val="8"/>
      <name val="Arial"/>
      <family val="2"/>
    </font>
    <font>
      <sz val="9"/>
      <name val="Wingdings"/>
      <charset val="2"/>
    </font>
    <font>
      <sz val="10"/>
      <color indexed="63"/>
      <name val="Arial"/>
      <family val="2"/>
    </font>
    <font>
      <b/>
      <sz val="10"/>
      <color indexed="63"/>
      <name val="Arial"/>
      <family val="2"/>
    </font>
    <font>
      <b/>
      <sz val="10"/>
      <color indexed="63"/>
      <name val="Arial Narrow"/>
      <family val="2"/>
    </font>
    <font>
      <sz val="9"/>
      <color indexed="63"/>
      <name val="Arial Narrow"/>
      <family val="2"/>
    </font>
    <font>
      <sz val="9"/>
      <color indexed="18"/>
      <name val="Arial Narrow"/>
      <family val="2"/>
    </font>
    <font>
      <sz val="9"/>
      <color indexed="63"/>
      <name val="Garamond"/>
      <family val="1"/>
    </font>
    <font>
      <sz val="7.5"/>
      <color indexed="63"/>
      <name val="System"/>
      <family val="2"/>
    </font>
    <font>
      <b/>
      <sz val="12"/>
      <color indexed="63"/>
      <name val="Garamond"/>
      <family val="1"/>
    </font>
    <font>
      <b/>
      <sz val="12"/>
      <color indexed="63"/>
      <name val="Arial"/>
      <family val="2"/>
    </font>
    <font>
      <b/>
      <sz val="12"/>
      <color indexed="18"/>
      <name val="Garamond"/>
      <family val="1"/>
    </font>
    <font>
      <sz val="10"/>
      <color indexed="63"/>
      <name val="Arial Narrow"/>
      <family val="2"/>
    </font>
    <font>
      <b/>
      <sz val="9"/>
      <color indexed="63"/>
      <name val="Arial Narrow"/>
      <family val="2"/>
    </font>
    <font>
      <b/>
      <sz val="9"/>
      <color indexed="18"/>
      <name val="Arial Narrow"/>
      <family val="2"/>
    </font>
    <font>
      <sz val="10"/>
      <color indexed="18"/>
      <name val="Arial Narrow"/>
      <family val="2"/>
    </font>
    <font>
      <b/>
      <sz val="10"/>
      <color indexed="18"/>
      <name val="Arial Narrow"/>
      <family val="2"/>
    </font>
    <font>
      <b/>
      <u/>
      <sz val="10"/>
      <color indexed="63"/>
      <name val="Arial Narrow"/>
      <family val="2"/>
    </font>
    <font>
      <sz val="10"/>
      <color indexed="18"/>
      <name val="Arial"/>
      <family val="2"/>
    </font>
    <font>
      <sz val="7.5"/>
      <color indexed="18"/>
      <name val="System"/>
      <family val="2"/>
    </font>
    <font>
      <sz val="7.5"/>
      <color indexed="63"/>
      <name val="Arial Narrow"/>
      <family val="2"/>
    </font>
    <font>
      <b/>
      <sz val="11"/>
      <name val="Calibri"/>
      <family val="2"/>
    </font>
    <font>
      <sz val="12"/>
      <name val="Arial Narrow"/>
      <family val="2"/>
    </font>
    <font>
      <b/>
      <sz val="12"/>
      <name val="Arial Narrow"/>
      <family val="2"/>
    </font>
    <font>
      <sz val="14"/>
      <name val="Algerian"/>
      <family val="5"/>
    </font>
    <font>
      <b/>
      <sz val="12"/>
      <name val="Arial"/>
      <family val="2"/>
    </font>
    <font>
      <sz val="6"/>
      <name val="Arial"/>
      <family val="2"/>
    </font>
    <font>
      <sz val="8"/>
      <color indexed="60"/>
      <name val="Arial"/>
      <family val="2"/>
    </font>
    <font>
      <sz val="7"/>
      <color indexed="60"/>
      <name val="Arial Narrow"/>
      <family val="2"/>
    </font>
    <font>
      <b/>
      <sz val="8"/>
      <color indexed="60"/>
      <name val="Arial"/>
      <family val="2"/>
    </font>
    <font>
      <sz val="8"/>
      <color indexed="9"/>
      <name val="Arial"/>
      <family val="2"/>
    </font>
    <font>
      <vertAlign val="superscript"/>
      <sz val="8"/>
      <name val="Arial"/>
      <family val="2"/>
    </font>
    <font>
      <sz val="6.3"/>
      <name val="Arial"/>
      <family val="2"/>
    </font>
    <font>
      <b/>
      <sz val="10.5"/>
      <name val="Arial Narrow"/>
      <family val="2"/>
    </font>
    <font>
      <b/>
      <i/>
      <sz val="10"/>
      <name val="Arial Narrow"/>
      <family val="2"/>
    </font>
    <font>
      <i/>
      <sz val="10"/>
      <name val="Arial"/>
      <family val="2"/>
    </font>
    <font>
      <b/>
      <u/>
      <sz val="14"/>
      <name val="Arial"/>
      <family val="2"/>
    </font>
    <font>
      <sz val="14"/>
      <name val="Arial"/>
      <family val="2"/>
    </font>
    <font>
      <sz val="9"/>
      <color indexed="81"/>
      <name val="Tahoma"/>
      <family val="2"/>
    </font>
    <font>
      <b/>
      <sz val="8"/>
      <name val="Comic Sans MS"/>
      <family val="4"/>
    </font>
    <font>
      <sz val="11"/>
      <color theme="1"/>
      <name val="Calibri"/>
      <family val="2"/>
      <scheme val="minor"/>
    </font>
    <font>
      <b/>
      <sz val="11"/>
      <color theme="0"/>
      <name val="Calibri"/>
      <family val="2"/>
      <scheme val="minor"/>
    </font>
    <font>
      <u/>
      <sz val="10"/>
      <color theme="10"/>
      <name val="Arial"/>
      <family val="2"/>
    </font>
    <font>
      <sz val="11"/>
      <color rgb="FFFF0000"/>
      <name val="Calibri"/>
      <family val="2"/>
      <scheme val="minor"/>
    </font>
    <font>
      <b/>
      <sz val="11"/>
      <color theme="1"/>
      <name val="Calibri"/>
      <family val="2"/>
      <scheme val="minor"/>
    </font>
    <font>
      <sz val="10"/>
      <color rgb="FF212121"/>
      <name val="Arial"/>
      <family val="2"/>
    </font>
    <font>
      <b/>
      <sz val="10"/>
      <color rgb="FF212121"/>
      <name val="Arial"/>
      <family val="2"/>
    </font>
    <font>
      <sz val="9"/>
      <color rgb="FF212121"/>
      <name val="Arial"/>
      <family val="2"/>
    </font>
    <font>
      <sz val="8"/>
      <color rgb="FF212121"/>
      <name val="Arial"/>
      <family val="2"/>
    </font>
    <font>
      <b/>
      <u/>
      <sz val="11"/>
      <color theme="1"/>
      <name val="Calibri"/>
      <family val="2"/>
      <scheme val="minor"/>
    </font>
    <font>
      <sz val="10"/>
      <color theme="1"/>
      <name val="Calibri"/>
      <family val="2"/>
      <scheme val="minor"/>
    </font>
    <font>
      <sz val="10"/>
      <color theme="3" tint="-0.499984740745262"/>
      <name val="Calibri"/>
      <family val="2"/>
      <scheme val="minor"/>
    </font>
    <font>
      <sz val="9"/>
      <color theme="1"/>
      <name val="Arial Narrow"/>
      <family val="2"/>
    </font>
    <font>
      <sz val="12"/>
      <color theme="1"/>
      <name val="Arial Narrow"/>
      <family val="2"/>
    </font>
    <font>
      <sz val="11"/>
      <color theme="1" tint="4.9989318521683403E-2"/>
      <name val="Calibri"/>
      <family val="2"/>
      <scheme val="minor"/>
    </font>
    <font>
      <sz val="10"/>
      <color theme="1"/>
      <name val="Arial Narrow"/>
      <family val="2"/>
    </font>
    <font>
      <sz val="11"/>
      <name val="Calibri"/>
      <family val="2"/>
      <scheme val="minor"/>
    </font>
    <font>
      <b/>
      <sz val="12"/>
      <color theme="8" tint="-0.499984740745262"/>
      <name val="Arial Narrow"/>
      <family val="2"/>
    </font>
    <font>
      <b/>
      <sz val="12"/>
      <color theme="1"/>
      <name val="Arial Narrow"/>
      <family val="2"/>
    </font>
    <font>
      <b/>
      <sz val="11"/>
      <color theme="1" tint="4.9989318521683403E-2"/>
      <name val="Calibri"/>
      <family val="2"/>
      <scheme val="minor"/>
    </font>
    <font>
      <sz val="14"/>
      <color theme="1"/>
      <name val="Calibri"/>
      <family val="2"/>
      <scheme val="minor"/>
    </font>
    <font>
      <sz val="10"/>
      <color theme="1" tint="4.9989318521683403E-2"/>
      <name val="Calibri"/>
      <family val="2"/>
      <scheme val="minor"/>
    </font>
    <font>
      <b/>
      <sz val="11"/>
      <color theme="8" tint="-0.499984740745262"/>
      <name val="Arial Narrow"/>
      <family val="2"/>
    </font>
    <font>
      <sz val="11"/>
      <color theme="1"/>
      <name val="Arial Narrow"/>
      <family val="2"/>
    </font>
    <font>
      <b/>
      <sz val="11"/>
      <name val="Calibri"/>
      <family val="2"/>
      <scheme val="minor"/>
    </font>
    <font>
      <b/>
      <sz val="14"/>
      <color theme="1"/>
      <name val="Calibri"/>
      <family val="2"/>
      <scheme val="minor"/>
    </font>
    <font>
      <sz val="12"/>
      <color theme="1" tint="4.9989318521683403E-2"/>
      <name val="Calibri"/>
      <family val="2"/>
      <scheme val="minor"/>
    </font>
    <font>
      <sz val="9"/>
      <color theme="1" tint="4.9989318521683403E-2"/>
      <name val="Arial"/>
      <family val="2"/>
    </font>
    <font>
      <sz val="10"/>
      <name val="Calibri"/>
      <family val="2"/>
      <scheme val="minor"/>
    </font>
    <font>
      <b/>
      <i/>
      <sz val="12"/>
      <name val="Calibri"/>
      <family val="2"/>
      <scheme val="minor"/>
    </font>
    <font>
      <sz val="10"/>
      <color theme="1"/>
      <name val="Arial"/>
      <family val="2"/>
    </font>
    <font>
      <sz val="9"/>
      <color theme="1"/>
      <name val="Arial"/>
      <family val="2"/>
    </font>
    <font>
      <b/>
      <sz val="9"/>
      <color theme="1"/>
      <name val="Arial"/>
      <family val="2"/>
    </font>
    <font>
      <b/>
      <sz val="10"/>
      <color theme="3" tint="-0.499984740745262"/>
      <name val="Calibri"/>
      <family val="2"/>
      <scheme val="minor"/>
    </font>
    <font>
      <b/>
      <sz val="10"/>
      <name val="Calibri"/>
      <family val="2"/>
      <scheme val="minor"/>
    </font>
    <font>
      <b/>
      <sz val="14"/>
      <color theme="1" tint="4.9989318521683403E-2"/>
      <name val="Arial Narrow"/>
      <family val="2"/>
    </font>
    <font>
      <b/>
      <sz val="10"/>
      <color theme="1" tint="4.9989318521683403E-2"/>
      <name val="Calibri"/>
      <family val="2"/>
      <scheme val="minor"/>
    </font>
    <font>
      <b/>
      <sz val="9"/>
      <name val="Calibri"/>
      <family val="2"/>
      <scheme val="minor"/>
    </font>
    <font>
      <b/>
      <sz val="10"/>
      <color rgb="FFFF0000"/>
      <name val="Calibri"/>
      <family val="2"/>
      <scheme val="minor"/>
    </font>
    <font>
      <sz val="10"/>
      <color rgb="FFFF0000"/>
      <name val="Calibri"/>
      <family val="2"/>
      <scheme val="minor"/>
    </font>
    <font>
      <sz val="12"/>
      <color theme="1"/>
      <name val="Calibri"/>
      <family val="2"/>
      <scheme val="minor"/>
    </font>
    <font>
      <b/>
      <sz val="12"/>
      <name val="Calibri"/>
      <family val="2"/>
      <scheme val="minor"/>
    </font>
    <font>
      <b/>
      <sz val="9"/>
      <color rgb="FF212121"/>
      <name val="Arial"/>
      <family val="2"/>
    </font>
    <font>
      <b/>
      <u/>
      <sz val="9"/>
      <color rgb="FF212121"/>
      <name val="Arial"/>
      <family val="2"/>
    </font>
    <font>
      <b/>
      <u/>
      <sz val="10"/>
      <color rgb="FF212121"/>
      <name val="Arial"/>
      <family val="2"/>
    </font>
    <font>
      <b/>
      <sz val="10"/>
      <color rgb="FF212121"/>
      <name val="Arial Narrow"/>
      <family val="2"/>
    </font>
    <font>
      <b/>
      <sz val="9"/>
      <color indexed="81"/>
      <name val="Tahoma"/>
      <family val="2"/>
    </font>
    <font>
      <b/>
      <sz val="12"/>
      <color indexed="81"/>
      <name val="Tahoma"/>
      <family val="2"/>
    </font>
    <font>
      <sz val="12"/>
      <color indexed="81"/>
      <name val="Tahoma"/>
      <family val="2"/>
    </font>
    <font>
      <b/>
      <sz val="16"/>
      <color indexed="81"/>
      <name val="Tahoma"/>
      <family val="2"/>
    </font>
  </fonts>
  <fills count="13">
    <fill>
      <patternFill patternType="none"/>
    </fill>
    <fill>
      <patternFill patternType="gray125"/>
    </fill>
    <fill>
      <patternFill patternType="solid">
        <fgColor indexed="55"/>
        <bgColor indexed="9"/>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theme="0"/>
        <bgColor indexed="64"/>
      </patternFill>
    </fill>
    <fill>
      <patternFill patternType="solid">
        <fgColor theme="0" tint="-4.9989318521683403E-2"/>
        <bgColor indexed="22"/>
      </patternFill>
    </fill>
    <fill>
      <patternFill patternType="solid">
        <fgColor theme="0" tint="-4.9989318521683403E-2"/>
        <bgColor indexed="33"/>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8"/>
      </patternFill>
    </fill>
    <fill>
      <patternFill patternType="solid">
        <fgColor theme="0" tint="-0.499984740745262"/>
        <bgColor indexed="64"/>
      </patternFill>
    </fill>
  </fills>
  <borders count="114">
    <border>
      <left/>
      <right/>
      <top/>
      <bottom/>
      <diagonal/>
    </border>
    <border>
      <left/>
      <right/>
      <top/>
      <bottom style="hair">
        <color indexed="64"/>
      </bottom>
      <diagonal/>
    </border>
    <border>
      <left style="hair">
        <color indexed="64"/>
      </left>
      <right/>
      <top style="hair">
        <color indexed="64"/>
      </top>
      <bottom style="hair">
        <color indexed="64"/>
      </bottom>
      <diagonal/>
    </border>
    <border>
      <left/>
      <right/>
      <top/>
      <bottom style="thin">
        <color indexed="32"/>
      </bottom>
      <diagonal/>
    </border>
    <border>
      <left style="hair">
        <color indexed="32"/>
      </left>
      <right/>
      <top/>
      <bottom/>
      <diagonal/>
    </border>
    <border>
      <left/>
      <right/>
      <top/>
      <bottom style="thin">
        <color indexed="64"/>
      </bottom>
      <diagonal/>
    </border>
    <border>
      <left style="medium">
        <color indexed="63"/>
      </left>
      <right style="medium">
        <color indexed="63"/>
      </right>
      <top style="medium">
        <color indexed="63"/>
      </top>
      <bottom style="medium">
        <color indexed="63"/>
      </bottom>
      <diagonal/>
    </border>
    <border>
      <left/>
      <right/>
      <top style="hair">
        <color indexed="63"/>
      </top>
      <bottom/>
      <diagonal/>
    </border>
    <border>
      <left style="hair">
        <color indexed="63"/>
      </left>
      <right style="hair">
        <color indexed="63"/>
      </right>
      <top/>
      <bottom style="hair">
        <color indexed="63"/>
      </bottom>
      <diagonal/>
    </border>
    <border>
      <left/>
      <right/>
      <top style="hair">
        <color indexed="32"/>
      </top>
      <bottom style="hair">
        <color indexed="32"/>
      </bottom>
      <diagonal/>
    </border>
    <border>
      <left/>
      <right/>
      <top style="thin">
        <color indexed="32"/>
      </top>
      <bottom style="thin">
        <color indexed="32"/>
      </bottom>
      <diagonal/>
    </border>
    <border>
      <left/>
      <right style="double">
        <color indexed="32"/>
      </right>
      <top/>
      <bottom/>
      <diagonal/>
    </border>
    <border>
      <left/>
      <right/>
      <top style="thin">
        <color indexed="32"/>
      </top>
      <bottom style="double">
        <color indexed="32"/>
      </bottom>
      <diagonal/>
    </border>
    <border>
      <left style="thin">
        <color indexed="32"/>
      </left>
      <right/>
      <top style="thin">
        <color indexed="32"/>
      </top>
      <bottom style="medium">
        <color indexed="32"/>
      </bottom>
      <diagonal/>
    </border>
    <border>
      <left/>
      <right/>
      <top style="thin">
        <color indexed="32"/>
      </top>
      <bottom style="medium">
        <color indexed="32"/>
      </bottom>
      <diagonal/>
    </border>
    <border>
      <left/>
      <right style="double">
        <color indexed="32"/>
      </right>
      <top style="thin">
        <color indexed="32"/>
      </top>
      <bottom style="medium">
        <color indexed="3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32"/>
      </left>
      <right/>
      <top style="thin">
        <color indexed="32"/>
      </top>
      <bottom style="thin">
        <color indexed="32"/>
      </bottom>
      <diagonal/>
    </border>
    <border>
      <left/>
      <right/>
      <top style="thin">
        <color indexed="64"/>
      </top>
      <bottom/>
      <diagonal/>
    </border>
    <border>
      <left style="hair">
        <color indexed="64"/>
      </left>
      <right/>
      <top/>
      <bottom style="hair">
        <color indexed="64"/>
      </bottom>
      <diagonal/>
    </border>
    <border>
      <left/>
      <right style="thin">
        <color indexed="32"/>
      </right>
      <top style="thin">
        <color indexed="32"/>
      </top>
      <bottom style="thin">
        <color indexed="32"/>
      </bottom>
      <diagonal/>
    </border>
    <border>
      <left style="hair">
        <color indexed="32"/>
      </left>
      <right/>
      <top style="hair">
        <color indexed="32"/>
      </top>
      <bottom style="medium">
        <color indexed="32"/>
      </bottom>
      <diagonal/>
    </border>
    <border>
      <left/>
      <right/>
      <top style="hair">
        <color indexed="32"/>
      </top>
      <bottom style="medium">
        <color indexed="32"/>
      </bottom>
      <diagonal/>
    </border>
    <border>
      <left/>
      <right style="hair">
        <color indexed="32"/>
      </right>
      <top style="hair">
        <color indexed="32"/>
      </top>
      <bottom style="medium">
        <color indexed="32"/>
      </bottom>
      <diagonal/>
    </border>
    <border>
      <left style="hair">
        <color indexed="32"/>
      </left>
      <right/>
      <top style="medium">
        <color indexed="32"/>
      </top>
      <bottom style="medium">
        <color indexed="32"/>
      </bottom>
      <diagonal/>
    </border>
    <border>
      <left/>
      <right/>
      <top style="medium">
        <color indexed="32"/>
      </top>
      <bottom style="medium">
        <color indexed="32"/>
      </bottom>
      <diagonal/>
    </border>
    <border>
      <left style="thin">
        <color indexed="63"/>
      </left>
      <right style="thin">
        <color indexed="63"/>
      </right>
      <top/>
      <bottom style="thin">
        <color indexed="63"/>
      </bottom>
      <diagonal/>
    </border>
    <border>
      <left style="hair">
        <color indexed="63"/>
      </left>
      <right style="hair">
        <color indexed="63"/>
      </right>
      <top style="hair">
        <color indexed="63"/>
      </top>
      <bottom style="hair">
        <color indexed="63"/>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hair">
        <color indexed="32"/>
      </left>
      <right/>
      <top style="hair">
        <color indexed="32"/>
      </top>
      <bottom style="hair">
        <color indexed="32"/>
      </bottom>
      <diagonal/>
    </border>
    <border>
      <left/>
      <right style="hair">
        <color indexed="32"/>
      </right>
      <top style="hair">
        <color indexed="32"/>
      </top>
      <bottom style="hair">
        <color indexed="32"/>
      </bottom>
      <diagonal/>
    </border>
    <border>
      <left/>
      <right/>
      <top/>
      <bottom style="medium">
        <color indexed="32"/>
      </bottom>
      <diagonal/>
    </border>
    <border>
      <left/>
      <right/>
      <top style="hair">
        <color indexed="32"/>
      </top>
      <bottom style="medium">
        <color indexed="64"/>
      </bottom>
      <diagonal/>
    </border>
    <border>
      <left/>
      <right style="hair">
        <color indexed="32"/>
      </right>
      <top style="hair">
        <color indexed="32"/>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32"/>
      </left>
      <right/>
      <top style="hair">
        <color indexed="32"/>
      </top>
      <bottom style="double">
        <color indexed="64"/>
      </bottom>
      <diagonal/>
    </border>
    <border>
      <left/>
      <right/>
      <top style="hair">
        <color indexed="32"/>
      </top>
      <bottom style="double">
        <color indexed="64"/>
      </bottom>
      <diagonal/>
    </border>
    <border>
      <left/>
      <right style="hair">
        <color indexed="32"/>
      </right>
      <top style="hair">
        <color indexed="32"/>
      </top>
      <bottom style="double">
        <color indexed="64"/>
      </bottom>
      <diagonal/>
    </border>
    <border>
      <left style="hair">
        <color indexed="32"/>
      </left>
      <right style="hair">
        <color indexed="32"/>
      </right>
      <top style="hair">
        <color indexed="32"/>
      </top>
      <bottom style="double">
        <color indexed="64"/>
      </bottom>
      <diagonal/>
    </border>
    <border>
      <left style="hair">
        <color indexed="32"/>
      </left>
      <right style="hair">
        <color indexed="32"/>
      </right>
      <top style="hair">
        <color indexed="32"/>
      </top>
      <bottom style="hair">
        <color indexed="32"/>
      </bottom>
      <diagonal/>
    </border>
    <border>
      <left style="hair">
        <color indexed="32"/>
      </left>
      <right style="hair">
        <color indexed="32"/>
      </right>
      <top style="hair">
        <color indexed="32"/>
      </top>
      <bottom/>
      <diagonal/>
    </border>
    <border>
      <left/>
      <right/>
      <top style="medium">
        <color indexed="32"/>
      </top>
      <bottom/>
      <diagonal/>
    </border>
    <border>
      <left/>
      <right/>
      <top style="medium">
        <color indexed="31"/>
      </top>
      <bottom/>
      <diagonal/>
    </border>
    <border>
      <left style="hair">
        <color indexed="32"/>
      </left>
      <right/>
      <top style="hair">
        <color indexed="32"/>
      </top>
      <bottom/>
      <diagonal/>
    </border>
    <border>
      <left/>
      <right/>
      <top style="hair">
        <color indexed="32"/>
      </top>
      <bottom/>
      <diagonal/>
    </border>
    <border>
      <left/>
      <right style="hair">
        <color indexed="32"/>
      </right>
      <top style="hair">
        <color indexed="32"/>
      </top>
      <bottom/>
      <diagonal/>
    </border>
    <border>
      <left style="hair">
        <color indexed="32"/>
      </left>
      <right/>
      <top style="hair">
        <color indexed="32"/>
      </top>
      <bottom style="medium">
        <color indexed="64"/>
      </bottom>
      <diagonal/>
    </border>
    <border>
      <left/>
      <right style="double">
        <color indexed="32"/>
      </right>
      <top style="hair">
        <color indexed="32"/>
      </top>
      <bottom style="hair">
        <color indexed="32"/>
      </bottom>
      <diagonal/>
    </border>
    <border>
      <left/>
      <right style="double">
        <color indexed="32"/>
      </right>
      <top style="hair">
        <color indexed="32"/>
      </top>
      <bottom/>
      <diagonal/>
    </border>
    <border>
      <left/>
      <right/>
      <top/>
      <bottom style="hair">
        <color indexed="32"/>
      </bottom>
      <diagonal/>
    </border>
    <border>
      <left/>
      <right style="double">
        <color indexed="32"/>
      </right>
      <top/>
      <bottom style="hair">
        <color indexed="32"/>
      </bottom>
      <diagonal/>
    </border>
    <border>
      <left/>
      <right style="double">
        <color indexed="32"/>
      </right>
      <top/>
      <bottom style="medium">
        <color indexed="32"/>
      </bottom>
      <diagonal/>
    </border>
    <border>
      <left/>
      <right style="double">
        <color indexed="32"/>
      </right>
      <top style="hair">
        <color indexed="32"/>
      </top>
      <bottom style="medium">
        <color indexed="64"/>
      </bottom>
      <diagonal/>
    </border>
    <border>
      <left style="hair">
        <color indexed="32"/>
      </left>
      <right/>
      <top/>
      <bottom style="medium">
        <color indexed="32"/>
      </bottom>
      <diagonal/>
    </border>
    <border>
      <left/>
      <right style="hair">
        <color indexed="32"/>
      </right>
      <top/>
      <bottom style="medium">
        <color indexed="32"/>
      </bottom>
      <diagonal/>
    </border>
    <border>
      <left style="hair">
        <color indexed="32"/>
      </left>
      <right/>
      <top/>
      <bottom style="hair">
        <color indexed="32"/>
      </bottom>
      <diagonal/>
    </border>
    <border>
      <left/>
      <right style="hair">
        <color indexed="32"/>
      </right>
      <top/>
      <bottom style="hair">
        <color indexed="32"/>
      </bottom>
      <diagonal/>
    </border>
    <border>
      <left style="double">
        <color indexed="32"/>
      </left>
      <right/>
      <top/>
      <bottom/>
      <diagonal/>
    </border>
    <border>
      <left style="double">
        <color indexed="32"/>
      </left>
      <right/>
      <top/>
      <bottom style="double">
        <color indexed="32"/>
      </bottom>
      <diagonal/>
    </border>
    <border>
      <left/>
      <right/>
      <top/>
      <bottom style="double">
        <color indexed="32"/>
      </bottom>
      <diagonal/>
    </border>
    <border>
      <left/>
      <right style="double">
        <color indexed="32"/>
      </right>
      <top/>
      <bottom style="double">
        <color indexed="32"/>
      </bottom>
      <diagonal/>
    </border>
    <border>
      <left/>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3"/>
      </left>
      <right/>
      <top style="medium">
        <color indexed="63"/>
      </top>
      <bottom style="medium">
        <color indexed="63"/>
      </bottom>
      <diagonal/>
    </border>
    <border>
      <left/>
      <right/>
      <top style="medium">
        <color indexed="63"/>
      </top>
      <bottom style="medium">
        <color indexed="63"/>
      </bottom>
      <diagonal/>
    </border>
    <border>
      <left/>
      <right style="medium">
        <color indexed="63"/>
      </right>
      <top style="medium">
        <color indexed="63"/>
      </top>
      <bottom style="medium">
        <color indexed="63"/>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
      <left/>
      <right/>
      <top style="thin">
        <color rgb="FFC00000"/>
      </top>
      <bottom style="double">
        <color rgb="FFC00000"/>
      </bottom>
      <diagonal/>
    </border>
    <border>
      <left style="thin">
        <color rgb="FFC00000"/>
      </left>
      <right/>
      <top style="thin">
        <color rgb="FFC00000"/>
      </top>
      <bottom style="medium">
        <color rgb="FFC00000"/>
      </bottom>
      <diagonal/>
    </border>
    <border>
      <left/>
      <right/>
      <top style="thin">
        <color rgb="FFC00000"/>
      </top>
      <bottom style="medium">
        <color rgb="FFC00000"/>
      </bottom>
      <diagonal/>
    </border>
    <border>
      <left/>
      <right style="double">
        <color rgb="FFC00000"/>
      </right>
      <top style="thin">
        <color rgb="FFC00000"/>
      </top>
      <bottom style="medium">
        <color rgb="FFC00000"/>
      </bottom>
      <diagonal/>
    </border>
    <border>
      <left style="thin">
        <color indexed="64"/>
      </left>
      <right style="thin">
        <color theme="0" tint="-0.14999847407452621"/>
      </right>
      <top style="thin">
        <color indexed="64"/>
      </top>
      <bottom style="thin">
        <color indexed="64"/>
      </bottom>
      <diagonal/>
    </border>
    <border>
      <left style="thin">
        <color theme="0" tint="-0.14999847407452621"/>
      </left>
      <right style="thin">
        <color theme="0" tint="-0.14999847407452621"/>
      </right>
      <top style="thin">
        <color indexed="64"/>
      </top>
      <bottom style="thin">
        <color indexed="64"/>
      </bottom>
      <diagonal/>
    </border>
    <border>
      <left style="thin">
        <color theme="0" tint="-0.14999847407452621"/>
      </left>
      <right style="thin">
        <color indexed="64"/>
      </right>
      <top style="thin">
        <color indexed="64"/>
      </top>
      <bottom style="thin">
        <color indexed="64"/>
      </bottom>
      <diagonal/>
    </border>
    <border>
      <left style="thin">
        <color theme="0" tint="-0.14999847407452621"/>
      </left>
      <right/>
      <top style="thin">
        <color indexed="64"/>
      </top>
      <bottom style="thin">
        <color indexed="64"/>
      </bottom>
      <diagonal/>
    </border>
  </borders>
  <cellStyleXfs count="7">
    <xf numFmtId="0" fontId="0" fillId="0" borderId="0"/>
    <xf numFmtId="0" fontId="85" fillId="0" borderId="0" applyNumberFormat="0" applyFill="0" applyBorder="0" applyAlignment="0" applyProtection="0"/>
    <xf numFmtId="165" fontId="2" fillId="0" borderId="0" applyFont="0" applyFill="0" applyBorder="0" applyAlignment="0" applyProtection="0"/>
    <xf numFmtId="0" fontId="2" fillId="0" borderId="0"/>
    <xf numFmtId="0" fontId="2" fillId="0" borderId="0"/>
    <xf numFmtId="0" fontId="83" fillId="0" borderId="0"/>
    <xf numFmtId="9" fontId="2" fillId="0" borderId="0" applyFont="0" applyFill="0" applyBorder="0" applyAlignment="0" applyProtection="0"/>
  </cellStyleXfs>
  <cellXfs count="1169">
    <xf numFmtId="0" fontId="0" fillId="0" borderId="0" xfId="0"/>
    <xf numFmtId="0" fontId="4" fillId="0" borderId="1" xfId="0" applyFont="1" applyBorder="1" applyAlignment="1">
      <alignment horizontal="left" indent="1"/>
    </xf>
    <xf numFmtId="0" fontId="4" fillId="0" borderId="0" xfId="0" applyFont="1"/>
    <xf numFmtId="171" fontId="4" fillId="0" borderId="0" xfId="0" quotePrefix="1" applyNumberFormat="1" applyFont="1" applyAlignment="1">
      <alignment horizontal="left" indent="1"/>
    </xf>
    <xf numFmtId="171" fontId="4" fillId="0" borderId="0" xfId="0" applyNumberFormat="1" applyFont="1" applyAlignment="1">
      <alignment horizontal="left" indent="1"/>
    </xf>
    <xf numFmtId="171" fontId="4" fillId="0" borderId="0" xfId="0" applyNumberFormat="1" applyFont="1"/>
    <xf numFmtId="0" fontId="4" fillId="0" borderId="0" xfId="0" applyFont="1" applyAlignment="1">
      <alignment horizontal="left" indent="1"/>
    </xf>
    <xf numFmtId="0" fontId="4" fillId="0" borderId="0" xfId="0" applyFont="1" applyAlignment="1">
      <alignment horizontal="center"/>
    </xf>
    <xf numFmtId="173" fontId="4" fillId="0" borderId="0" xfId="0" applyNumberFormat="1" applyFont="1" applyAlignment="1">
      <alignment horizontal="left" indent="1"/>
    </xf>
    <xf numFmtId="173" fontId="4" fillId="0" borderId="0" xfId="0" applyNumberFormat="1" applyFont="1"/>
    <xf numFmtId="0" fontId="6" fillId="0" borderId="0" xfId="0" applyFont="1" applyAlignment="1">
      <alignment vertical="top"/>
    </xf>
    <xf numFmtId="171" fontId="4" fillId="0" borderId="0" xfId="0" applyNumberFormat="1" applyFont="1" applyAlignment="1">
      <alignment horizontal="right"/>
    </xf>
    <xf numFmtId="0" fontId="4" fillId="0" borderId="2" xfId="0" applyFont="1" applyBorder="1" applyAlignment="1">
      <alignment horizontal="left" indent="1"/>
    </xf>
    <xf numFmtId="173" fontId="4" fillId="0" borderId="0" xfId="0" applyNumberFormat="1" applyFont="1" applyAlignment="1">
      <alignment vertical="top"/>
    </xf>
    <xf numFmtId="173" fontId="4" fillId="0" borderId="0" xfId="0" applyNumberFormat="1" applyFont="1" applyAlignment="1">
      <alignment vertical="top" wrapText="1"/>
    </xf>
    <xf numFmtId="0" fontId="7" fillId="0" borderId="0" xfId="0" applyFont="1"/>
    <xf numFmtId="0" fontId="8" fillId="0" borderId="0" xfId="0" applyFont="1"/>
    <xf numFmtId="0" fontId="9" fillId="0" borderId="0" xfId="0" applyFont="1"/>
    <xf numFmtId="0" fontId="14" fillId="0" borderId="0" xfId="0" applyFont="1" applyAlignment="1">
      <alignment vertical="center"/>
    </xf>
    <xf numFmtId="0" fontId="7" fillId="0" borderId="0" xfId="0" applyFont="1" applyAlignment="1">
      <alignment vertical="center"/>
    </xf>
    <xf numFmtId="0" fontId="16" fillId="0" borderId="0" xfId="0" applyFont="1"/>
    <xf numFmtId="0" fontId="18" fillId="0" borderId="0" xfId="0" applyFont="1"/>
    <xf numFmtId="0" fontId="14" fillId="0" borderId="0" xfId="0" applyFont="1"/>
    <xf numFmtId="0" fontId="11" fillId="0" borderId="0" xfId="0" applyFont="1"/>
    <xf numFmtId="0" fontId="7" fillId="0" borderId="0" xfId="0" applyFont="1" applyAlignment="1">
      <alignment vertical="top"/>
    </xf>
    <xf numFmtId="0" fontId="23" fillId="0" borderId="0" xfId="0" applyFont="1"/>
    <xf numFmtId="0" fontId="1" fillId="0" borderId="0" xfId="0" applyFont="1"/>
    <xf numFmtId="0" fontId="24" fillId="0" borderId="0" xfId="0" applyFont="1"/>
    <xf numFmtId="167" fontId="24" fillId="0" borderId="0" xfId="0" applyNumberFormat="1" applyFont="1" applyAlignment="1">
      <alignment horizontal="left"/>
    </xf>
    <xf numFmtId="167" fontId="25" fillId="0" borderId="0" xfId="0" applyNumberFormat="1" applyFont="1" applyAlignment="1">
      <alignment horizontal="left"/>
    </xf>
    <xf numFmtId="0" fontId="24" fillId="0" borderId="0" xfId="0" applyFont="1" applyAlignment="1">
      <alignment horizontal="left" vertical="center"/>
    </xf>
    <xf numFmtId="0" fontId="26" fillId="0" borderId="0" xfId="0" applyFont="1" applyAlignment="1">
      <alignment horizontal="left" vertical="center"/>
    </xf>
    <xf numFmtId="0" fontId="1" fillId="0" borderId="0" xfId="0" applyFont="1" applyAlignment="1">
      <alignment horizontal="center" vertical="center"/>
    </xf>
    <xf numFmtId="0" fontId="24" fillId="0" borderId="0" xfId="0" applyFont="1" applyAlignment="1">
      <alignment vertical="center"/>
    </xf>
    <xf numFmtId="0" fontId="7" fillId="0" borderId="0" xfId="0" applyFont="1" applyAlignment="1">
      <alignment horizontal="left" vertical="center"/>
    </xf>
    <xf numFmtId="0" fontId="1" fillId="0" borderId="3" xfId="0" applyFont="1" applyBorder="1"/>
    <xf numFmtId="0" fontId="7" fillId="0" borderId="3" xfId="0" applyFont="1" applyBorder="1"/>
    <xf numFmtId="0" fontId="1" fillId="0" borderId="3" xfId="0" applyFont="1" applyBorder="1" applyAlignment="1">
      <alignment horizontal="center"/>
    </xf>
    <xf numFmtId="0" fontId="27" fillId="0" borderId="0" xfId="0" applyFont="1"/>
    <xf numFmtId="0" fontId="18" fillId="0" borderId="0" xfId="0" applyFont="1" applyAlignment="1">
      <alignment horizontal="center"/>
    </xf>
    <xf numFmtId="0" fontId="7" fillId="0" borderId="0" xfId="0" applyFont="1" applyAlignment="1">
      <alignment horizontal="justify"/>
    </xf>
    <xf numFmtId="4" fontId="7" fillId="0" borderId="0" xfId="0" applyNumberFormat="1" applyFont="1" applyProtection="1">
      <protection locked="0"/>
    </xf>
    <xf numFmtId="4" fontId="7" fillId="0" borderId="0" xfId="0" applyNumberFormat="1" applyFont="1" applyAlignment="1" applyProtection="1">
      <alignment horizontal="justify"/>
      <protection locked="0"/>
    </xf>
    <xf numFmtId="170" fontId="18" fillId="0" borderId="0" xfId="0" applyNumberFormat="1" applyFont="1" applyAlignment="1">
      <alignment horizontal="left"/>
    </xf>
    <xf numFmtId="0" fontId="26" fillId="0" borderId="0" xfId="0" applyFont="1" applyAlignment="1">
      <alignment horizontal="left"/>
    </xf>
    <xf numFmtId="0" fontId="29" fillId="0" borderId="0" xfId="0" applyFont="1"/>
    <xf numFmtId="0" fontId="31" fillId="0" borderId="0" xfId="0" applyFont="1" applyAlignment="1">
      <alignment horizontal="left"/>
    </xf>
    <xf numFmtId="0" fontId="7" fillId="0" borderId="0" xfId="0" applyFont="1" applyAlignment="1">
      <alignment horizontal="left"/>
    </xf>
    <xf numFmtId="0" fontId="7" fillId="0" borderId="0" xfId="0" applyFont="1" applyAlignment="1">
      <alignment horizontal="center"/>
    </xf>
    <xf numFmtId="0" fontId="7" fillId="0" borderId="0" xfId="0" applyFont="1" applyAlignment="1">
      <alignment horizontal="center" vertical="center"/>
    </xf>
    <xf numFmtId="0" fontId="18" fillId="0" borderId="0" xfId="0" applyFont="1" applyAlignment="1">
      <alignment vertical="center"/>
    </xf>
    <xf numFmtId="0" fontId="26" fillId="0" borderId="0" xfId="0" applyFont="1"/>
    <xf numFmtId="0" fontId="34" fillId="0" borderId="0" xfId="0" applyFont="1"/>
    <xf numFmtId="0" fontId="35" fillId="0" borderId="4" xfId="0" applyFont="1" applyBorder="1"/>
    <xf numFmtId="0" fontId="36" fillId="0" borderId="0" xfId="0" applyFont="1"/>
    <xf numFmtId="0" fontId="9" fillId="0" borderId="0" xfId="0" applyFont="1" applyAlignment="1">
      <alignment horizontal="center" vertical="center"/>
    </xf>
    <xf numFmtId="0" fontId="34" fillId="0" borderId="0" xfId="0" applyFont="1" applyAlignment="1">
      <alignment horizontal="left"/>
    </xf>
    <xf numFmtId="9" fontId="7" fillId="0" borderId="0" xfId="6" applyFont="1" applyAlignment="1">
      <alignment horizontal="center" vertical="center"/>
    </xf>
    <xf numFmtId="0" fontId="18" fillId="0" borderId="0" xfId="0" quotePrefix="1" applyFont="1" applyAlignment="1">
      <alignment horizontal="left"/>
    </xf>
    <xf numFmtId="0" fontId="7" fillId="0" borderId="0" xfId="0" applyFont="1" applyAlignment="1">
      <alignment horizontal="justify" vertical="top"/>
    </xf>
    <xf numFmtId="0" fontId="7" fillId="0" borderId="0" xfId="0" quotePrefix="1" applyFont="1" applyAlignment="1">
      <alignment horizontal="justify" vertical="top"/>
    </xf>
    <xf numFmtId="0" fontId="24" fillId="0" borderId="3" xfId="0" applyFont="1" applyBorder="1"/>
    <xf numFmtId="0" fontId="24" fillId="0" borderId="3" xfId="0" applyFont="1" applyBorder="1" applyAlignment="1">
      <alignment horizontal="left"/>
    </xf>
    <xf numFmtId="1" fontId="20" fillId="0" borderId="0" xfId="0" applyNumberFormat="1" applyFont="1" applyAlignment="1">
      <alignment horizontal="right" vertical="center"/>
    </xf>
    <xf numFmtId="0" fontId="18" fillId="0" borderId="0" xfId="0" quotePrefix="1" applyFont="1" applyAlignment="1">
      <alignment horizontal="justify"/>
    </xf>
    <xf numFmtId="0" fontId="39" fillId="0" borderId="0" xfId="0" applyFont="1" applyAlignment="1">
      <alignment horizontal="left"/>
    </xf>
    <xf numFmtId="0" fontId="7" fillId="0" borderId="0" xfId="0" applyFont="1" applyAlignment="1">
      <alignment horizontal="right"/>
    </xf>
    <xf numFmtId="2" fontId="7" fillId="0" borderId="0" xfId="0" applyNumberFormat="1" applyFont="1" applyAlignment="1">
      <alignment horizontal="center"/>
    </xf>
    <xf numFmtId="0" fontId="7" fillId="0" borderId="0" xfId="0" quotePrefix="1" applyFont="1" applyAlignment="1">
      <alignment horizontal="left"/>
    </xf>
    <xf numFmtId="0" fontId="16" fillId="0" borderId="0" xfId="0" applyFont="1" applyAlignment="1">
      <alignment horizontal="left"/>
    </xf>
    <xf numFmtId="0" fontId="7" fillId="0" borderId="0" xfId="0" quotePrefix="1" applyFont="1" applyAlignment="1">
      <alignment horizontal="center"/>
    </xf>
    <xf numFmtId="0" fontId="18" fillId="0" borderId="0" xfId="0" applyFont="1" applyAlignment="1">
      <alignment horizontal="left"/>
    </xf>
    <xf numFmtId="0" fontId="22" fillId="0" borderId="0" xfId="0" applyFont="1" applyAlignment="1">
      <alignment vertical="center"/>
    </xf>
    <xf numFmtId="0" fontId="37" fillId="0" borderId="0" xfId="0" applyFont="1"/>
    <xf numFmtId="0" fontId="37" fillId="0" borderId="3" xfId="0" applyFont="1" applyBorder="1"/>
    <xf numFmtId="0" fontId="42" fillId="0" borderId="3" xfId="0" applyFont="1" applyBorder="1"/>
    <xf numFmtId="0" fontId="42" fillId="0" borderId="5" xfId="0" applyFont="1" applyBorder="1"/>
    <xf numFmtId="0" fontId="42" fillId="0" borderId="0" xfId="0" applyFont="1"/>
    <xf numFmtId="0" fontId="43" fillId="0" borderId="0" xfId="0" applyFont="1"/>
    <xf numFmtId="0" fontId="19" fillId="0" borderId="0" xfId="0" applyFont="1"/>
    <xf numFmtId="0" fontId="8" fillId="0" borderId="0" xfId="0" applyFont="1" applyAlignment="1">
      <alignment horizontal="center"/>
    </xf>
    <xf numFmtId="3" fontId="8" fillId="0" borderId="0" xfId="0" applyNumberFormat="1" applyFont="1"/>
    <xf numFmtId="2" fontId="8" fillId="0" borderId="0" xfId="0" applyNumberFormat="1" applyFont="1"/>
    <xf numFmtId="0" fontId="37" fillId="0" borderId="0" xfId="0" applyFont="1" applyAlignment="1">
      <alignment vertical="center"/>
    </xf>
    <xf numFmtId="0" fontId="10" fillId="0" borderId="0" xfId="0" applyFont="1" applyAlignment="1">
      <alignment vertical="center"/>
    </xf>
    <xf numFmtId="0" fontId="30" fillId="0" borderId="0" xfId="0" applyFont="1"/>
    <xf numFmtId="4" fontId="8" fillId="0" borderId="0" xfId="0" applyNumberFormat="1" applyFont="1"/>
    <xf numFmtId="4" fontId="37" fillId="0" borderId="0" xfId="0" applyNumberFormat="1" applyFont="1"/>
    <xf numFmtId="4" fontId="8" fillId="0" borderId="0" xfId="0" applyNumberFormat="1" applyFont="1" applyAlignment="1">
      <alignment horizontal="right"/>
    </xf>
    <xf numFmtId="9" fontId="8" fillId="0" borderId="0" xfId="6" applyFont="1" applyAlignment="1">
      <alignment horizontal="center"/>
    </xf>
    <xf numFmtId="0" fontId="2" fillId="0" borderId="0" xfId="0" applyFont="1"/>
    <xf numFmtId="0" fontId="2" fillId="0" borderId="0" xfId="0" applyFont="1" applyAlignment="1">
      <alignment horizontal="justify" vertical="top"/>
    </xf>
    <xf numFmtId="0" fontId="2" fillId="0" borderId="0" xfId="0" applyFont="1" applyAlignment="1">
      <alignment vertical="top"/>
    </xf>
    <xf numFmtId="0" fontId="88" fillId="0" borderId="0" xfId="0" applyFont="1"/>
    <xf numFmtId="0" fontId="89" fillId="0" borderId="0" xfId="0" applyFont="1"/>
    <xf numFmtId="0" fontId="89" fillId="0" borderId="0" xfId="0" applyFont="1" applyAlignment="1">
      <alignment vertical="top"/>
    </xf>
    <xf numFmtId="0" fontId="88" fillId="0" borderId="0" xfId="0" applyFont="1" applyAlignment="1">
      <alignment vertical="center"/>
    </xf>
    <xf numFmtId="0" fontId="48" fillId="0" borderId="0" xfId="0" applyFont="1"/>
    <xf numFmtId="0" fontId="49" fillId="0" borderId="0" xfId="0" applyFont="1"/>
    <xf numFmtId="0" fontId="48" fillId="0" borderId="0" xfId="0" applyFont="1" applyAlignment="1">
      <alignment horizontal="left"/>
    </xf>
    <xf numFmtId="174" fontId="48" fillId="0" borderId="0" xfId="0" applyNumberFormat="1" applyFont="1"/>
    <xf numFmtId="43" fontId="48" fillId="0" borderId="0" xfId="0" applyNumberFormat="1" applyFont="1"/>
    <xf numFmtId="0" fontId="48" fillId="2" borderId="0" xfId="0" applyFont="1" applyFill="1"/>
    <xf numFmtId="0" fontId="49" fillId="2" borderId="0" xfId="0" applyFont="1" applyFill="1"/>
    <xf numFmtId="0" fontId="48" fillId="2" borderId="0" xfId="0" applyFont="1" applyFill="1" applyAlignment="1">
      <alignment horizontal="left"/>
    </xf>
    <xf numFmtId="174" fontId="48" fillId="2" borderId="0" xfId="0" applyNumberFormat="1" applyFont="1" applyFill="1"/>
    <xf numFmtId="43" fontId="48" fillId="2" borderId="0" xfId="0" applyNumberFormat="1" applyFont="1" applyFill="1"/>
    <xf numFmtId="0" fontId="51" fillId="0" borderId="0" xfId="0" applyFont="1"/>
    <xf numFmtId="0" fontId="52" fillId="0" borderId="0" xfId="0" applyFont="1"/>
    <xf numFmtId="0" fontId="53" fillId="0" borderId="0" xfId="0" applyFont="1"/>
    <xf numFmtId="0" fontId="53" fillId="0" borderId="0" xfId="0" applyFont="1" applyAlignment="1">
      <alignment wrapText="1" shrinkToFit="1"/>
    </xf>
    <xf numFmtId="0" fontId="52" fillId="0" borderId="0" xfId="0" applyFont="1" applyAlignment="1">
      <alignment wrapText="1" shrinkToFit="1"/>
    </xf>
    <xf numFmtId="0" fontId="52" fillId="0" borderId="0" xfId="0" applyFont="1" applyAlignment="1">
      <alignment horizontal="center" wrapText="1" shrinkToFit="1"/>
    </xf>
    <xf numFmtId="0" fontId="54" fillId="0" borderId="0" xfId="0" applyFont="1" applyAlignment="1">
      <alignment horizontal="center" wrapText="1" shrinkToFit="1"/>
    </xf>
    <xf numFmtId="0" fontId="47" fillId="0" borderId="6" xfId="0" applyFont="1" applyBorder="1" applyAlignment="1">
      <alignment horizontal="center" vertical="center"/>
    </xf>
    <xf numFmtId="0" fontId="55" fillId="0" borderId="0" xfId="0" applyFont="1"/>
    <xf numFmtId="0" fontId="55" fillId="0" borderId="0" xfId="0" applyFont="1" applyAlignment="1">
      <alignment vertical="center"/>
    </xf>
    <xf numFmtId="0" fontId="55" fillId="0" borderId="7" xfId="0" applyFont="1" applyBorder="1" applyAlignment="1">
      <alignment vertical="center"/>
    </xf>
    <xf numFmtId="39" fontId="47" fillId="0" borderId="8" xfId="0" applyNumberFormat="1" applyFont="1" applyBorder="1" applyAlignment="1">
      <alignment horizontal="center" vertical="center"/>
    </xf>
    <xf numFmtId="0" fontId="47" fillId="0" borderId="0" xfId="0" applyFont="1" applyAlignment="1">
      <alignment horizontal="left" vertical="center"/>
    </xf>
    <xf numFmtId="168" fontId="59" fillId="0" borderId="0" xfId="0" applyNumberFormat="1" applyFont="1" applyAlignment="1">
      <alignment horizontal="left" vertical="center"/>
    </xf>
    <xf numFmtId="164" fontId="47" fillId="0" borderId="0" xfId="0" applyNumberFormat="1" applyFont="1" applyAlignment="1">
      <alignment horizontal="left" vertical="center"/>
    </xf>
    <xf numFmtId="0" fontId="47" fillId="0" borderId="0" xfId="0" applyFont="1" applyAlignment="1">
      <alignment vertical="center"/>
    </xf>
    <xf numFmtId="0" fontId="60" fillId="0" borderId="0" xfId="0" applyFont="1" applyAlignment="1">
      <alignment horizontal="left"/>
    </xf>
    <xf numFmtId="0" fontId="58" fillId="0" borderId="0" xfId="0" applyFont="1" applyAlignment="1">
      <alignment horizontal="center"/>
    </xf>
    <xf numFmtId="0" fontId="55" fillId="0" borderId="0" xfId="0" applyFont="1" applyAlignment="1">
      <alignment horizontal="center"/>
    </xf>
    <xf numFmtId="0" fontId="55" fillId="0" borderId="0" xfId="0" applyFont="1" applyAlignment="1">
      <alignment vertical="justify"/>
    </xf>
    <xf numFmtId="0" fontId="45" fillId="0" borderId="0" xfId="0" applyFont="1" applyAlignment="1">
      <alignment vertical="justify"/>
    </xf>
    <xf numFmtId="0" fontId="61" fillId="0" borderId="0" xfId="0" applyFont="1" applyAlignment="1">
      <alignment vertical="justify"/>
    </xf>
    <xf numFmtId="0" fontId="47" fillId="0" borderId="0" xfId="0" applyFont="1"/>
    <xf numFmtId="0" fontId="59" fillId="0" borderId="0" xfId="0" applyFont="1"/>
    <xf numFmtId="0" fontId="47" fillId="0" borderId="0" xfId="0" applyFont="1" applyAlignment="1">
      <alignment vertical="justify"/>
    </xf>
    <xf numFmtId="0" fontId="51" fillId="0" borderId="0" xfId="0" applyFont="1" applyAlignment="1">
      <alignment horizontal="center"/>
    </xf>
    <xf numFmtId="0" fontId="62" fillId="0" borderId="0" xfId="0" applyFont="1" applyAlignment="1">
      <alignment horizontal="center"/>
    </xf>
    <xf numFmtId="0" fontId="63" fillId="0" borderId="0" xfId="0" applyFont="1" applyAlignment="1">
      <alignment horizontal="center"/>
    </xf>
    <xf numFmtId="0" fontId="63" fillId="0" borderId="0" xfId="0" applyFont="1"/>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xf>
    <xf numFmtId="0" fontId="2" fillId="0" borderId="9" xfId="0" applyFont="1" applyBorder="1"/>
    <xf numFmtId="0" fontId="18" fillId="3" borderId="10" xfId="0" applyFont="1" applyFill="1" applyBorder="1" applyAlignment="1">
      <alignment vertical="center"/>
    </xf>
    <xf numFmtId="0" fontId="2" fillId="0" borderId="0" xfId="0" quotePrefix="1" applyFont="1" applyAlignment="1">
      <alignment horizontal="left"/>
    </xf>
    <xf numFmtId="1" fontId="12" fillId="0" borderId="0" xfId="0" applyNumberFormat="1" applyFont="1" applyAlignment="1">
      <alignment horizontal="right" vertical="center"/>
    </xf>
    <xf numFmtId="0" fontId="3" fillId="0" borderId="0" xfId="0" applyFont="1"/>
    <xf numFmtId="0" fontId="2" fillId="0" borderId="11" xfId="0" applyFont="1" applyBorder="1"/>
    <xf numFmtId="0" fontId="90" fillId="0" borderId="0" xfId="0" applyFont="1"/>
    <xf numFmtId="0" fontId="91" fillId="0" borderId="0" xfId="0" applyFont="1"/>
    <xf numFmtId="0" fontId="21" fillId="0" borderId="0" xfId="0" applyFont="1"/>
    <xf numFmtId="170" fontId="2" fillId="0" borderId="0" xfId="0" applyNumberFormat="1" applyFont="1" applyAlignment="1">
      <alignment horizontal="left"/>
    </xf>
    <xf numFmtId="2" fontId="2" fillId="0" borderId="0" xfId="0" applyNumberFormat="1" applyFont="1" applyAlignment="1">
      <alignment horizontal="center"/>
    </xf>
    <xf numFmtId="0" fontId="22" fillId="0" borderId="0" xfId="0" applyFont="1" applyAlignment="1">
      <alignment horizontal="left" vertical="center"/>
    </xf>
    <xf numFmtId="168" fontId="11" fillId="0" borderId="0" xfId="0" applyNumberFormat="1" applyFont="1" applyAlignment="1">
      <alignment vertical="center"/>
    </xf>
    <xf numFmtId="170" fontId="8" fillId="4" borderId="0" xfId="0" applyNumberFormat="1" applyFont="1" applyFill="1"/>
    <xf numFmtId="0" fontId="8" fillId="4" borderId="0" xfId="0" applyFont="1" applyFill="1"/>
    <xf numFmtId="0" fontId="8" fillId="4" borderId="0" xfId="0" applyFont="1" applyFill="1" applyAlignment="1">
      <alignment horizontal="center"/>
    </xf>
    <xf numFmtId="3" fontId="8" fillId="4" borderId="0" xfId="0" applyNumberFormat="1" applyFont="1" applyFill="1"/>
    <xf numFmtId="164" fontId="8" fillId="4" borderId="0" xfId="0" applyNumberFormat="1" applyFont="1" applyFill="1"/>
    <xf numFmtId="2" fontId="24" fillId="4" borderId="12" xfId="0" applyNumberFormat="1" applyFont="1" applyFill="1" applyBorder="1" applyAlignment="1">
      <alignment vertical="center"/>
    </xf>
    <xf numFmtId="0" fontId="2" fillId="4" borderId="12" xfId="0" applyFont="1" applyFill="1" applyBorder="1" applyAlignment="1">
      <alignment vertical="center"/>
    </xf>
    <xf numFmtId="0" fontId="2" fillId="4" borderId="12" xfId="0" applyFont="1" applyFill="1" applyBorder="1" applyAlignment="1">
      <alignment horizontal="left" vertical="center"/>
    </xf>
    <xf numFmtId="2" fontId="2" fillId="4" borderId="12" xfId="0" applyNumberFormat="1" applyFont="1" applyFill="1" applyBorder="1" applyAlignment="1">
      <alignment horizontal="center" vertical="center"/>
    </xf>
    <xf numFmtId="164" fontId="2" fillId="4" borderId="12" xfId="0" applyNumberFormat="1" applyFont="1" applyFill="1" applyBorder="1" applyAlignment="1">
      <alignment horizontal="right" vertical="center"/>
    </xf>
    <xf numFmtId="0" fontId="2" fillId="4" borderId="12" xfId="0" applyFont="1" applyFill="1" applyBorder="1" applyAlignment="1">
      <alignment horizontal="right" vertical="center"/>
    </xf>
    <xf numFmtId="0" fontId="2" fillId="4" borderId="12" xfId="0" quotePrefix="1" applyFont="1" applyFill="1" applyBorder="1" applyAlignment="1">
      <alignment horizontal="left" vertical="center"/>
    </xf>
    <xf numFmtId="0" fontId="2" fillId="4" borderId="12" xfId="0" quotePrefix="1" applyFont="1" applyFill="1" applyBorder="1" applyAlignment="1">
      <alignment horizontal="center" vertical="center"/>
    </xf>
    <xf numFmtId="0" fontId="21" fillId="0" borderId="3" xfId="0" applyFont="1" applyBorder="1"/>
    <xf numFmtId="0" fontId="21" fillId="0" borderId="0" xfId="0" applyFont="1" applyAlignment="1">
      <alignment vertical="center"/>
    </xf>
    <xf numFmtId="0" fontId="21" fillId="4" borderId="13" xfId="0" applyFont="1" applyFill="1" applyBorder="1" applyAlignment="1">
      <alignment vertical="center"/>
    </xf>
    <xf numFmtId="0" fontId="21" fillId="4" borderId="14" xfId="0" applyFont="1" applyFill="1" applyBorder="1" applyAlignment="1">
      <alignment vertical="center"/>
    </xf>
    <xf numFmtId="0" fontId="21" fillId="4" borderId="14" xfId="0" applyFont="1" applyFill="1" applyBorder="1" applyAlignment="1">
      <alignment horizontal="center" vertical="center"/>
    </xf>
    <xf numFmtId="3" fontId="21" fillId="4" borderId="14" xfId="0" applyNumberFormat="1" applyFont="1" applyFill="1" applyBorder="1" applyAlignment="1">
      <alignment vertical="center"/>
    </xf>
    <xf numFmtId="3" fontId="21" fillId="4" borderId="15" xfId="0" applyNumberFormat="1" applyFont="1" applyFill="1" applyBorder="1" applyAlignment="1">
      <alignment vertical="center"/>
    </xf>
    <xf numFmtId="0" fontId="83" fillId="0" borderId="0" xfId="5" applyAlignment="1">
      <alignment horizontal="center" vertical="center"/>
    </xf>
    <xf numFmtId="0" fontId="92" fillId="0" borderId="0" xfId="5" applyFont="1" applyAlignment="1">
      <alignment horizontal="center" vertical="center"/>
    </xf>
    <xf numFmtId="0" fontId="87" fillId="5" borderId="16" xfId="5" applyFont="1" applyFill="1" applyBorder="1" applyAlignment="1">
      <alignment horizontal="center" vertical="center"/>
    </xf>
    <xf numFmtId="0" fontId="87" fillId="5" borderId="17" xfId="5" applyFont="1" applyFill="1" applyBorder="1" applyAlignment="1">
      <alignment horizontal="center" vertical="center"/>
    </xf>
    <xf numFmtId="0" fontId="87" fillId="5" borderId="16" xfId="5" applyFont="1" applyFill="1" applyBorder="1" applyAlignment="1">
      <alignment horizontal="center" vertical="center" wrapText="1"/>
    </xf>
    <xf numFmtId="0" fontId="83" fillId="0" borderId="0" xfId="5" quotePrefix="1" applyAlignment="1">
      <alignment horizontal="center" vertical="center"/>
    </xf>
    <xf numFmtId="0" fontId="83" fillId="0" borderId="0" xfId="5" applyAlignment="1">
      <alignment horizontal="center" vertical="center" wrapText="1"/>
    </xf>
    <xf numFmtId="49" fontId="83" fillId="0" borderId="0" xfId="5" quotePrefix="1" applyNumberFormat="1" applyAlignment="1">
      <alignment horizontal="center" vertical="center"/>
    </xf>
    <xf numFmtId="176" fontId="83" fillId="0" borderId="0" xfId="5" applyNumberFormat="1" applyAlignment="1">
      <alignment horizontal="center" vertical="center"/>
    </xf>
    <xf numFmtId="4" fontId="83" fillId="0" borderId="0" xfId="5" applyNumberFormat="1" applyAlignment="1">
      <alignment horizontal="center" vertical="center"/>
    </xf>
    <xf numFmtId="49" fontId="83" fillId="0" borderId="0" xfId="5" applyNumberFormat="1" applyAlignment="1">
      <alignment horizontal="center" vertical="center"/>
    </xf>
    <xf numFmtId="0" fontId="83" fillId="0" borderId="0" xfId="5"/>
    <xf numFmtId="49" fontId="83" fillId="0" borderId="0" xfId="5" applyNumberFormat="1" applyAlignment="1">
      <alignment horizontal="center"/>
    </xf>
    <xf numFmtId="0" fontId="83" fillId="0" borderId="0" xfId="5" applyAlignment="1">
      <alignment horizontal="center"/>
    </xf>
    <xf numFmtId="0" fontId="2" fillId="3" borderId="18" xfId="0" applyFont="1" applyFill="1" applyBorder="1" applyAlignment="1">
      <alignment vertical="center"/>
    </xf>
    <xf numFmtId="0" fontId="18" fillId="3" borderId="10" xfId="0" applyFont="1" applyFill="1" applyBorder="1" applyAlignment="1">
      <alignment horizontal="center" vertical="center"/>
    </xf>
    <xf numFmtId="0" fontId="93" fillId="6" borderId="0" xfId="0" applyFont="1" applyFill="1"/>
    <xf numFmtId="0" fontId="94" fillId="6" borderId="0" xfId="0" applyFont="1" applyFill="1" applyAlignment="1">
      <alignment vertical="center"/>
    </xf>
    <xf numFmtId="177" fontId="94" fillId="6" borderId="0" xfId="0" applyNumberFormat="1" applyFont="1" applyFill="1" applyAlignment="1">
      <alignment vertical="center"/>
    </xf>
    <xf numFmtId="178" fontId="94" fillId="6" borderId="0" xfId="0" applyNumberFormat="1" applyFont="1" applyFill="1" applyAlignment="1">
      <alignment vertical="center"/>
    </xf>
    <xf numFmtId="0" fontId="95" fillId="0" borderId="0" xfId="0" applyFont="1"/>
    <xf numFmtId="0" fontId="96" fillId="6" borderId="0" xfId="0" applyFont="1" applyFill="1"/>
    <xf numFmtId="0" fontId="96" fillId="0" borderId="0" xfId="0" applyFont="1"/>
    <xf numFmtId="0" fontId="96" fillId="0" borderId="0" xfId="0" applyFont="1" applyAlignment="1">
      <alignment horizontal="center"/>
    </xf>
    <xf numFmtId="0" fontId="96" fillId="6" borderId="0" xfId="0" applyFont="1" applyFill="1" applyAlignment="1">
      <alignment horizontal="center"/>
    </xf>
    <xf numFmtId="0" fontId="97" fillId="0" borderId="0" xfId="0" applyFont="1"/>
    <xf numFmtId="0" fontId="97" fillId="6" borderId="0" xfId="0" applyFont="1" applyFill="1" applyAlignment="1">
      <alignment vertical="center"/>
    </xf>
    <xf numFmtId="0" fontId="98" fillId="0" borderId="0" xfId="0" applyFont="1"/>
    <xf numFmtId="0" fontId="97" fillId="6" borderId="0" xfId="0" applyFont="1" applyFill="1" applyAlignment="1">
      <alignment horizontal="left" vertical="center"/>
    </xf>
    <xf numFmtId="0" fontId="97" fillId="6" borderId="0" xfId="0" applyFont="1" applyFill="1" applyAlignment="1">
      <alignment horizontal="center" vertical="center" wrapText="1"/>
    </xf>
    <xf numFmtId="0" fontId="99" fillId="0" borderId="0" xfId="0" applyFont="1"/>
    <xf numFmtId="0" fontId="65" fillId="0" borderId="0" xfId="0" applyFont="1"/>
    <xf numFmtId="0" fontId="100" fillId="0" borderId="0" xfId="0" applyFont="1"/>
    <xf numFmtId="0" fontId="101" fillId="0" borderId="0" xfId="0" applyFont="1"/>
    <xf numFmtId="0" fontId="96" fillId="0" borderId="0" xfId="0" applyFont="1" applyAlignment="1">
      <alignment vertical="center"/>
    </xf>
    <xf numFmtId="0" fontId="97" fillId="0" borderId="0" xfId="0" applyFont="1" applyAlignment="1">
      <alignment vertical="center"/>
    </xf>
    <xf numFmtId="0" fontId="99" fillId="0" borderId="0" xfId="0" applyFont="1" applyAlignment="1">
      <alignment vertical="center" wrapText="1"/>
    </xf>
    <xf numFmtId="0" fontId="96" fillId="0" borderId="0" xfId="0" applyFont="1" applyAlignment="1">
      <alignment vertical="center" wrapText="1"/>
    </xf>
    <xf numFmtId="0" fontId="65" fillId="0" borderId="0" xfId="0" applyFont="1" applyAlignment="1">
      <alignment vertical="center" wrapText="1"/>
    </xf>
    <xf numFmtId="0" fontId="99" fillId="0" borderId="16" xfId="0" applyFont="1" applyBorder="1"/>
    <xf numFmtId="0" fontId="102" fillId="0" borderId="0" xfId="0" applyFont="1"/>
    <xf numFmtId="0" fontId="103" fillId="0" borderId="0" xfId="0" applyFont="1"/>
    <xf numFmtId="0" fontId="102" fillId="0" borderId="0" xfId="0" applyFont="1" applyAlignment="1">
      <alignment horizontal="center"/>
    </xf>
    <xf numFmtId="0" fontId="96" fillId="0" borderId="0" xfId="0" applyFont="1" applyAlignment="1">
      <alignment vertical="top"/>
    </xf>
    <xf numFmtId="0" fontId="0" fillId="0" borderId="0" xfId="0" applyAlignment="1">
      <alignment horizontal="center" vertical="top"/>
    </xf>
    <xf numFmtId="0" fontId="66" fillId="0" borderId="0" xfId="0" applyFont="1"/>
    <xf numFmtId="0" fontId="101" fillId="0" borderId="0" xfId="0" applyFont="1" applyAlignment="1">
      <alignment horizontal="right"/>
    </xf>
    <xf numFmtId="0" fontId="97" fillId="0" borderId="0" xfId="0" applyFont="1" applyAlignment="1">
      <alignment wrapText="1"/>
    </xf>
    <xf numFmtId="0" fontId="97" fillId="0" borderId="0" xfId="0" applyFont="1" applyAlignment="1">
      <alignment horizontal="left" vertical="center" wrapText="1"/>
    </xf>
    <xf numFmtId="0" fontId="101" fillId="0" borderId="0" xfId="0" applyFont="1" applyAlignment="1">
      <alignment vertical="center"/>
    </xf>
    <xf numFmtId="0" fontId="104" fillId="0" borderId="0" xfId="0" applyFont="1" applyAlignment="1">
      <alignment vertical="center"/>
    </xf>
    <xf numFmtId="0" fontId="102" fillId="0" borderId="0" xfId="0" applyFont="1" applyAlignment="1">
      <alignment vertical="center"/>
    </xf>
    <xf numFmtId="1" fontId="97" fillId="0" borderId="0" xfId="0" applyNumberFormat="1" applyFont="1" applyAlignment="1">
      <alignment vertical="center"/>
    </xf>
    <xf numFmtId="9" fontId="97" fillId="0" borderId="0" xfId="6" applyFont="1" applyFill="1" applyBorder="1" applyAlignment="1"/>
    <xf numFmtId="0" fontId="102" fillId="0" borderId="0" xfId="0" applyFont="1" applyAlignment="1">
      <alignment horizontal="left"/>
    </xf>
    <xf numFmtId="0" fontId="97" fillId="0" borderId="0" xfId="0" applyFont="1" applyAlignment="1">
      <alignment horizontal="left"/>
    </xf>
    <xf numFmtId="0" fontId="104" fillId="0" borderId="0" xfId="0" applyFont="1"/>
    <xf numFmtId="0" fontId="97" fillId="0" borderId="0" xfId="0" applyFont="1" applyAlignment="1">
      <alignment horizontal="right"/>
    </xf>
    <xf numFmtId="0" fontId="97" fillId="0" borderId="0" xfId="0" applyFont="1" applyAlignment="1">
      <alignment vertical="top"/>
    </xf>
    <xf numFmtId="179" fontId="97" fillId="0" borderId="0" xfId="0" applyNumberFormat="1" applyFont="1" applyAlignment="1">
      <alignment vertical="center"/>
    </xf>
    <xf numFmtId="0" fontId="104" fillId="0" borderId="19" xfId="0" applyFont="1" applyBorder="1" applyAlignment="1">
      <alignment vertical="center"/>
    </xf>
    <xf numFmtId="0" fontId="86" fillId="0" borderId="0" xfId="0" applyFont="1" applyAlignment="1">
      <alignment vertical="center"/>
    </xf>
    <xf numFmtId="0" fontId="101" fillId="0" borderId="0" xfId="0" applyFont="1" applyAlignment="1">
      <alignment vertical="top"/>
    </xf>
    <xf numFmtId="0" fontId="105" fillId="0" borderId="0" xfId="0" applyFont="1" applyAlignment="1">
      <alignment vertical="center"/>
    </xf>
    <xf numFmtId="0" fontId="106" fillId="0" borderId="0" xfId="0" applyFont="1"/>
    <xf numFmtId="0" fontId="107" fillId="0" borderId="16" xfId="0" applyFont="1" applyBorder="1"/>
    <xf numFmtId="0" fontId="86" fillId="0" borderId="16" xfId="0" applyFont="1" applyBorder="1"/>
    <xf numFmtId="0" fontId="99" fillId="0" borderId="0" xfId="0" applyFont="1" applyAlignment="1">
      <alignment vertical="center"/>
    </xf>
    <xf numFmtId="0" fontId="65" fillId="0" borderId="0" xfId="0" applyFont="1" applyAlignment="1">
      <alignment vertical="center"/>
    </xf>
    <xf numFmtId="0" fontId="107" fillId="3" borderId="16" xfId="0" applyFont="1" applyFill="1" applyBorder="1" applyAlignment="1">
      <alignment horizontal="center" vertical="center" wrapText="1"/>
    </xf>
    <xf numFmtId="0" fontId="107" fillId="0" borderId="0" xfId="0" applyFont="1"/>
    <xf numFmtId="0" fontId="107" fillId="0" borderId="0" xfId="0" applyFont="1" applyAlignment="1">
      <alignment wrapText="1"/>
    </xf>
    <xf numFmtId="0" fontId="107" fillId="0" borderId="19" xfId="0" applyFont="1" applyBorder="1" applyAlignment="1">
      <alignment wrapText="1"/>
    </xf>
    <xf numFmtId="0" fontId="108" fillId="0" borderId="0" xfId="0" applyFont="1"/>
    <xf numFmtId="0" fontId="93" fillId="0" borderId="0" xfId="0" applyFont="1"/>
    <xf numFmtId="0" fontId="94" fillId="0" borderId="0" xfId="0" applyFont="1" applyAlignment="1">
      <alignment vertical="center"/>
    </xf>
    <xf numFmtId="178" fontId="94" fillId="0" borderId="0" xfId="0" applyNumberFormat="1" applyFont="1" applyAlignment="1">
      <alignment vertical="center"/>
    </xf>
    <xf numFmtId="4" fontId="99" fillId="0" borderId="16" xfId="0" applyNumberFormat="1" applyFont="1" applyBorder="1"/>
    <xf numFmtId="9" fontId="99" fillId="0" borderId="16" xfId="0" applyNumberFormat="1" applyFont="1" applyBorder="1"/>
    <xf numFmtId="0" fontId="109" fillId="0" borderId="0" xfId="0" applyFont="1" applyAlignment="1">
      <alignment horizontal="left"/>
    </xf>
    <xf numFmtId="0" fontId="4" fillId="0" borderId="20" xfId="0" applyFont="1" applyBorder="1" applyAlignment="1">
      <alignment horizontal="left" indent="1"/>
    </xf>
    <xf numFmtId="0" fontId="7" fillId="3" borderId="10" xfId="0" applyFont="1" applyFill="1" applyBorder="1" applyAlignment="1">
      <alignment vertical="center"/>
    </xf>
    <xf numFmtId="0" fontId="18" fillId="3" borderId="21" xfId="0" applyFont="1" applyFill="1" applyBorder="1" applyAlignment="1">
      <alignment vertical="center"/>
    </xf>
    <xf numFmtId="0" fontId="67" fillId="0" borderId="0" xfId="0" applyFont="1"/>
    <xf numFmtId="0" fontId="18" fillId="3" borderId="22" xfId="0" applyFont="1" applyFill="1" applyBorder="1" applyAlignment="1">
      <alignment vertical="center"/>
    </xf>
    <xf numFmtId="0" fontId="18" fillId="3" borderId="23" xfId="0" applyFont="1" applyFill="1" applyBorder="1" applyAlignment="1">
      <alignment vertical="center"/>
    </xf>
    <xf numFmtId="0" fontId="18" fillId="3" borderId="24" xfId="0" applyFont="1" applyFill="1" applyBorder="1" applyAlignment="1">
      <alignment vertical="center"/>
    </xf>
    <xf numFmtId="0" fontId="24" fillId="3" borderId="25" xfId="0" applyFont="1" applyFill="1" applyBorder="1" applyAlignment="1">
      <alignment vertical="center"/>
    </xf>
    <xf numFmtId="0" fontId="24" fillId="3" borderId="26" xfId="0" applyFont="1" applyFill="1" applyBorder="1" applyAlignment="1">
      <alignment vertical="center"/>
    </xf>
    <xf numFmtId="0" fontId="25" fillId="3" borderId="26" xfId="0" applyFont="1" applyFill="1" applyBorder="1" applyAlignment="1">
      <alignment vertical="center"/>
    </xf>
    <xf numFmtId="2" fontId="24" fillId="3" borderId="12" xfId="0" applyNumberFormat="1" applyFont="1" applyFill="1" applyBorder="1"/>
    <xf numFmtId="0" fontId="18" fillId="3" borderId="12" xfId="0" applyFont="1" applyFill="1" applyBorder="1"/>
    <xf numFmtId="0" fontId="18" fillId="3" borderId="12" xfId="0" applyFont="1" applyFill="1" applyBorder="1" applyAlignment="1">
      <alignment horizontal="left"/>
    </xf>
    <xf numFmtId="2" fontId="18" fillId="3" borderId="12" xfId="0" applyNumberFormat="1" applyFont="1" applyFill="1" applyBorder="1" applyAlignment="1">
      <alignment horizontal="center"/>
    </xf>
    <xf numFmtId="164" fontId="18" fillId="3" borderId="12" xfId="0" applyNumberFormat="1" applyFont="1" applyFill="1" applyBorder="1" applyAlignment="1">
      <alignment horizontal="right"/>
    </xf>
    <xf numFmtId="0" fontId="24" fillId="3" borderId="12" xfId="0" applyFont="1" applyFill="1" applyBorder="1" applyAlignment="1">
      <alignment horizontal="left"/>
    </xf>
    <xf numFmtId="0" fontId="18" fillId="3" borderId="12" xfId="0" quotePrefix="1" applyFont="1" applyFill="1" applyBorder="1" applyAlignment="1">
      <alignment horizontal="center"/>
    </xf>
    <xf numFmtId="2" fontId="24" fillId="3" borderId="12" xfId="0" applyNumberFormat="1" applyFont="1" applyFill="1" applyBorder="1" applyAlignment="1">
      <alignment vertical="center"/>
    </xf>
    <xf numFmtId="0" fontId="7" fillId="3" borderId="12" xfId="0" applyFont="1" applyFill="1" applyBorder="1" applyAlignment="1">
      <alignment vertical="center"/>
    </xf>
    <xf numFmtId="0" fontId="7" fillId="3" borderId="12" xfId="0" applyFont="1" applyFill="1" applyBorder="1" applyAlignment="1">
      <alignment horizontal="left" vertical="center"/>
    </xf>
    <xf numFmtId="2" fontId="7" fillId="3" borderId="12" xfId="0" applyNumberFormat="1" applyFont="1" applyFill="1" applyBorder="1" applyAlignment="1">
      <alignment horizontal="center" vertical="center"/>
    </xf>
    <xf numFmtId="164" fontId="7" fillId="3" borderId="12" xfId="0" applyNumberFormat="1" applyFont="1" applyFill="1" applyBorder="1" applyAlignment="1">
      <alignment horizontal="right" vertical="center"/>
    </xf>
    <xf numFmtId="0" fontId="16" fillId="3" borderId="12" xfId="0" applyFont="1" applyFill="1" applyBorder="1" applyAlignment="1">
      <alignment horizontal="right" vertical="center"/>
    </xf>
    <xf numFmtId="0" fontId="7" fillId="3" borderId="12" xfId="0" quotePrefix="1" applyFont="1" applyFill="1" applyBorder="1" applyAlignment="1">
      <alignment horizontal="left" vertical="center"/>
    </xf>
    <xf numFmtId="0" fontId="7" fillId="3" borderId="12" xfId="0" quotePrefix="1" applyFont="1" applyFill="1" applyBorder="1" applyAlignment="1">
      <alignment horizontal="center" vertical="center"/>
    </xf>
    <xf numFmtId="0" fontId="37" fillId="3" borderId="14" xfId="0" applyFont="1" applyFill="1" applyBorder="1" applyAlignment="1">
      <alignment vertical="center"/>
    </xf>
    <xf numFmtId="0" fontId="37" fillId="3" borderId="14" xfId="0" applyFont="1" applyFill="1" applyBorder="1" applyAlignment="1">
      <alignment horizontal="center" vertical="center"/>
    </xf>
    <xf numFmtId="3" fontId="37" fillId="3" borderId="14" xfId="0" applyNumberFormat="1" applyFont="1" applyFill="1" applyBorder="1" applyAlignment="1">
      <alignment vertical="center"/>
    </xf>
    <xf numFmtId="0" fontId="37" fillId="3" borderId="13" xfId="0" applyFont="1" applyFill="1" applyBorder="1" applyAlignment="1">
      <alignment vertical="center"/>
    </xf>
    <xf numFmtId="3" fontId="37" fillId="3" borderId="15" xfId="0" applyNumberFormat="1" applyFont="1" applyFill="1" applyBorder="1" applyAlignment="1">
      <alignment vertical="center"/>
    </xf>
    <xf numFmtId="0" fontId="56" fillId="7" borderId="27" xfId="0" applyFont="1" applyFill="1" applyBorder="1" applyAlignment="1">
      <alignment horizontal="center" vertical="center"/>
    </xf>
    <xf numFmtId="0" fontId="57" fillId="7" borderId="27" xfId="0" applyFont="1" applyFill="1" applyBorder="1" applyAlignment="1">
      <alignment horizontal="center" vertical="center" wrapText="1"/>
    </xf>
    <xf numFmtId="0" fontId="56" fillId="7" borderId="27" xfId="0" applyFont="1" applyFill="1" applyBorder="1" applyAlignment="1">
      <alignment horizontal="center" vertical="center" wrapText="1"/>
    </xf>
    <xf numFmtId="0" fontId="56" fillId="7" borderId="27" xfId="0" applyFont="1" applyFill="1" applyBorder="1" applyAlignment="1">
      <alignment horizontal="centerContinuous" vertical="center" wrapText="1"/>
    </xf>
    <xf numFmtId="0" fontId="56" fillId="8" borderId="27" xfId="0" applyFont="1" applyFill="1" applyBorder="1" applyAlignment="1">
      <alignment horizontal="center" vertical="center" wrapText="1"/>
    </xf>
    <xf numFmtId="0" fontId="56" fillId="3" borderId="0" xfId="0" applyFont="1" applyFill="1" applyAlignment="1">
      <alignment horizontal="center" vertical="center"/>
    </xf>
    <xf numFmtId="164" fontId="47" fillId="0" borderId="28" xfId="0" applyNumberFormat="1" applyFont="1" applyBorder="1" applyAlignment="1">
      <alignment horizontal="center" vertical="center"/>
    </xf>
    <xf numFmtId="170" fontId="8" fillId="0" borderId="0" xfId="0" applyNumberFormat="1" applyFont="1"/>
    <xf numFmtId="164" fontId="2" fillId="0" borderId="0" xfId="0" applyNumberFormat="1" applyFont="1" applyAlignment="1">
      <alignment horizontal="right"/>
    </xf>
    <xf numFmtId="0" fontId="2" fillId="0" borderId="0" xfId="0" applyFont="1" applyAlignment="1">
      <alignment horizontal="right"/>
    </xf>
    <xf numFmtId="0" fontId="2" fillId="0" borderId="0" xfId="0" quotePrefix="1" applyFont="1" applyAlignment="1">
      <alignment horizontal="center"/>
    </xf>
    <xf numFmtId="170" fontId="11" fillId="0" borderId="0" xfId="0" applyNumberFormat="1" applyFont="1" applyAlignment="1">
      <alignment horizontal="left"/>
    </xf>
    <xf numFmtId="0" fontId="83" fillId="0" borderId="0" xfId="5" applyAlignment="1">
      <alignment horizontal="justify" vertical="center"/>
    </xf>
    <xf numFmtId="49" fontId="93" fillId="0" borderId="0" xfId="5" quotePrefix="1" applyNumberFormat="1" applyFont="1" applyAlignment="1">
      <alignment horizontal="center" vertical="center" wrapText="1"/>
    </xf>
    <xf numFmtId="2" fontId="27" fillId="0" borderId="0" xfId="0" applyNumberFormat="1" applyFont="1"/>
    <xf numFmtId="164" fontId="18" fillId="0" borderId="0" xfId="0" applyNumberFormat="1" applyFont="1" applyAlignment="1">
      <alignment horizontal="right"/>
    </xf>
    <xf numFmtId="0" fontId="2" fillId="0" borderId="0" xfId="0" applyFont="1" applyAlignment="1">
      <alignment horizontal="right" vertical="center"/>
    </xf>
    <xf numFmtId="0" fontId="2" fillId="0" borderId="0" xfId="0" quotePrefix="1" applyFont="1" applyAlignment="1">
      <alignment horizontal="left" vertical="center"/>
    </xf>
    <xf numFmtId="0" fontId="2" fillId="3" borderId="12" xfId="0" applyFont="1" applyFill="1" applyBorder="1" applyAlignment="1">
      <alignment vertical="center"/>
    </xf>
    <xf numFmtId="0" fontId="2" fillId="3" borderId="12" xfId="0" applyFont="1" applyFill="1" applyBorder="1" applyAlignment="1">
      <alignment horizontal="left" vertical="center"/>
    </xf>
    <xf numFmtId="2" fontId="2" fillId="3" borderId="12" xfId="0" applyNumberFormat="1" applyFont="1" applyFill="1" applyBorder="1" applyAlignment="1">
      <alignment horizontal="center" vertical="center"/>
    </xf>
    <xf numFmtId="164" fontId="2" fillId="3" borderId="12" xfId="0" applyNumberFormat="1" applyFont="1" applyFill="1" applyBorder="1" applyAlignment="1">
      <alignment horizontal="right" vertical="center"/>
    </xf>
    <xf numFmtId="0" fontId="2" fillId="3" borderId="12" xfId="0" applyFont="1" applyFill="1" applyBorder="1" applyAlignment="1">
      <alignment horizontal="right" vertical="center"/>
    </xf>
    <xf numFmtId="0" fontId="2" fillId="3" borderId="12" xfId="0" quotePrefix="1" applyFont="1" applyFill="1" applyBorder="1" applyAlignment="1">
      <alignment horizontal="left" vertical="center"/>
    </xf>
    <xf numFmtId="0" fontId="2" fillId="3" borderId="12" xfId="0" quotePrefix="1" applyFont="1" applyFill="1" applyBorder="1" applyAlignment="1">
      <alignment horizontal="center" vertical="center"/>
    </xf>
    <xf numFmtId="0" fontId="24" fillId="0" borderId="0" xfId="0" applyFont="1" applyAlignment="1">
      <alignment horizontal="left"/>
    </xf>
    <xf numFmtId="0" fontId="37" fillId="0" borderId="106" xfId="0" applyFont="1" applyBorder="1"/>
    <xf numFmtId="0" fontId="8" fillId="0" borderId="106" xfId="0" applyFont="1" applyBorder="1"/>
    <xf numFmtId="4" fontId="8" fillId="0" borderId="106" xfId="0" applyNumberFormat="1" applyFont="1" applyBorder="1" applyAlignment="1">
      <alignment horizontal="right"/>
    </xf>
    <xf numFmtId="4" fontId="8" fillId="0" borderId="106" xfId="0" applyNumberFormat="1" applyFont="1" applyBorder="1"/>
    <xf numFmtId="0" fontId="37" fillId="3" borderId="107" xfId="0" applyFont="1" applyFill="1" applyBorder="1" applyAlignment="1">
      <alignment vertical="center"/>
    </xf>
    <xf numFmtId="0" fontId="37" fillId="3" borderId="108" xfId="0" applyFont="1" applyFill="1" applyBorder="1" applyAlignment="1">
      <alignment vertical="center"/>
    </xf>
    <xf numFmtId="0" fontId="37" fillId="3" borderId="108" xfId="0" applyFont="1" applyFill="1" applyBorder="1" applyAlignment="1">
      <alignment horizontal="center" vertical="center"/>
    </xf>
    <xf numFmtId="3" fontId="37" fillId="3" borderId="108" xfId="0" applyNumberFormat="1" applyFont="1" applyFill="1" applyBorder="1" applyAlignment="1">
      <alignment vertical="center"/>
    </xf>
    <xf numFmtId="3" fontId="37" fillId="3" borderId="108" xfId="0" quotePrefix="1" applyNumberFormat="1" applyFont="1" applyFill="1" applyBorder="1" applyAlignment="1">
      <alignment vertical="center"/>
    </xf>
    <xf numFmtId="3" fontId="37" fillId="3" borderId="109" xfId="0" applyNumberFormat="1" applyFont="1" applyFill="1" applyBorder="1" applyAlignment="1">
      <alignment vertical="center"/>
    </xf>
    <xf numFmtId="0" fontId="103" fillId="0" borderId="0" xfId="0" applyFont="1" applyAlignment="1">
      <alignment vertical="center"/>
    </xf>
    <xf numFmtId="2" fontId="110" fillId="0" borderId="0" xfId="0" applyNumberFormat="1" applyFont="1"/>
    <xf numFmtId="170" fontId="21" fillId="0" borderId="0" xfId="0" applyNumberFormat="1" applyFont="1" applyAlignment="1">
      <alignment horizontal="left"/>
    </xf>
    <xf numFmtId="0" fontId="8" fillId="0" borderId="0" xfId="0" applyFont="1" applyAlignment="1">
      <alignment horizontal="left"/>
    </xf>
    <xf numFmtId="0" fontId="2" fillId="0" borderId="0" xfId="0" applyFont="1" applyAlignment="1">
      <alignment horizontal="justify"/>
    </xf>
    <xf numFmtId="164" fontId="18" fillId="3" borderId="12" xfId="0" applyNumberFormat="1" applyFont="1" applyFill="1" applyBorder="1" applyAlignment="1">
      <alignment horizontal="right" vertical="center"/>
    </xf>
    <xf numFmtId="0" fontId="2" fillId="3" borderId="10" xfId="0" applyFont="1" applyFill="1" applyBorder="1" applyAlignment="1">
      <alignment vertical="center"/>
    </xf>
    <xf numFmtId="0" fontId="2" fillId="0" borderId="0" xfId="0" applyFont="1" applyAlignment="1">
      <alignment horizontal="center"/>
    </xf>
    <xf numFmtId="0" fontId="111" fillId="0" borderId="0" xfId="0" applyFont="1"/>
    <xf numFmtId="2" fontId="86" fillId="0" borderId="16" xfId="0" applyNumberFormat="1" applyFont="1" applyBorder="1" applyAlignment="1">
      <alignment vertical="center"/>
    </xf>
    <xf numFmtId="9" fontId="86" fillId="0" borderId="16" xfId="0" applyNumberFormat="1" applyFont="1" applyBorder="1" applyAlignment="1">
      <alignment vertical="center"/>
    </xf>
    <xf numFmtId="49" fontId="83" fillId="0" borderId="0" xfId="5" applyNumberFormat="1" applyAlignment="1">
      <alignment horizontal="justify" vertical="center"/>
    </xf>
    <xf numFmtId="0" fontId="3" fillId="0" borderId="0" xfId="4" applyFont="1" applyAlignment="1">
      <alignment vertical="center"/>
    </xf>
    <xf numFmtId="0" fontId="2" fillId="0" borderId="0" xfId="4"/>
    <xf numFmtId="0" fontId="3" fillId="0" borderId="0" xfId="4" applyFont="1" applyAlignment="1">
      <alignment horizontal="right" vertical="center"/>
    </xf>
    <xf numFmtId="0" fontId="69" fillId="0" borderId="0" xfId="4" applyFont="1" applyAlignment="1">
      <alignment vertical="center"/>
    </xf>
    <xf numFmtId="0" fontId="69" fillId="0" borderId="0" xfId="4" applyFont="1" applyAlignment="1">
      <alignment horizontal="left" vertical="center"/>
    </xf>
    <xf numFmtId="0" fontId="15" fillId="0" borderId="0" xfId="4" applyFont="1" applyAlignment="1">
      <alignment vertical="center"/>
    </xf>
    <xf numFmtId="0" fontId="73" fillId="0" borderId="0" xfId="4" applyFont="1" applyAlignment="1">
      <alignment horizontal="center" vertical="center"/>
    </xf>
    <xf numFmtId="0" fontId="3" fillId="0" borderId="19" xfId="4" applyFont="1" applyBorder="1" applyAlignment="1">
      <alignment vertical="center"/>
    </xf>
    <xf numFmtId="0" fontId="3" fillId="0" borderId="29" xfId="4" applyFont="1" applyBorder="1" applyAlignment="1">
      <alignment horizontal="center" vertical="center"/>
    </xf>
    <xf numFmtId="0" fontId="3" fillId="0" borderId="30" xfId="4" applyFont="1" applyBorder="1" applyAlignment="1">
      <alignment vertical="center"/>
    </xf>
    <xf numFmtId="0" fontId="2" fillId="0" borderId="0" xfId="0" applyFont="1" applyAlignment="1">
      <alignment horizontal="center" vertical="center"/>
    </xf>
    <xf numFmtId="0" fontId="24" fillId="3" borderId="31" xfId="0" applyFont="1" applyFill="1" applyBorder="1" applyAlignment="1">
      <alignment vertical="center"/>
    </xf>
    <xf numFmtId="0" fontId="24" fillId="3" borderId="9" xfId="0" applyFont="1" applyFill="1" applyBorder="1" applyAlignment="1">
      <alignment vertical="center"/>
    </xf>
    <xf numFmtId="0" fontId="24" fillId="3" borderId="32" xfId="0" applyFont="1" applyFill="1" applyBorder="1" applyAlignment="1">
      <alignment vertical="center"/>
    </xf>
    <xf numFmtId="0" fontId="31" fillId="0" borderId="0" xfId="0" applyFont="1"/>
    <xf numFmtId="0" fontId="35" fillId="0" borderId="0" xfId="0" applyFont="1" applyAlignment="1">
      <alignment vertical="center"/>
    </xf>
    <xf numFmtId="0" fontId="29" fillId="0" borderId="0" xfId="0" applyFont="1" applyAlignment="1">
      <alignment vertical="center"/>
    </xf>
    <xf numFmtId="0" fontId="22" fillId="0" borderId="0" xfId="0" applyFont="1" applyAlignment="1">
      <alignment horizontal="center" vertical="center"/>
    </xf>
    <xf numFmtId="0" fontId="13" fillId="0" borderId="0" xfId="0" applyFont="1" applyAlignment="1">
      <alignment vertical="center"/>
    </xf>
    <xf numFmtId="0" fontId="14" fillId="0" borderId="9" xfId="0" applyFont="1" applyBorder="1" applyAlignment="1">
      <alignment vertical="center"/>
    </xf>
    <xf numFmtId="0" fontId="14" fillId="0" borderId="32" xfId="0" applyFont="1" applyBorder="1" applyAlignment="1">
      <alignment vertical="center"/>
    </xf>
    <xf numFmtId="0" fontId="22" fillId="4" borderId="31" xfId="0" applyFont="1" applyFill="1" applyBorder="1" applyAlignment="1">
      <alignment horizontal="left" vertical="center"/>
    </xf>
    <xf numFmtId="0" fontId="22" fillId="4" borderId="9" xfId="0" applyFont="1" applyFill="1" applyBorder="1" applyAlignment="1">
      <alignment horizontal="left" vertical="center"/>
    </xf>
    <xf numFmtId="0" fontId="22" fillId="4" borderId="9" xfId="0" applyFont="1" applyFill="1" applyBorder="1" applyAlignment="1">
      <alignment vertical="center"/>
    </xf>
    <xf numFmtId="2" fontId="35" fillId="0" borderId="0" xfId="0" applyNumberFormat="1" applyFont="1" applyAlignment="1">
      <alignment vertical="center"/>
    </xf>
    <xf numFmtId="2" fontId="22" fillId="4" borderId="9" xfId="0" applyNumberFormat="1" applyFont="1" applyFill="1" applyBorder="1" applyAlignment="1">
      <alignment horizontal="left" vertical="center"/>
    </xf>
    <xf numFmtId="0" fontId="22" fillId="0" borderId="31" xfId="0" applyFont="1" applyBorder="1" applyAlignment="1">
      <alignment horizontal="left" vertical="center"/>
    </xf>
    <xf numFmtId="0" fontId="22" fillId="0" borderId="9" xfId="0" applyFont="1" applyBorder="1" applyAlignment="1">
      <alignment horizontal="left" vertical="center"/>
    </xf>
    <xf numFmtId="0" fontId="22" fillId="0" borderId="9" xfId="0" applyFont="1" applyBorder="1" applyAlignment="1">
      <alignment vertical="center"/>
    </xf>
    <xf numFmtId="168" fontId="11" fillId="0" borderId="9" xfId="0" applyNumberFormat="1" applyFont="1" applyBorder="1" applyAlignment="1">
      <alignment vertical="center"/>
    </xf>
    <xf numFmtId="0" fontId="22" fillId="3" borderId="31" xfId="0" applyFont="1" applyFill="1" applyBorder="1" applyAlignment="1">
      <alignment horizontal="left" vertical="center"/>
    </xf>
    <xf numFmtId="0" fontId="22" fillId="3" borderId="9" xfId="0" applyFont="1" applyFill="1" applyBorder="1" applyAlignment="1">
      <alignment horizontal="left" vertical="center"/>
    </xf>
    <xf numFmtId="0" fontId="22" fillId="3" borderId="9" xfId="0" applyFont="1" applyFill="1" applyBorder="1" applyAlignment="1">
      <alignment vertical="center"/>
    </xf>
    <xf numFmtId="2" fontId="76" fillId="3" borderId="12" xfId="0" applyNumberFormat="1" applyFont="1" applyFill="1" applyBorder="1" applyAlignment="1">
      <alignment vertical="center"/>
    </xf>
    <xf numFmtId="2" fontId="18" fillId="3" borderId="12" xfId="0" applyNumberFormat="1" applyFont="1" applyFill="1" applyBorder="1" applyAlignment="1">
      <alignment horizontal="left" vertical="center"/>
    </xf>
    <xf numFmtId="0" fontId="18" fillId="3" borderId="12" xfId="0" applyFont="1" applyFill="1" applyBorder="1" applyAlignment="1">
      <alignment horizontal="left" vertical="center"/>
    </xf>
    <xf numFmtId="0" fontId="77" fillId="3" borderId="12" xfId="0" applyFont="1" applyFill="1" applyBorder="1" applyAlignment="1">
      <alignment horizontal="left" vertical="center"/>
    </xf>
    <xf numFmtId="0" fontId="29" fillId="3" borderId="12" xfId="0" applyFont="1" applyFill="1" applyBorder="1" applyAlignment="1">
      <alignment horizontal="left" vertical="center"/>
    </xf>
    <xf numFmtId="0" fontId="78" fillId="3" borderId="12" xfId="0" applyFont="1" applyFill="1" applyBorder="1" applyAlignment="1">
      <alignment horizontal="left" vertical="center"/>
    </xf>
    <xf numFmtId="0" fontId="29" fillId="3" borderId="12" xfId="0" applyFont="1" applyFill="1" applyBorder="1" applyAlignment="1">
      <alignment vertical="center"/>
    </xf>
    <xf numFmtId="2" fontId="21" fillId="0" borderId="0" xfId="0" applyNumberFormat="1" applyFont="1"/>
    <xf numFmtId="0" fontId="21" fillId="0" borderId="33" xfId="0" applyFont="1" applyBorder="1" applyAlignment="1">
      <alignment vertical="center"/>
    </xf>
    <xf numFmtId="0" fontId="21" fillId="0" borderId="14" xfId="0" applyFont="1" applyBorder="1" applyAlignment="1">
      <alignment vertical="center"/>
    </xf>
    <xf numFmtId="0" fontId="21" fillId="0" borderId="14" xfId="0" applyFont="1" applyBorder="1" applyAlignment="1">
      <alignment horizontal="center" vertical="center"/>
    </xf>
    <xf numFmtId="3" fontId="21" fillId="0" borderId="14" xfId="0" applyNumberFormat="1" applyFont="1" applyBorder="1" applyAlignment="1">
      <alignment vertical="center"/>
    </xf>
    <xf numFmtId="2" fontId="21" fillId="0" borderId="14" xfId="0" applyNumberFormat="1" applyFont="1" applyBorder="1" applyAlignment="1">
      <alignment vertical="center"/>
    </xf>
    <xf numFmtId="0" fontId="21" fillId="0" borderId="14" xfId="0" applyFont="1" applyBorder="1" applyAlignment="1">
      <alignment horizontal="right" vertical="center"/>
    </xf>
    <xf numFmtId="164" fontId="21" fillId="0" borderId="14" xfId="0" applyNumberFormat="1" applyFont="1" applyBorder="1" applyAlignment="1">
      <alignment vertical="center"/>
    </xf>
    <xf numFmtId="0" fontId="8" fillId="0" borderId="14" xfId="0" applyFont="1" applyBorder="1" applyAlignment="1">
      <alignment vertical="center"/>
    </xf>
    <xf numFmtId="0" fontId="21" fillId="3" borderId="13" xfId="0" applyFont="1" applyFill="1" applyBorder="1" applyAlignment="1">
      <alignment vertical="center"/>
    </xf>
    <xf numFmtId="0" fontId="21" fillId="3" borderId="14" xfId="0" applyFont="1" applyFill="1" applyBorder="1" applyAlignment="1">
      <alignment vertical="center"/>
    </xf>
    <xf numFmtId="0" fontId="21" fillId="3" borderId="14" xfId="0" applyFont="1" applyFill="1" applyBorder="1" applyAlignment="1">
      <alignment horizontal="center" vertical="center"/>
    </xf>
    <xf numFmtId="3" fontId="21" fillId="3" borderId="14" xfId="0" applyNumberFormat="1" applyFont="1" applyFill="1" applyBorder="1" applyAlignment="1">
      <alignment vertical="center"/>
    </xf>
    <xf numFmtId="2" fontId="21" fillId="3" borderId="14" xfId="0" applyNumberFormat="1" applyFont="1" applyFill="1" applyBorder="1" applyAlignment="1">
      <alignment vertical="center"/>
    </xf>
    <xf numFmtId="3" fontId="21" fillId="3" borderId="15" xfId="0" applyNumberFormat="1" applyFont="1" applyFill="1" applyBorder="1" applyAlignment="1">
      <alignment vertical="center"/>
    </xf>
    <xf numFmtId="170" fontId="21" fillId="0" borderId="0" xfId="0" applyNumberFormat="1" applyFont="1" applyAlignment="1">
      <alignment horizontal="left" vertical="center"/>
    </xf>
    <xf numFmtId="0" fontId="8" fillId="0" borderId="0" xfId="0" applyFont="1" applyAlignment="1">
      <alignment horizontal="left" vertical="center"/>
    </xf>
    <xf numFmtId="2" fontId="21" fillId="0" borderId="0" xfId="0" applyNumberFormat="1" applyFont="1" applyAlignment="1">
      <alignment vertical="center"/>
    </xf>
    <xf numFmtId="0" fontId="42" fillId="0" borderId="0" xfId="0" applyFont="1" applyAlignment="1">
      <alignment vertical="center"/>
    </xf>
    <xf numFmtId="0" fontId="43" fillId="0" borderId="0" xfId="0" applyFont="1" applyAlignment="1">
      <alignment vertical="center"/>
    </xf>
    <xf numFmtId="0" fontId="10" fillId="4" borderId="14" xfId="0" applyFont="1" applyFill="1" applyBorder="1" applyAlignment="1">
      <alignment vertical="center"/>
    </xf>
    <xf numFmtId="0" fontId="10" fillId="4" borderId="13" xfId="0" applyFont="1" applyFill="1" applyBorder="1" applyAlignment="1">
      <alignment vertical="center"/>
    </xf>
    <xf numFmtId="2" fontId="10" fillId="4" borderId="14" xfId="0" applyNumberFormat="1" applyFont="1" applyFill="1" applyBorder="1" applyAlignment="1">
      <alignment vertical="center"/>
    </xf>
    <xf numFmtId="0" fontId="2" fillId="0" borderId="3" xfId="0" applyFont="1" applyBorder="1" applyAlignment="1">
      <alignment horizontal="left"/>
    </xf>
    <xf numFmtId="169" fontId="2" fillId="0" borderId="0" xfId="0" applyNumberFormat="1" applyFont="1"/>
    <xf numFmtId="2" fontId="34" fillId="0" borderId="0" xfId="0" applyNumberFormat="1" applyFont="1"/>
    <xf numFmtId="169" fontId="18" fillId="0" borderId="0" xfId="0" applyNumberFormat="1" applyFont="1" applyAlignment="1">
      <alignment horizontal="right"/>
    </xf>
    <xf numFmtId="2" fontId="18" fillId="3" borderId="12" xfId="0" applyNumberFormat="1" applyFont="1" applyFill="1" applyBorder="1"/>
    <xf numFmtId="2" fontId="18" fillId="3" borderId="12" xfId="0" applyNumberFormat="1" applyFont="1" applyFill="1" applyBorder="1" applyAlignment="1">
      <alignment vertical="center"/>
    </xf>
    <xf numFmtId="0" fontId="11" fillId="3" borderId="12" xfId="0" applyFont="1" applyFill="1" applyBorder="1" applyAlignment="1">
      <alignment horizontal="left" vertical="center"/>
    </xf>
    <xf numFmtId="4" fontId="107" fillId="0" borderId="16" xfId="0" applyNumberFormat="1" applyFont="1" applyBorder="1"/>
    <xf numFmtId="49" fontId="83" fillId="0" borderId="0" xfId="5" applyNumberFormat="1" applyAlignment="1">
      <alignment vertical="center" wrapText="1"/>
    </xf>
    <xf numFmtId="0" fontId="16" fillId="9" borderId="0" xfId="0" applyFont="1" applyFill="1"/>
    <xf numFmtId="0" fontId="2" fillId="9" borderId="0" xfId="0" applyFont="1" applyFill="1" applyAlignment="1">
      <alignment vertical="center"/>
    </xf>
    <xf numFmtId="0" fontId="7" fillId="9" borderId="0" xfId="0" applyFont="1" applyFill="1" applyAlignment="1">
      <alignment vertical="center"/>
    </xf>
    <xf numFmtId="0" fontId="7" fillId="9" borderId="0" xfId="0" applyFont="1" applyFill="1" applyAlignment="1">
      <alignment horizontal="center" vertical="center"/>
    </xf>
    <xf numFmtId="0" fontId="18" fillId="9" borderId="0" xfId="0" applyFont="1" applyFill="1" applyAlignment="1">
      <alignment vertical="center"/>
    </xf>
    <xf numFmtId="0" fontId="14" fillId="9" borderId="34" xfId="0" applyFont="1" applyFill="1" applyBorder="1" applyAlignment="1">
      <alignment horizontal="left" vertical="center"/>
    </xf>
    <xf numFmtId="0" fontId="14" fillId="9" borderId="34" xfId="0" applyFont="1" applyFill="1" applyBorder="1" applyAlignment="1">
      <alignment horizontal="center" vertical="center"/>
    </xf>
    <xf numFmtId="0" fontId="14" fillId="9" borderId="35" xfId="0" applyFont="1" applyFill="1" applyBorder="1" applyAlignment="1">
      <alignment horizontal="center" vertical="center"/>
    </xf>
    <xf numFmtId="0" fontId="2" fillId="9" borderId="0" xfId="0" applyFont="1" applyFill="1"/>
    <xf numFmtId="0" fontId="3" fillId="9" borderId="5" xfId="4" applyFont="1" applyFill="1" applyBorder="1" applyAlignment="1">
      <alignment vertical="center"/>
    </xf>
    <xf numFmtId="0" fontId="3" fillId="9" borderId="0" xfId="4" applyFont="1" applyFill="1" applyAlignment="1">
      <alignment vertical="center"/>
    </xf>
    <xf numFmtId="0" fontId="10" fillId="9" borderId="16" xfId="4" applyFont="1" applyFill="1" applyBorder="1" applyAlignment="1">
      <alignment horizontal="center" vertical="center"/>
    </xf>
    <xf numFmtId="0" fontId="3" fillId="9" borderId="16" xfId="4" applyFont="1" applyFill="1" applyBorder="1" applyAlignment="1">
      <alignment vertical="center"/>
    </xf>
    <xf numFmtId="0" fontId="2" fillId="9" borderId="0" xfId="4" applyFill="1"/>
    <xf numFmtId="0" fontId="3" fillId="9" borderId="0" xfId="4" applyFont="1" applyFill="1" applyAlignment="1">
      <alignment horizontal="center" vertical="center"/>
    </xf>
    <xf numFmtId="0" fontId="3" fillId="9" borderId="17" xfId="4" applyFont="1" applyFill="1" applyBorder="1" applyAlignment="1">
      <alignment vertical="center"/>
    </xf>
    <xf numFmtId="0" fontId="3" fillId="9" borderId="19" xfId="4" applyFont="1" applyFill="1" applyBorder="1" applyAlignment="1">
      <alignment vertical="center"/>
    </xf>
    <xf numFmtId="0" fontId="3" fillId="9" borderId="19" xfId="4" applyFont="1" applyFill="1" applyBorder="1" applyAlignment="1">
      <alignment horizontal="center" vertical="center"/>
    </xf>
    <xf numFmtId="0" fontId="3" fillId="9" borderId="16" xfId="4" applyFont="1" applyFill="1" applyBorder="1" applyAlignment="1">
      <alignment horizontal="center" vertical="center"/>
    </xf>
    <xf numFmtId="0" fontId="3" fillId="9" borderId="36" xfId="4" applyFont="1" applyFill="1" applyBorder="1" applyAlignment="1">
      <alignment vertical="center"/>
    </xf>
    <xf numFmtId="0" fontId="3" fillId="9" borderId="37" xfId="4" applyFont="1" applyFill="1" applyBorder="1" applyAlignment="1">
      <alignment vertical="center"/>
    </xf>
    <xf numFmtId="0" fontId="3" fillId="9" borderId="38" xfId="4" applyFont="1" applyFill="1" applyBorder="1" applyAlignment="1">
      <alignment vertical="center"/>
    </xf>
    <xf numFmtId="0" fontId="3" fillId="9" borderId="39" xfId="4" applyFont="1" applyFill="1" applyBorder="1" applyAlignment="1">
      <alignment vertical="center"/>
    </xf>
    <xf numFmtId="0" fontId="3" fillId="9" borderId="40" xfId="4" applyFont="1" applyFill="1" applyBorder="1" applyAlignment="1">
      <alignment vertical="center"/>
    </xf>
    <xf numFmtId="0" fontId="3" fillId="9" borderId="41" xfId="4" applyFont="1" applyFill="1" applyBorder="1" applyAlignment="1">
      <alignment vertical="center"/>
    </xf>
    <xf numFmtId="0" fontId="3" fillId="9" borderId="5" xfId="4" applyFont="1" applyFill="1" applyBorder="1" applyAlignment="1">
      <alignment horizontal="center" vertical="center"/>
    </xf>
    <xf numFmtId="0" fontId="10" fillId="9" borderId="0" xfId="4" applyFont="1" applyFill="1" applyAlignment="1">
      <alignment vertical="center"/>
    </xf>
    <xf numFmtId="0" fontId="10" fillId="9" borderId="19" xfId="4" applyFont="1" applyFill="1" applyBorder="1" applyAlignment="1">
      <alignment vertical="center"/>
    </xf>
    <xf numFmtId="0" fontId="10" fillId="9" borderId="37" xfId="4" applyFont="1" applyFill="1" applyBorder="1" applyAlignment="1">
      <alignment vertical="center"/>
    </xf>
    <xf numFmtId="0" fontId="3" fillId="9" borderId="42" xfId="4" applyFont="1" applyFill="1" applyBorder="1" applyAlignment="1">
      <alignment vertical="center"/>
    </xf>
    <xf numFmtId="0" fontId="3" fillId="9" borderId="5" xfId="4" applyFont="1" applyFill="1" applyBorder="1" applyAlignment="1">
      <alignment horizontal="right" vertical="center"/>
    </xf>
    <xf numFmtId="0" fontId="10" fillId="9" borderId="39" xfId="4" applyFont="1" applyFill="1" applyBorder="1" applyAlignment="1">
      <alignment vertical="center"/>
    </xf>
    <xf numFmtId="4" fontId="3" fillId="9" borderId="0" xfId="4" applyNumberFormat="1" applyFont="1" applyFill="1" applyAlignment="1">
      <alignment vertical="center"/>
    </xf>
    <xf numFmtId="0" fontId="72" fillId="0" borderId="0" xfId="4" applyFont="1" applyAlignment="1">
      <alignment vertical="center"/>
    </xf>
    <xf numFmtId="0" fontId="55" fillId="9" borderId="8" xfId="0" applyFont="1" applyFill="1" applyBorder="1" applyAlignment="1">
      <alignment horizontal="center" vertical="center" wrapText="1"/>
    </xf>
    <xf numFmtId="0" fontId="55" fillId="9" borderId="8" xfId="0" applyFont="1" applyFill="1" applyBorder="1" applyAlignment="1">
      <alignment horizontal="justify" vertical="center" wrapText="1"/>
    </xf>
    <xf numFmtId="164" fontId="58" fillId="9" borderId="8" xfId="0" quotePrefix="1" applyNumberFormat="1" applyFont="1" applyFill="1" applyBorder="1" applyAlignment="1">
      <alignment horizontal="center" vertical="center"/>
    </xf>
    <xf numFmtId="39" fontId="55" fillId="9" borderId="8" xfId="0" applyNumberFormat="1" applyFont="1" applyFill="1" applyBorder="1" applyAlignment="1">
      <alignment horizontal="center" vertical="center"/>
    </xf>
    <xf numFmtId="164" fontId="55" fillId="9" borderId="8" xfId="0" applyNumberFormat="1" applyFont="1" applyFill="1" applyBorder="1" applyAlignment="1">
      <alignment horizontal="center" vertical="center"/>
    </xf>
    <xf numFmtId="37" fontId="55" fillId="9" borderId="8" xfId="0" applyNumberFormat="1" applyFont="1" applyFill="1" applyBorder="1" applyAlignment="1">
      <alignment horizontal="center" vertical="center"/>
    </xf>
    <xf numFmtId="0" fontId="55" fillId="9" borderId="8" xfId="0" applyFont="1" applyFill="1" applyBorder="1" applyAlignment="1">
      <alignment horizontal="center" vertical="center"/>
    </xf>
    <xf numFmtId="0" fontId="97" fillId="9" borderId="0" xfId="0" applyFont="1" applyFill="1"/>
    <xf numFmtId="0" fontId="102" fillId="9" borderId="0" xfId="0" applyFont="1" applyFill="1"/>
    <xf numFmtId="0" fontId="101" fillId="9" borderId="0" xfId="0" applyFont="1" applyFill="1" applyAlignment="1">
      <alignment vertical="center"/>
    </xf>
    <xf numFmtId="0" fontId="112" fillId="0" borderId="0" xfId="0" applyFont="1"/>
    <xf numFmtId="0" fontId="97" fillId="9" borderId="0" xfId="0" applyFont="1" applyFill="1" applyAlignment="1">
      <alignment vertical="top"/>
    </xf>
    <xf numFmtId="0" fontId="97" fillId="9" borderId="0" xfId="0" applyFont="1" applyFill="1" applyAlignment="1">
      <alignment vertical="center"/>
    </xf>
    <xf numFmtId="183" fontId="83" fillId="0" borderId="0" xfId="5" applyNumberFormat="1" applyAlignment="1">
      <alignment horizontal="center" vertical="center"/>
    </xf>
    <xf numFmtId="183" fontId="83" fillId="9" borderId="0" xfId="5" applyNumberFormat="1" applyFill="1" applyAlignment="1">
      <alignment horizontal="center" vertical="center"/>
    </xf>
    <xf numFmtId="0" fontId="2" fillId="0" borderId="0" xfId="3"/>
    <xf numFmtId="0" fontId="34" fillId="0" borderId="0" xfId="0" applyFont="1" applyAlignment="1">
      <alignment horizontal="justify" wrapText="1"/>
    </xf>
    <xf numFmtId="0" fontId="2" fillId="0" borderId="0" xfId="3" applyAlignment="1">
      <alignment horizontal="justify" vertical="center" wrapText="1"/>
    </xf>
    <xf numFmtId="0" fontId="2" fillId="0" borderId="0" xfId="3" applyAlignment="1">
      <alignment horizontal="justify" vertical="center"/>
    </xf>
    <xf numFmtId="0" fontId="2" fillId="0" borderId="0" xfId="3" applyAlignment="1">
      <alignment vertical="center"/>
    </xf>
    <xf numFmtId="0" fontId="78" fillId="0" borderId="0" xfId="3" applyFont="1"/>
    <xf numFmtId="0" fontId="2" fillId="0" borderId="0" xfId="3" applyAlignment="1">
      <alignment horizontal="center" vertical="center" wrapText="1"/>
    </xf>
    <xf numFmtId="0" fontId="2" fillId="0" borderId="0" xfId="3" applyAlignment="1">
      <alignment vertical="center" wrapText="1"/>
    </xf>
    <xf numFmtId="170" fontId="18" fillId="0" borderId="0" xfId="0" applyNumberFormat="1" applyFont="1" applyAlignment="1">
      <alignment horizontal="left" vertical="center"/>
    </xf>
    <xf numFmtId="0" fontId="7" fillId="0" borderId="31" xfId="0" applyFont="1" applyBorder="1" applyAlignment="1">
      <alignment vertical="center"/>
    </xf>
    <xf numFmtId="0" fontId="7" fillId="0" borderId="9" xfId="0" applyFont="1" applyBorder="1" applyAlignment="1">
      <alignment vertical="center"/>
    </xf>
    <xf numFmtId="0" fontId="7" fillId="0" borderId="32" xfId="0" applyFont="1" applyBorder="1" applyAlignment="1">
      <alignment vertical="center"/>
    </xf>
    <xf numFmtId="0" fontId="2" fillId="0" borderId="9" xfId="0" applyFont="1" applyBorder="1" applyAlignment="1">
      <alignment vertical="center"/>
    </xf>
    <xf numFmtId="0" fontId="2" fillId="0" borderId="32" xfId="0" applyFont="1" applyBorder="1" applyAlignment="1">
      <alignment vertical="center"/>
    </xf>
    <xf numFmtId="0" fontId="2" fillId="0" borderId="31" xfId="0" applyFont="1" applyBorder="1" applyAlignment="1">
      <alignment vertical="center"/>
    </xf>
    <xf numFmtId="0" fontId="100" fillId="0" borderId="0" xfId="0" applyFont="1" applyAlignment="1">
      <alignment vertical="center"/>
    </xf>
    <xf numFmtId="0" fontId="109" fillId="0" borderId="0" xfId="0" applyFont="1" applyAlignment="1">
      <alignment horizontal="left" vertical="center"/>
    </xf>
    <xf numFmtId="2" fontId="110" fillId="0" borderId="0" xfId="0" applyNumberFormat="1" applyFont="1" applyAlignment="1">
      <alignment vertical="center"/>
    </xf>
    <xf numFmtId="0" fontId="83" fillId="0" borderId="0" xfId="5" applyAlignment="1">
      <alignment horizontal="left" vertical="center"/>
    </xf>
    <xf numFmtId="0" fontId="92" fillId="0" borderId="0" xfId="5" applyFont="1" applyAlignment="1">
      <alignment horizontal="left" vertical="center"/>
    </xf>
    <xf numFmtId="0" fontId="3" fillId="9" borderId="0" xfId="4" applyFont="1" applyFill="1" applyAlignment="1">
      <alignment horizontal="right" vertical="center"/>
    </xf>
    <xf numFmtId="2" fontId="3" fillId="9" borderId="0" xfId="4" applyNumberFormat="1" applyFont="1" applyFill="1" applyAlignment="1">
      <alignment vertical="center"/>
    </xf>
    <xf numFmtId="0" fontId="3" fillId="9" borderId="0" xfId="4" applyFont="1" applyFill="1" applyAlignment="1">
      <alignment horizontal="left" vertical="center"/>
    </xf>
    <xf numFmtId="0" fontId="10" fillId="9" borderId="43" xfId="4" applyFont="1" applyFill="1" applyBorder="1" applyAlignment="1">
      <alignment horizontal="center" vertical="center"/>
    </xf>
    <xf numFmtId="0" fontId="3" fillId="9" borderId="43" xfId="4" applyFont="1" applyFill="1" applyBorder="1" applyAlignment="1">
      <alignment vertical="center"/>
    </xf>
    <xf numFmtId="0" fontId="3" fillId="9" borderId="44" xfId="4" applyFont="1" applyFill="1" applyBorder="1" applyAlignment="1">
      <alignment vertical="center"/>
    </xf>
    <xf numFmtId="0" fontId="88" fillId="9" borderId="0" xfId="0" applyFont="1" applyFill="1"/>
    <xf numFmtId="0" fontId="89" fillId="9" borderId="0" xfId="0" applyFont="1" applyFill="1"/>
    <xf numFmtId="0" fontId="88" fillId="9" borderId="5" xfId="0" applyFont="1" applyFill="1" applyBorder="1"/>
    <xf numFmtId="0" fontId="88" fillId="9" borderId="45" xfId="0" applyFont="1" applyFill="1" applyBorder="1" applyAlignment="1">
      <alignment horizontal="center"/>
    </xf>
    <xf numFmtId="0" fontId="88" fillId="9" borderId="46" xfId="0" applyFont="1" applyFill="1" applyBorder="1" applyAlignment="1">
      <alignment horizontal="center"/>
    </xf>
    <xf numFmtId="0" fontId="88" fillId="9" borderId="0" xfId="0" applyFont="1" applyFill="1" applyAlignment="1">
      <alignment horizontal="justify"/>
    </xf>
    <xf numFmtId="0" fontId="2" fillId="9" borderId="18" xfId="0" applyFont="1" applyFill="1" applyBorder="1" applyAlignment="1">
      <alignment vertical="center"/>
    </xf>
    <xf numFmtId="0" fontId="18" fillId="9" borderId="10" xfId="0" applyFont="1" applyFill="1" applyBorder="1" applyAlignment="1">
      <alignment vertical="center"/>
    </xf>
    <xf numFmtId="0" fontId="18" fillId="9" borderId="10" xfId="0" applyFont="1" applyFill="1" applyBorder="1" applyAlignment="1">
      <alignment horizontal="center" vertical="center"/>
    </xf>
    <xf numFmtId="0" fontId="97" fillId="0" borderId="0" xfId="0" applyFont="1" applyAlignment="1" applyProtection="1">
      <alignment vertical="center" wrapText="1"/>
      <protection locked="0"/>
    </xf>
    <xf numFmtId="0" fontId="3" fillId="9" borderId="43" xfId="4" applyFont="1" applyFill="1" applyBorder="1" applyAlignment="1">
      <alignment horizontal="center" vertical="center"/>
    </xf>
    <xf numFmtId="0" fontId="3" fillId="9" borderId="47" xfId="4" applyFont="1" applyFill="1" applyBorder="1" applyAlignment="1">
      <alignment horizontal="right" vertical="center"/>
    </xf>
    <xf numFmtId="39" fontId="93" fillId="0" borderId="0" xfId="5" quotePrefix="1" applyNumberFormat="1" applyFont="1" applyAlignment="1">
      <alignment horizontal="center" vertical="center" wrapText="1"/>
    </xf>
    <xf numFmtId="0" fontId="104" fillId="9" borderId="16" xfId="0" applyFont="1" applyFill="1" applyBorder="1" applyAlignment="1" applyProtection="1">
      <alignment horizontal="center" vertical="center"/>
      <protection locked="0"/>
    </xf>
    <xf numFmtId="0" fontId="104" fillId="9" borderId="0" xfId="0" applyFont="1" applyFill="1" applyAlignment="1">
      <alignment vertical="center"/>
    </xf>
    <xf numFmtId="0" fontId="97" fillId="9" borderId="16" xfId="0" applyFont="1" applyFill="1" applyBorder="1" applyAlignment="1" applyProtection="1">
      <alignment horizontal="center" vertical="center"/>
      <protection locked="0"/>
    </xf>
    <xf numFmtId="0" fontId="96" fillId="9" borderId="0" xfId="0" applyFont="1" applyFill="1"/>
    <xf numFmtId="0" fontId="99" fillId="9" borderId="0" xfId="0" applyFont="1" applyFill="1"/>
    <xf numFmtId="0" fontId="99" fillId="0" borderId="47" xfId="0" applyFont="1" applyBorder="1" applyAlignment="1">
      <alignment wrapText="1"/>
    </xf>
    <xf numFmtId="0" fontId="99" fillId="0" borderId="49" xfId="0" applyFont="1" applyBorder="1" applyAlignment="1">
      <alignment wrapText="1"/>
    </xf>
    <xf numFmtId="0" fontId="99" fillId="0" borderId="0" xfId="0" applyFont="1" applyAlignment="1">
      <alignment horizontal="left" wrapText="1"/>
    </xf>
    <xf numFmtId="0" fontId="99" fillId="0" borderId="40" xfId="0" applyFont="1" applyBorder="1" applyAlignment="1">
      <alignment horizontal="left" wrapText="1"/>
    </xf>
    <xf numFmtId="0" fontId="113" fillId="0" borderId="48" xfId="0" applyFont="1" applyBorder="1" applyAlignment="1">
      <alignment horizontal="left" vertical="center" wrapText="1"/>
    </xf>
    <xf numFmtId="0" fontId="113" fillId="0" borderId="47" xfId="0" applyFont="1" applyBorder="1" applyAlignment="1">
      <alignment horizontal="left" vertical="center" wrapText="1"/>
    </xf>
    <xf numFmtId="0" fontId="113" fillId="0" borderId="49" xfId="0" applyFont="1" applyBorder="1" applyAlignment="1">
      <alignment horizontal="left" vertical="center" wrapText="1"/>
    </xf>
    <xf numFmtId="2" fontId="114" fillId="0" borderId="0" xfId="0" applyNumberFormat="1" applyFont="1" applyAlignment="1">
      <alignment horizontal="center"/>
    </xf>
    <xf numFmtId="0" fontId="99" fillId="0" borderId="0" xfId="0" applyFont="1" applyAlignment="1">
      <alignment horizontal="left" vertical="center" wrapText="1"/>
    </xf>
    <xf numFmtId="0" fontId="99" fillId="0" borderId="40" xfId="0" applyFont="1" applyBorder="1" applyAlignment="1">
      <alignment horizontal="left" vertical="center" wrapText="1"/>
    </xf>
    <xf numFmtId="2" fontId="115" fillId="0" borderId="0" xfId="0" applyNumberFormat="1" applyFont="1" applyAlignment="1">
      <alignment horizontal="center"/>
    </xf>
    <xf numFmtId="2" fontId="114" fillId="0" borderId="0" xfId="0" applyNumberFormat="1" applyFont="1" applyAlignment="1">
      <alignment horizontal="center" vertical="center"/>
    </xf>
    <xf numFmtId="0" fontId="123" fillId="9" borderId="48" xfId="0" quotePrefix="1" applyFont="1" applyFill="1" applyBorder="1" applyAlignment="1">
      <alignment horizontal="left" vertical="center" wrapText="1"/>
    </xf>
    <xf numFmtId="0" fontId="123" fillId="9" borderId="47" xfId="0" applyFont="1" applyFill="1" applyBorder="1" applyAlignment="1">
      <alignment horizontal="left" vertical="center"/>
    </xf>
    <xf numFmtId="0" fontId="123" fillId="9" borderId="49" xfId="0" applyFont="1" applyFill="1" applyBorder="1" applyAlignment="1">
      <alignment horizontal="left" vertical="center"/>
    </xf>
    <xf numFmtId="0" fontId="102" fillId="0" borderId="5" xfId="0" applyFont="1" applyBorder="1" applyAlignment="1">
      <alignment horizontal="center"/>
    </xf>
    <xf numFmtId="0" fontId="104" fillId="9" borderId="48" xfId="0" applyFont="1" applyFill="1" applyBorder="1" applyAlignment="1">
      <alignment horizontal="center" vertical="center"/>
    </xf>
    <xf numFmtId="0" fontId="104" fillId="9" borderId="49" xfId="0" applyFont="1" applyFill="1" applyBorder="1" applyAlignment="1">
      <alignment horizontal="center" vertical="center"/>
    </xf>
    <xf numFmtId="0" fontId="99" fillId="0" borderId="47" xfId="0" applyFont="1" applyBorder="1" applyAlignment="1">
      <alignment horizontal="left" wrapText="1"/>
    </xf>
    <xf numFmtId="0" fontId="99" fillId="0" borderId="49" xfId="0" applyFont="1" applyBorder="1" applyAlignment="1">
      <alignment horizontal="left" wrapText="1"/>
    </xf>
    <xf numFmtId="0" fontId="99" fillId="9" borderId="48" xfId="0" applyFont="1" applyFill="1" applyBorder="1" applyAlignment="1">
      <alignment horizontal="center" wrapText="1"/>
    </xf>
    <xf numFmtId="0" fontId="99" fillId="9" borderId="47" xfId="0" applyFont="1" applyFill="1" applyBorder="1" applyAlignment="1">
      <alignment horizontal="center" wrapText="1"/>
    </xf>
    <xf numFmtId="0" fontId="99" fillId="9" borderId="49" xfId="0" applyFont="1" applyFill="1" applyBorder="1" applyAlignment="1">
      <alignment horizontal="center" wrapText="1"/>
    </xf>
    <xf numFmtId="0" fontId="103" fillId="0" borderId="48" xfId="0" applyFont="1" applyBorder="1" applyAlignment="1">
      <alignment horizontal="left"/>
    </xf>
    <xf numFmtId="0" fontId="103" fillId="0" borderId="47" xfId="0" applyFont="1" applyBorder="1" applyAlignment="1">
      <alignment horizontal="left"/>
    </xf>
    <xf numFmtId="0" fontId="103" fillId="0" borderId="49" xfId="0" applyFont="1" applyBorder="1" applyAlignment="1">
      <alignment horizontal="left"/>
    </xf>
    <xf numFmtId="0" fontId="99" fillId="9" borderId="47" xfId="0" quotePrefix="1" applyFont="1" applyFill="1" applyBorder="1" applyAlignment="1">
      <alignment wrapText="1"/>
    </xf>
    <xf numFmtId="0" fontId="99" fillId="9" borderId="47" xfId="0" applyFont="1" applyFill="1" applyBorder="1" applyAlignment="1">
      <alignment wrapText="1"/>
    </xf>
    <xf numFmtId="0" fontId="99" fillId="9" borderId="49" xfId="0" applyFont="1" applyFill="1" applyBorder="1" applyAlignment="1">
      <alignment wrapText="1"/>
    </xf>
    <xf numFmtId="0" fontId="124" fillId="0" borderId="0" xfId="0" applyFont="1" applyAlignment="1">
      <alignment horizontal="left" wrapText="1"/>
    </xf>
    <xf numFmtId="0" fontId="99" fillId="0" borderId="48" xfId="0" applyFont="1" applyBorder="1" applyAlignment="1">
      <alignment horizontal="center" wrapText="1"/>
    </xf>
    <xf numFmtId="0" fontId="99" fillId="0" borderId="47" xfId="0" applyFont="1" applyBorder="1" applyAlignment="1">
      <alignment horizontal="center" wrapText="1"/>
    </xf>
    <xf numFmtId="0" fontId="99" fillId="0" borderId="49" xfId="0" applyFont="1" applyBorder="1" applyAlignment="1">
      <alignment horizontal="center" wrapText="1"/>
    </xf>
    <xf numFmtId="0" fontId="123" fillId="0" borderId="48" xfId="0" applyFont="1" applyBorder="1" applyAlignment="1">
      <alignment horizontal="center" vertical="center"/>
    </xf>
    <xf numFmtId="0" fontId="123" fillId="0" borderId="47" xfId="0" applyFont="1" applyBorder="1" applyAlignment="1">
      <alignment horizontal="center" vertical="center"/>
    </xf>
    <xf numFmtId="0" fontId="123" fillId="0" borderId="49" xfId="0" applyFont="1" applyBorder="1" applyAlignment="1">
      <alignment horizontal="center" vertical="center"/>
    </xf>
    <xf numFmtId="0" fontId="123" fillId="9" borderId="48" xfId="0" applyFont="1" applyFill="1" applyBorder="1" applyAlignment="1">
      <alignment horizontal="center" vertical="center"/>
    </xf>
    <xf numFmtId="0" fontId="123" fillId="9" borderId="47" xfId="0" applyFont="1" applyFill="1" applyBorder="1" applyAlignment="1">
      <alignment horizontal="center" vertical="center"/>
    </xf>
    <xf numFmtId="0" fontId="123" fillId="9" borderId="49" xfId="0" applyFont="1" applyFill="1" applyBorder="1" applyAlignment="1">
      <alignment horizontal="center" vertical="center"/>
    </xf>
    <xf numFmtId="0" fontId="103" fillId="0" borderId="48" xfId="0" applyFont="1" applyBorder="1" applyAlignment="1">
      <alignment horizontal="center"/>
    </xf>
    <xf numFmtId="0" fontId="103" fillId="0" borderId="47" xfId="0" applyFont="1" applyBorder="1" applyAlignment="1">
      <alignment horizontal="center"/>
    </xf>
    <xf numFmtId="0" fontId="103" fillId="0" borderId="49" xfId="0" applyFont="1" applyBorder="1" applyAlignment="1">
      <alignment horizontal="center"/>
    </xf>
    <xf numFmtId="0" fontId="102" fillId="0" borderId="0" xfId="0" applyFont="1"/>
    <xf numFmtId="4" fontId="107" fillId="0" borderId="16" xfId="0" applyNumberFormat="1" applyFont="1" applyBorder="1" applyAlignment="1">
      <alignment horizontal="center" vertical="center" wrapText="1"/>
    </xf>
    <xf numFmtId="0" fontId="107" fillId="0" borderId="16" xfId="0" applyFont="1" applyBorder="1" applyAlignment="1">
      <alignment horizontal="center" vertical="center" wrapText="1"/>
    </xf>
    <xf numFmtId="4" fontId="107" fillId="0" borderId="16" xfId="0" applyNumberFormat="1" applyFont="1" applyBorder="1" applyAlignment="1">
      <alignment horizontal="center"/>
    </xf>
    <xf numFmtId="0" fontId="107" fillId="0" borderId="16" xfId="0" applyFont="1" applyBorder="1" applyAlignment="1">
      <alignment horizontal="center"/>
    </xf>
    <xf numFmtId="0" fontId="100" fillId="0" borderId="40" xfId="0" applyFont="1" applyBorder="1" applyAlignment="1">
      <alignment vertical="center" textRotation="255"/>
    </xf>
    <xf numFmtId="2" fontId="86" fillId="0" borderId="16" xfId="0" applyNumberFormat="1" applyFont="1" applyBorder="1" applyAlignment="1">
      <alignment horizontal="center" vertical="center" wrapText="1"/>
    </xf>
    <xf numFmtId="4" fontId="86" fillId="0" borderId="16" xfId="0" applyNumberFormat="1" applyFont="1" applyBorder="1" applyAlignment="1">
      <alignment horizontal="center" vertical="center"/>
    </xf>
    <xf numFmtId="4" fontId="86" fillId="0" borderId="48" xfId="0" applyNumberFormat="1" applyFont="1" applyBorder="1" applyAlignment="1">
      <alignment horizontal="center" vertical="center"/>
    </xf>
    <xf numFmtId="4" fontId="86" fillId="0" borderId="47" xfId="0" applyNumberFormat="1" applyFont="1" applyBorder="1" applyAlignment="1">
      <alignment horizontal="center" vertical="center"/>
    </xf>
    <xf numFmtId="4" fontId="86" fillId="0" borderId="49" xfId="0" applyNumberFormat="1" applyFont="1" applyBorder="1" applyAlignment="1">
      <alignment horizontal="center" vertical="center"/>
    </xf>
    <xf numFmtId="0" fontId="119" fillId="0" borderId="48" xfId="0" applyFont="1" applyBorder="1" applyAlignment="1">
      <alignment horizontal="center" vertical="center" wrapText="1"/>
    </xf>
    <xf numFmtId="0" fontId="119" fillId="0" borderId="47" xfId="0" applyFont="1" applyBorder="1" applyAlignment="1">
      <alignment horizontal="center" vertical="center" wrapText="1"/>
    </xf>
    <xf numFmtId="0" fontId="119" fillId="0" borderId="49" xfId="0" applyFont="1" applyBorder="1" applyAlignment="1">
      <alignment horizontal="center" vertical="center" wrapText="1"/>
    </xf>
    <xf numFmtId="4" fontId="117" fillId="0" borderId="16" xfId="0" applyNumberFormat="1" applyFont="1" applyBorder="1" applyAlignment="1">
      <alignment horizontal="center" vertical="center" wrapText="1"/>
    </xf>
    <xf numFmtId="0" fontId="117" fillId="0" borderId="16" xfId="0" applyFont="1" applyBorder="1" applyAlignment="1">
      <alignment horizontal="center" vertical="center" wrapText="1"/>
    </xf>
    <xf numFmtId="4" fontId="99" fillId="0" borderId="16" xfId="0" applyNumberFormat="1" applyFont="1" applyBorder="1" applyAlignment="1">
      <alignment horizontal="center" wrapText="1"/>
    </xf>
    <xf numFmtId="0" fontId="97" fillId="9" borderId="110" xfId="0" applyFont="1" applyFill="1" applyBorder="1" applyAlignment="1">
      <alignment horizontal="center" wrapText="1"/>
    </xf>
    <xf numFmtId="0" fontId="97" fillId="9" borderId="111" xfId="0" applyFont="1" applyFill="1" applyBorder="1" applyAlignment="1">
      <alignment horizontal="center" wrapText="1"/>
    </xf>
    <xf numFmtId="0" fontId="97" fillId="9" borderId="112" xfId="0" applyFont="1" applyFill="1" applyBorder="1" applyAlignment="1">
      <alignment horizontal="center" wrapText="1"/>
    </xf>
    <xf numFmtId="2" fontId="99" fillId="0" borderId="16" xfId="0" applyNumberFormat="1" applyFont="1" applyBorder="1" applyAlignment="1">
      <alignment horizontal="center" wrapText="1"/>
    </xf>
    <xf numFmtId="2" fontId="111" fillId="0" borderId="16" xfId="0" applyNumberFormat="1" applyFont="1" applyBorder="1" applyAlignment="1">
      <alignment horizontal="center" wrapText="1"/>
    </xf>
    <xf numFmtId="4" fontId="99" fillId="0" borderId="48" xfId="0" applyNumberFormat="1" applyFont="1" applyBorder="1" applyAlignment="1">
      <alignment horizontal="center"/>
    </xf>
    <xf numFmtId="4" fontId="99" fillId="0" borderId="47" xfId="0" applyNumberFormat="1" applyFont="1" applyBorder="1" applyAlignment="1">
      <alignment horizontal="center"/>
    </xf>
    <xf numFmtId="4" fontId="99" fillId="0" borderId="49" xfId="0" applyNumberFormat="1" applyFont="1" applyBorder="1" applyAlignment="1">
      <alignment horizontal="center"/>
    </xf>
    <xf numFmtId="4" fontId="99" fillId="0" borderId="16" xfId="0" applyNumberFormat="1" applyFont="1" applyBorder="1" applyAlignment="1">
      <alignment horizontal="center"/>
    </xf>
    <xf numFmtId="0" fontId="111" fillId="0" borderId="16" xfId="0" applyFont="1" applyBorder="1" applyAlignment="1">
      <alignment horizontal="center" vertical="center" wrapText="1"/>
    </xf>
    <xf numFmtId="0" fontId="99" fillId="0" borderId="16" xfId="0" applyFont="1" applyBorder="1" applyAlignment="1">
      <alignment horizontal="center"/>
    </xf>
    <xf numFmtId="0" fontId="86" fillId="0" borderId="110" xfId="0" applyFont="1" applyBorder="1" applyAlignment="1">
      <alignment horizontal="center" vertical="center" wrapText="1"/>
    </xf>
    <xf numFmtId="0" fontId="86" fillId="0" borderId="111" xfId="0" applyFont="1" applyBorder="1" applyAlignment="1">
      <alignment horizontal="center" vertical="center" wrapText="1"/>
    </xf>
    <xf numFmtId="0" fontId="86" fillId="0" borderId="112" xfId="0" applyFont="1" applyBorder="1" applyAlignment="1">
      <alignment horizontal="center" vertical="center" wrapText="1"/>
    </xf>
    <xf numFmtId="4" fontId="86" fillId="0" borderId="16" xfId="0" applyNumberFormat="1" applyFont="1" applyBorder="1" applyAlignment="1">
      <alignment horizontal="center" vertical="center" wrapText="1"/>
    </xf>
    <xf numFmtId="0" fontId="86" fillId="0" borderId="16" xfId="0" applyFont="1" applyBorder="1" applyAlignment="1">
      <alignment horizontal="center" vertical="center" wrapText="1"/>
    </xf>
    <xf numFmtId="0" fontId="97" fillId="0" borderId="110" xfId="0" applyFont="1" applyBorder="1" applyAlignment="1">
      <alignment horizontal="center" wrapText="1"/>
    </xf>
    <xf numFmtId="0" fontId="97" fillId="0" borderId="111" xfId="0" applyFont="1" applyBorder="1" applyAlignment="1">
      <alignment horizontal="center" wrapText="1"/>
    </xf>
    <xf numFmtId="0" fontId="97" fillId="0" borderId="112" xfId="0" applyFont="1" applyBorder="1" applyAlignment="1">
      <alignment horizontal="center" wrapText="1"/>
    </xf>
    <xf numFmtId="4" fontId="111" fillId="0" borderId="16" xfId="0" applyNumberFormat="1" applyFont="1" applyBorder="1" applyAlignment="1">
      <alignment horizontal="center" wrapText="1"/>
    </xf>
    <xf numFmtId="0" fontId="121" fillId="0" borderId="48" xfId="0" applyFont="1" applyBorder="1" applyAlignment="1">
      <alignment horizontal="center" vertical="center" wrapText="1"/>
    </xf>
    <xf numFmtId="0" fontId="121" fillId="0" borderId="47" xfId="0" applyFont="1" applyBorder="1" applyAlignment="1">
      <alignment horizontal="center" vertical="center" wrapText="1"/>
    </xf>
    <xf numFmtId="0" fontId="121" fillId="0" borderId="49" xfId="0" applyFont="1" applyBorder="1" applyAlignment="1">
      <alignment horizontal="center" vertical="center" wrapText="1"/>
    </xf>
    <xf numFmtId="0" fontId="99" fillId="0" borderId="16" xfId="0" applyFont="1" applyBorder="1" applyAlignment="1">
      <alignment horizontal="center" vertical="center" wrapText="1"/>
    </xf>
    <xf numFmtId="4" fontId="107" fillId="0" borderId="16" xfId="0" applyNumberFormat="1" applyFont="1" applyBorder="1" applyAlignment="1">
      <alignment horizontal="center" wrapText="1"/>
    </xf>
    <xf numFmtId="2" fontId="107" fillId="0" borderId="16" xfId="0" applyNumberFormat="1" applyFont="1" applyBorder="1" applyAlignment="1">
      <alignment horizontal="center" wrapText="1"/>
    </xf>
    <xf numFmtId="4" fontId="107" fillId="0" borderId="48" xfId="0" applyNumberFormat="1" applyFont="1" applyBorder="1" applyAlignment="1">
      <alignment horizontal="center"/>
    </xf>
    <xf numFmtId="4" fontId="107" fillId="0" borderId="47" xfId="0" applyNumberFormat="1" applyFont="1" applyBorder="1" applyAlignment="1">
      <alignment horizontal="center"/>
    </xf>
    <xf numFmtId="4" fontId="107" fillId="0" borderId="49" xfId="0" applyNumberFormat="1" applyFont="1" applyBorder="1" applyAlignment="1">
      <alignment horizontal="center"/>
    </xf>
    <xf numFmtId="0" fontId="102" fillId="3" borderId="16" xfId="0" applyFont="1" applyFill="1" applyBorder="1" applyAlignment="1">
      <alignment horizontal="center" vertical="center"/>
    </xf>
    <xf numFmtId="0" fontId="102" fillId="3" borderId="48" xfId="0" applyFont="1" applyFill="1" applyBorder="1" applyAlignment="1">
      <alignment horizontal="center" vertical="center"/>
    </xf>
    <xf numFmtId="0" fontId="102" fillId="3" borderId="17" xfId="0" applyFont="1" applyFill="1" applyBorder="1" applyAlignment="1">
      <alignment horizontal="center" vertical="center" wrapText="1"/>
    </xf>
    <xf numFmtId="0" fontId="102" fillId="3" borderId="50" xfId="0" applyFont="1" applyFill="1" applyBorder="1" applyAlignment="1">
      <alignment horizontal="center" vertical="center" wrapText="1"/>
    </xf>
    <xf numFmtId="0" fontId="102" fillId="3" borderId="110" xfId="0" applyFont="1" applyFill="1" applyBorder="1" applyAlignment="1">
      <alignment horizontal="center" vertical="center" wrapText="1"/>
    </xf>
    <xf numFmtId="0" fontId="102" fillId="3" borderId="111" xfId="0" applyFont="1" applyFill="1" applyBorder="1" applyAlignment="1">
      <alignment horizontal="center" vertical="center" wrapText="1"/>
    </xf>
    <xf numFmtId="0" fontId="102" fillId="3" borderId="112" xfId="0" applyFont="1" applyFill="1" applyBorder="1" applyAlignment="1">
      <alignment horizontal="center" vertical="center" wrapText="1"/>
    </xf>
    <xf numFmtId="0" fontId="107" fillId="3" borderId="16" xfId="0" applyFont="1" applyFill="1" applyBorder="1" applyAlignment="1">
      <alignment horizontal="center" vertical="center" wrapText="1"/>
    </xf>
    <xf numFmtId="0" fontId="117" fillId="3" borderId="16" xfId="0" applyFont="1" applyFill="1" applyBorder="1" applyAlignment="1">
      <alignment horizontal="center" vertical="center" wrapText="1"/>
    </xf>
    <xf numFmtId="0" fontId="120" fillId="3" borderId="16" xfId="0" applyFont="1" applyFill="1" applyBorder="1" applyAlignment="1">
      <alignment horizontal="center" vertical="center" wrapText="1"/>
    </xf>
    <xf numFmtId="0" fontId="122" fillId="0" borderId="16" xfId="0" applyFont="1" applyBorder="1" applyAlignment="1">
      <alignment horizontal="center" vertical="center" wrapText="1"/>
    </xf>
    <xf numFmtId="0" fontId="86" fillId="0" borderId="16" xfId="0" applyFont="1" applyBorder="1" applyAlignment="1">
      <alignment horizontal="center"/>
    </xf>
    <xf numFmtId="4" fontId="86" fillId="0" borderId="16" xfId="0" applyNumberFormat="1" applyFont="1" applyBorder="1" applyAlignment="1">
      <alignment horizontal="center"/>
    </xf>
    <xf numFmtId="181" fontId="97" fillId="9" borderId="110" xfId="0" applyNumberFormat="1" applyFont="1" applyFill="1" applyBorder="1" applyAlignment="1">
      <alignment horizontal="center"/>
    </xf>
    <xf numFmtId="181" fontId="97" fillId="9" borderId="111" xfId="0" applyNumberFormat="1" applyFont="1" applyFill="1" applyBorder="1" applyAlignment="1">
      <alignment horizontal="center"/>
    </xf>
    <xf numFmtId="181" fontId="97" fillId="9" borderId="112" xfId="0" applyNumberFormat="1" applyFont="1" applyFill="1" applyBorder="1" applyAlignment="1">
      <alignment horizontal="center"/>
    </xf>
    <xf numFmtId="0" fontId="97" fillId="9" borderId="0" xfId="0" applyFont="1" applyFill="1" applyAlignment="1">
      <alignment horizontal="center" vertical="center"/>
    </xf>
    <xf numFmtId="0" fontId="102" fillId="0" borderId="0" xfId="0" applyFont="1" applyAlignment="1">
      <alignment horizontal="left"/>
    </xf>
    <xf numFmtId="0" fontId="102" fillId="0" borderId="40" xfId="0" applyFont="1" applyBorder="1" applyAlignment="1">
      <alignment horizontal="left"/>
    </xf>
    <xf numFmtId="0" fontId="86" fillId="0" borderId="0" xfId="0" applyFont="1" applyAlignment="1">
      <alignment horizontal="left" wrapText="1"/>
    </xf>
    <xf numFmtId="0" fontId="119" fillId="3" borderId="48" xfId="0" applyFont="1" applyFill="1" applyBorder="1" applyAlignment="1">
      <alignment horizontal="center" vertical="center" wrapText="1"/>
    </xf>
    <xf numFmtId="0" fontId="119" fillId="3" borderId="47" xfId="0" applyFont="1" applyFill="1" applyBorder="1" applyAlignment="1">
      <alignment horizontal="center" vertical="center" wrapText="1"/>
    </xf>
    <xf numFmtId="0" fontId="119" fillId="3" borderId="49" xfId="0" applyFont="1" applyFill="1" applyBorder="1" applyAlignment="1">
      <alignment horizontal="center" vertical="center" wrapText="1"/>
    </xf>
    <xf numFmtId="0" fontId="94" fillId="0" borderId="0" xfId="0" applyFont="1" applyAlignment="1">
      <alignment horizontal="right" vertical="center"/>
    </xf>
    <xf numFmtId="178" fontId="94" fillId="6" borderId="0" xfId="0" applyNumberFormat="1" applyFont="1" applyFill="1" applyAlignment="1">
      <alignment horizontal="center" vertical="center"/>
    </xf>
    <xf numFmtId="177" fontId="117" fillId="6" borderId="0" xfId="1" applyNumberFormat="1" applyFont="1" applyFill="1" applyAlignment="1">
      <alignment horizontal="center" vertical="center"/>
    </xf>
    <xf numFmtId="0" fontId="0" fillId="0" borderId="48" xfId="0" applyBorder="1" applyAlignment="1">
      <alignment horizontal="left" vertical="center" wrapText="1"/>
    </xf>
    <xf numFmtId="0" fontId="0" fillId="0" borderId="47" xfId="0" applyBorder="1" applyAlignment="1">
      <alignment horizontal="left" vertical="center" wrapText="1"/>
    </xf>
    <xf numFmtId="0" fontId="0" fillId="0" borderId="49" xfId="0" applyBorder="1" applyAlignment="1">
      <alignment horizontal="left" vertical="center" wrapText="1"/>
    </xf>
    <xf numFmtId="178" fontId="94" fillId="0" borderId="0" xfId="0" applyNumberFormat="1" applyFont="1" applyAlignment="1">
      <alignment horizontal="center" vertical="center"/>
    </xf>
    <xf numFmtId="0" fontId="94" fillId="9" borderId="37" xfId="0" applyFont="1" applyFill="1" applyBorder="1" applyAlignment="1">
      <alignment horizontal="right" vertical="center"/>
    </xf>
    <xf numFmtId="0" fontId="94" fillId="9" borderId="19" xfId="0" applyFont="1" applyFill="1" applyBorder="1" applyAlignment="1">
      <alignment horizontal="right" vertical="center"/>
    </xf>
    <xf numFmtId="0" fontId="94" fillId="9" borderId="39" xfId="0" applyFont="1" applyFill="1" applyBorder="1" applyAlignment="1">
      <alignment horizontal="right" vertical="center"/>
    </xf>
    <xf numFmtId="0" fontId="94" fillId="9" borderId="0" xfId="0" applyFont="1" applyFill="1" applyAlignment="1">
      <alignment horizontal="right" vertical="center"/>
    </xf>
    <xf numFmtId="0" fontId="104" fillId="0" borderId="48" xfId="0" applyFont="1" applyBorder="1" applyAlignment="1">
      <alignment horizontal="center" vertical="top"/>
    </xf>
    <xf numFmtId="0" fontId="104" fillId="0" borderId="47" xfId="0" applyFont="1" applyBorder="1" applyAlignment="1">
      <alignment horizontal="center" vertical="top"/>
    </xf>
    <xf numFmtId="0" fontId="104" fillId="0" borderId="49" xfId="0" applyFont="1" applyBorder="1" applyAlignment="1">
      <alignment horizontal="center" vertical="top"/>
    </xf>
    <xf numFmtId="0" fontId="99" fillId="0" borderId="110" xfId="0" applyFont="1" applyBorder="1" applyAlignment="1">
      <alignment horizontal="center" vertical="top"/>
    </xf>
    <xf numFmtId="0" fontId="99" fillId="0" borderId="111" xfId="0" applyFont="1" applyBorder="1" applyAlignment="1">
      <alignment horizontal="center" vertical="top"/>
    </xf>
    <xf numFmtId="0" fontId="99" fillId="0" borderId="112" xfId="0" applyFont="1" applyBorder="1" applyAlignment="1">
      <alignment horizontal="center" vertical="top"/>
    </xf>
    <xf numFmtId="0" fontId="97" fillId="10" borderId="0" xfId="0" applyFont="1" applyFill="1" applyAlignment="1">
      <alignment horizontal="center" vertical="center"/>
    </xf>
    <xf numFmtId="0" fontId="118" fillId="10" borderId="0" xfId="0" applyFont="1" applyFill="1" applyAlignment="1">
      <alignment horizontal="center" vertical="center"/>
    </xf>
    <xf numFmtId="0" fontId="96" fillId="0" borderId="37" xfId="0" applyFont="1" applyBorder="1" applyAlignment="1">
      <alignment horizontal="center"/>
    </xf>
    <xf numFmtId="0" fontId="96" fillId="0" borderId="19" xfId="0" applyFont="1" applyBorder="1" applyAlignment="1">
      <alignment horizontal="center"/>
    </xf>
    <xf numFmtId="0" fontId="96" fillId="0" borderId="38" xfId="0" applyFont="1" applyBorder="1" applyAlignment="1">
      <alignment horizontal="center"/>
    </xf>
    <xf numFmtId="0" fontId="96" fillId="0" borderId="39" xfId="0" applyFont="1" applyBorder="1" applyAlignment="1">
      <alignment horizontal="center"/>
    </xf>
    <xf numFmtId="0" fontId="96" fillId="0" borderId="0" xfId="0" applyFont="1" applyAlignment="1">
      <alignment horizontal="center"/>
    </xf>
    <xf numFmtId="0" fontId="96" fillId="0" borderId="40" xfId="0" applyFont="1" applyBorder="1" applyAlignment="1">
      <alignment horizontal="center"/>
    </xf>
    <xf numFmtId="0" fontId="96" fillId="0" borderId="41" xfId="0" applyFont="1" applyBorder="1" applyAlignment="1">
      <alignment horizontal="center"/>
    </xf>
    <xf numFmtId="0" fontId="96" fillId="0" borderId="5" xfId="0" applyFont="1" applyBorder="1" applyAlignment="1">
      <alignment horizontal="center"/>
    </xf>
    <xf numFmtId="0" fontId="96" fillId="0" borderId="42" xfId="0" applyFont="1" applyBorder="1" applyAlignment="1">
      <alignment horizontal="center"/>
    </xf>
    <xf numFmtId="0" fontId="99" fillId="9" borderId="110" xfId="0" applyFont="1" applyFill="1" applyBorder="1" applyAlignment="1">
      <alignment horizontal="center" vertical="center"/>
    </xf>
    <xf numFmtId="0" fontId="99" fillId="9" borderId="111" xfId="0" applyFont="1" applyFill="1" applyBorder="1" applyAlignment="1">
      <alignment horizontal="center" vertical="center"/>
    </xf>
    <xf numFmtId="0" fontId="99" fillId="9" borderId="113" xfId="0" applyFont="1" applyFill="1" applyBorder="1" applyAlignment="1">
      <alignment horizontal="center" vertical="center"/>
    </xf>
    <xf numFmtId="0" fontId="99" fillId="9" borderId="112" xfId="0" applyFont="1" applyFill="1" applyBorder="1" applyAlignment="1">
      <alignment horizontal="center" vertical="center"/>
    </xf>
    <xf numFmtId="49" fontId="116" fillId="9" borderId="19" xfId="0" applyNumberFormat="1" applyFont="1" applyFill="1" applyBorder="1" applyAlignment="1">
      <alignment horizontal="center" vertical="center"/>
    </xf>
    <xf numFmtId="49" fontId="116" fillId="9" borderId="38" xfId="0" applyNumberFormat="1" applyFont="1" applyFill="1" applyBorder="1" applyAlignment="1">
      <alignment horizontal="center" vertical="center"/>
    </xf>
    <xf numFmtId="180" fontId="116" fillId="9" borderId="0" xfId="0" quotePrefix="1" applyNumberFormat="1" applyFont="1" applyFill="1" applyAlignment="1">
      <alignment horizontal="center" vertical="center"/>
    </xf>
    <xf numFmtId="180" fontId="116" fillId="9" borderId="0" xfId="0" applyNumberFormat="1" applyFont="1" applyFill="1" applyAlignment="1">
      <alignment horizontal="center" vertical="center"/>
    </xf>
    <xf numFmtId="180" fontId="116" fillId="9" borderId="40" xfId="0" applyNumberFormat="1" applyFont="1" applyFill="1" applyBorder="1" applyAlignment="1">
      <alignment horizontal="center" vertical="center"/>
    </xf>
    <xf numFmtId="178" fontId="94" fillId="9" borderId="0" xfId="0" applyNumberFormat="1" applyFont="1" applyFill="1" applyAlignment="1">
      <alignment horizontal="center" vertical="center"/>
    </xf>
    <xf numFmtId="178" fontId="94" fillId="9" borderId="40" xfId="0" applyNumberFormat="1" applyFont="1" applyFill="1" applyBorder="1" applyAlignment="1">
      <alignment horizontal="center" vertical="center"/>
    </xf>
    <xf numFmtId="0" fontId="94" fillId="6" borderId="0" xfId="0" applyFont="1" applyFill="1" applyAlignment="1">
      <alignment horizontal="right" vertical="center"/>
    </xf>
    <xf numFmtId="178" fontId="94" fillId="6" borderId="5" xfId="0" applyNumberFormat="1" applyFont="1" applyFill="1" applyBorder="1" applyAlignment="1">
      <alignment horizontal="center" vertical="center"/>
    </xf>
    <xf numFmtId="178" fontId="94" fillId="6" borderId="42" xfId="0" applyNumberFormat="1" applyFont="1" applyFill="1" applyBorder="1" applyAlignment="1">
      <alignment horizontal="center" vertical="center"/>
    </xf>
    <xf numFmtId="0" fontId="84" fillId="0" borderId="0" xfId="0" applyFont="1" applyAlignment="1">
      <alignment horizontal="center"/>
    </xf>
    <xf numFmtId="0" fontId="84" fillId="0" borderId="5" xfId="0" applyFont="1" applyBorder="1" applyAlignment="1">
      <alignment horizontal="center"/>
    </xf>
    <xf numFmtId="0" fontId="94" fillId="6" borderId="41" xfId="0" applyFont="1" applyFill="1" applyBorder="1" applyAlignment="1">
      <alignment horizontal="right" vertical="center"/>
    </xf>
    <xf numFmtId="0" fontId="94" fillId="6" borderId="5" xfId="0" applyFont="1" applyFill="1" applyBorder="1" applyAlignment="1">
      <alignment horizontal="right" vertical="center"/>
    </xf>
    <xf numFmtId="0" fontId="97" fillId="0" borderId="0" xfId="0" applyFont="1" applyAlignment="1">
      <alignment horizontal="center" vertical="top"/>
    </xf>
    <xf numFmtId="0" fontId="64" fillId="0" borderId="48" xfId="0" applyFont="1" applyBorder="1" applyAlignment="1">
      <alignment horizontal="center" vertical="center"/>
    </xf>
    <xf numFmtId="0" fontId="64" fillId="0" borderId="47" xfId="0" applyFont="1" applyBorder="1" applyAlignment="1">
      <alignment horizontal="center" vertical="center"/>
    </xf>
    <xf numFmtId="0" fontId="64" fillId="0" borderId="49" xfId="0" applyFont="1" applyBorder="1" applyAlignment="1">
      <alignment horizontal="center" vertical="center"/>
    </xf>
    <xf numFmtId="0" fontId="102" fillId="0" borderId="0" xfId="0" applyFont="1" applyAlignment="1">
      <alignment vertical="center"/>
    </xf>
    <xf numFmtId="0" fontId="99" fillId="9" borderId="110" xfId="0" quotePrefix="1" applyFont="1" applyFill="1" applyBorder="1" applyAlignment="1">
      <alignment horizontal="center" vertical="center"/>
    </xf>
    <xf numFmtId="0" fontId="104" fillId="10" borderId="48" xfId="0" applyFont="1" applyFill="1" applyBorder="1" applyAlignment="1">
      <alignment horizontal="center"/>
    </xf>
    <xf numFmtId="0" fontId="104" fillId="10" borderId="47" xfId="0" applyFont="1" applyFill="1" applyBorder="1" applyAlignment="1">
      <alignment horizontal="center"/>
    </xf>
    <xf numFmtId="0" fontId="104" fillId="10" borderId="49" xfId="0" applyFont="1" applyFill="1" applyBorder="1" applyAlignment="1">
      <alignment horizontal="center"/>
    </xf>
    <xf numFmtId="0" fontId="97" fillId="10" borderId="48" xfId="0" applyFont="1" applyFill="1" applyBorder="1" applyAlignment="1">
      <alignment horizontal="center"/>
    </xf>
    <xf numFmtId="0" fontId="97" fillId="10" borderId="49" xfId="0" applyFont="1" applyFill="1" applyBorder="1" applyAlignment="1">
      <alignment horizontal="center"/>
    </xf>
    <xf numFmtId="0" fontId="97" fillId="10" borderId="47" xfId="0" applyFont="1" applyFill="1" applyBorder="1" applyAlignment="1">
      <alignment horizontal="center"/>
    </xf>
    <xf numFmtId="9" fontId="97" fillId="0" borderId="110" xfId="6" applyFont="1" applyFill="1" applyBorder="1" applyAlignment="1">
      <alignment horizontal="center"/>
    </xf>
    <xf numFmtId="9" fontId="97" fillId="0" borderId="47" xfId="6" applyFont="1" applyFill="1" applyBorder="1" applyAlignment="1">
      <alignment horizontal="center"/>
    </xf>
    <xf numFmtId="9" fontId="97" fillId="0" borderId="112" xfId="6" applyFont="1" applyFill="1" applyBorder="1" applyAlignment="1">
      <alignment horizontal="center"/>
    </xf>
    <xf numFmtId="14" fontId="99" fillId="9" borderId="48" xfId="1" applyNumberFormat="1" applyFont="1" applyFill="1" applyBorder="1" applyAlignment="1">
      <alignment horizontal="left" vertical="center"/>
    </xf>
    <xf numFmtId="14" fontId="99" fillId="9" borderId="47" xfId="1" applyNumberFormat="1" applyFont="1" applyFill="1" applyBorder="1" applyAlignment="1">
      <alignment horizontal="left" vertical="center"/>
    </xf>
    <xf numFmtId="14" fontId="99" fillId="9" borderId="49" xfId="1" applyNumberFormat="1" applyFont="1" applyFill="1" applyBorder="1" applyAlignment="1">
      <alignment horizontal="left" vertical="center"/>
    </xf>
    <xf numFmtId="0" fontId="97" fillId="0" borderId="48" xfId="0" applyFont="1" applyBorder="1" applyAlignment="1">
      <alignment horizontal="center"/>
    </xf>
    <xf numFmtId="0" fontId="97" fillId="0" borderId="47" xfId="0" applyFont="1" applyBorder="1" applyAlignment="1">
      <alignment horizontal="center"/>
    </xf>
    <xf numFmtId="0" fontId="97" fillId="0" borderId="49" xfId="0" applyFont="1" applyBorder="1" applyAlignment="1">
      <alignment horizontal="center"/>
    </xf>
    <xf numFmtId="1" fontId="99" fillId="0" borderId="48" xfId="0" applyNumberFormat="1" applyFont="1" applyBorder="1" applyAlignment="1">
      <alignment horizontal="center" vertical="center"/>
    </xf>
    <xf numFmtId="1" fontId="99" fillId="0" borderId="47" xfId="0" applyNumberFormat="1" applyFont="1" applyBorder="1" applyAlignment="1">
      <alignment horizontal="center" vertical="center"/>
    </xf>
    <xf numFmtId="1" fontId="99" fillId="0" borderId="49" xfId="0" applyNumberFormat="1" applyFont="1" applyBorder="1" applyAlignment="1">
      <alignment horizontal="center" vertical="center"/>
    </xf>
    <xf numFmtId="0" fontId="97" fillId="9" borderId="110" xfId="0" applyFont="1" applyFill="1" applyBorder="1" applyAlignment="1">
      <alignment horizontal="center"/>
    </xf>
    <xf numFmtId="0" fontId="97" fillId="9" borderId="111" xfId="0" applyFont="1" applyFill="1" applyBorder="1" applyAlignment="1">
      <alignment horizontal="center"/>
    </xf>
    <xf numFmtId="0" fontId="97" fillId="9" borderId="112" xfId="0" applyFont="1" applyFill="1" applyBorder="1" applyAlignment="1">
      <alignment horizontal="center"/>
    </xf>
    <xf numFmtId="9" fontId="97" fillId="9" borderId="110" xfId="6" applyFont="1" applyFill="1" applyBorder="1" applyAlignment="1">
      <alignment horizontal="center"/>
    </xf>
    <xf numFmtId="9" fontId="97" fillId="9" borderId="112" xfId="6" applyFont="1" applyFill="1" applyBorder="1" applyAlignment="1">
      <alignment horizontal="center"/>
    </xf>
    <xf numFmtId="0" fontId="102" fillId="0" borderId="0" xfId="0" applyFont="1" applyAlignment="1">
      <alignment horizontal="right" vertical="center"/>
    </xf>
    <xf numFmtId="0" fontId="102" fillId="9" borderId="5" xfId="0" applyFont="1" applyFill="1" applyBorder="1" applyAlignment="1">
      <alignment horizontal="center"/>
    </xf>
    <xf numFmtId="0" fontId="86" fillId="9" borderId="0" xfId="0" applyFont="1" applyFill="1" applyAlignment="1">
      <alignment horizontal="left" vertical="center" wrapText="1"/>
    </xf>
    <xf numFmtId="0" fontId="86" fillId="9" borderId="40" xfId="0" applyFont="1" applyFill="1" applyBorder="1" applyAlignment="1">
      <alignment horizontal="left" vertical="center" wrapText="1"/>
    </xf>
    <xf numFmtId="0" fontId="102" fillId="9" borderId="0" xfId="0" applyFont="1" applyFill="1" applyAlignment="1">
      <alignment vertical="top"/>
    </xf>
    <xf numFmtId="0" fontId="97" fillId="9" borderId="0" xfId="0" applyFont="1" applyFill="1" applyAlignment="1">
      <alignment vertical="top"/>
    </xf>
    <xf numFmtId="170" fontId="11" fillId="0" borderId="0" xfId="0" applyNumberFormat="1" applyFont="1" applyAlignment="1">
      <alignment horizontal="left"/>
    </xf>
    <xf numFmtId="170" fontId="2" fillId="0" borderId="0" xfId="0" applyNumberFormat="1" applyFont="1" applyAlignment="1">
      <alignment horizontal="left"/>
    </xf>
    <xf numFmtId="49" fontId="25" fillId="0" borderId="65" xfId="0" applyNumberFormat="1" applyFont="1" applyBorder="1" applyAlignment="1">
      <alignment horizontal="justify" vertical="center"/>
    </xf>
    <xf numFmtId="0" fontId="24" fillId="3" borderId="31" xfId="0" applyFont="1" applyFill="1" applyBorder="1" applyAlignment="1">
      <alignment horizontal="center"/>
    </xf>
    <xf numFmtId="0" fontId="2" fillId="3" borderId="9" xfId="0" applyFont="1" applyFill="1" applyBorder="1"/>
    <xf numFmtId="0" fontId="2" fillId="3" borderId="32" xfId="0" applyFont="1" applyFill="1" applyBorder="1"/>
    <xf numFmtId="1" fontId="20" fillId="3" borderId="31" xfId="0" applyNumberFormat="1" applyFont="1" applyFill="1" applyBorder="1" applyAlignment="1">
      <alignment horizontal="center" vertical="center"/>
    </xf>
    <xf numFmtId="1" fontId="20" fillId="3" borderId="9" xfId="0" applyNumberFormat="1" applyFont="1" applyFill="1" applyBorder="1" applyAlignment="1">
      <alignment horizontal="center" vertical="center"/>
    </xf>
    <xf numFmtId="1" fontId="20" fillId="11" borderId="31" xfId="0" applyNumberFormat="1" applyFont="1" applyFill="1" applyBorder="1" applyAlignment="1">
      <alignment horizontal="center" vertical="center" textRotation="90" wrapText="1"/>
    </xf>
    <xf numFmtId="1" fontId="20" fillId="11" borderId="9" xfId="0" applyNumberFormat="1" applyFont="1" applyFill="1" applyBorder="1" applyAlignment="1">
      <alignment horizontal="center" vertical="center" textRotation="90" wrapText="1"/>
    </xf>
    <xf numFmtId="1" fontId="20" fillId="11" borderId="32" xfId="0" applyNumberFormat="1" applyFont="1" applyFill="1" applyBorder="1" applyAlignment="1">
      <alignment horizontal="center" vertical="center" textRotation="90" wrapText="1"/>
    </xf>
    <xf numFmtId="1" fontId="20" fillId="11" borderId="31" xfId="0" applyNumberFormat="1" applyFont="1" applyFill="1" applyBorder="1" applyAlignment="1">
      <alignment horizontal="center" vertical="center" textRotation="90"/>
    </xf>
    <xf numFmtId="1" fontId="20" fillId="11" borderId="9" xfId="0" applyNumberFormat="1" applyFont="1" applyFill="1" applyBorder="1" applyAlignment="1">
      <alignment horizontal="center" vertical="center" textRotation="90"/>
    </xf>
    <xf numFmtId="1" fontId="20" fillId="11" borderId="32" xfId="0" applyNumberFormat="1" applyFont="1" applyFill="1" applyBorder="1" applyAlignment="1">
      <alignment horizontal="center" vertical="center" textRotation="90"/>
    </xf>
    <xf numFmtId="0" fontId="2" fillId="3" borderId="9" xfId="0" applyFont="1" applyFill="1" applyBorder="1" applyAlignment="1">
      <alignment horizontal="justify"/>
    </xf>
    <xf numFmtId="175" fontId="12" fillId="6" borderId="54" xfId="0" applyNumberFormat="1" applyFont="1" applyFill="1" applyBorder="1" applyAlignment="1">
      <alignment horizontal="right" vertical="center"/>
    </xf>
    <xf numFmtId="175" fontId="8" fillId="6" borderId="54" xfId="0" applyNumberFormat="1" applyFont="1" applyFill="1" applyBorder="1" applyAlignment="1">
      <alignment horizontal="right" vertical="center"/>
    </xf>
    <xf numFmtId="1" fontId="12" fillId="6" borderId="54" xfId="2" applyNumberFormat="1" applyFont="1" applyFill="1" applyBorder="1" applyAlignment="1">
      <alignment horizontal="right" vertical="center" wrapText="1"/>
    </xf>
    <xf numFmtId="1" fontId="12" fillId="6" borderId="54" xfId="2" applyNumberFormat="1" applyFont="1" applyFill="1" applyBorder="1" applyAlignment="1">
      <alignment horizontal="right" vertical="center"/>
    </xf>
    <xf numFmtId="1" fontId="8" fillId="6" borderId="54" xfId="2" applyNumberFormat="1" applyFont="1" applyFill="1" applyBorder="1" applyAlignment="1">
      <alignment horizontal="right" vertical="center"/>
    </xf>
    <xf numFmtId="0" fontId="2" fillId="0" borderId="73" xfId="0" applyFont="1" applyBorder="1" applyAlignment="1">
      <alignment horizontal="center"/>
    </xf>
    <xf numFmtId="0" fontId="2" fillId="0" borderId="0" xfId="0" applyFont="1" applyAlignment="1">
      <alignment horizontal="center"/>
    </xf>
    <xf numFmtId="0" fontId="2" fillId="0" borderId="11" xfId="0" applyFont="1" applyBorder="1" applyAlignment="1">
      <alignment horizontal="center"/>
    </xf>
    <xf numFmtId="0" fontId="2" fillId="0" borderId="74" xfId="0" applyFont="1" applyBorder="1" applyAlignment="1">
      <alignment horizontal="center"/>
    </xf>
    <xf numFmtId="0" fontId="2" fillId="0" borderId="75" xfId="0" applyFont="1" applyBorder="1" applyAlignment="1">
      <alignment horizontal="center"/>
    </xf>
    <xf numFmtId="0" fontId="2" fillId="0" borderId="76" xfId="0" applyFont="1" applyBorder="1" applyAlignment="1">
      <alignment horizontal="center"/>
    </xf>
    <xf numFmtId="175" fontId="12" fillId="0" borderId="55" xfId="0" applyNumberFormat="1" applyFont="1" applyBorder="1" applyAlignment="1">
      <alignment horizontal="right" vertical="center"/>
    </xf>
    <xf numFmtId="175" fontId="8" fillId="0" borderId="55" xfId="0" applyNumberFormat="1" applyFont="1" applyBorder="1" applyAlignment="1">
      <alignment horizontal="right" vertical="center"/>
    </xf>
    <xf numFmtId="0" fontId="12" fillId="0" borderId="55" xfId="2" applyNumberFormat="1" applyFont="1" applyBorder="1" applyAlignment="1">
      <alignment horizontal="right" vertical="center" wrapText="1"/>
    </xf>
    <xf numFmtId="3" fontId="12" fillId="0" borderId="55" xfId="2" applyNumberFormat="1" applyFont="1" applyBorder="1" applyAlignment="1">
      <alignment horizontal="right" vertical="center"/>
    </xf>
    <xf numFmtId="3" fontId="8" fillId="0" borderId="55" xfId="2" applyNumberFormat="1" applyFont="1" applyBorder="1" applyAlignment="1">
      <alignment horizontal="right" vertical="center"/>
    </xf>
    <xf numFmtId="175" fontId="12" fillId="0" borderId="59" xfId="0" applyNumberFormat="1" applyFont="1" applyBorder="1" applyAlignment="1">
      <alignment vertical="center" wrapText="1"/>
    </xf>
    <xf numFmtId="175" fontId="12" fillId="0" borderId="60" xfId="0" applyNumberFormat="1" applyFont="1" applyBorder="1" applyAlignment="1">
      <alignment vertical="center" wrapText="1"/>
    </xf>
    <xf numFmtId="175" fontId="12" fillId="0" borderId="59" xfId="0" applyNumberFormat="1" applyFont="1" applyBorder="1" applyAlignment="1">
      <alignment vertical="center"/>
    </xf>
    <xf numFmtId="175" fontId="12" fillId="0" borderId="60" xfId="0" applyNumberFormat="1" applyFont="1" applyBorder="1" applyAlignment="1">
      <alignment vertical="center"/>
    </xf>
    <xf numFmtId="175" fontId="12" fillId="0" borderId="61" xfId="0" applyNumberFormat="1" applyFont="1" applyBorder="1" applyAlignment="1">
      <alignment vertical="center"/>
    </xf>
    <xf numFmtId="49" fontId="12" fillId="6" borderId="51" xfId="0" applyNumberFormat="1" applyFont="1" applyFill="1" applyBorder="1" applyAlignment="1">
      <alignment vertical="center" wrapText="1"/>
    </xf>
    <xf numFmtId="49" fontId="12" fillId="6" borderId="52" xfId="0" applyNumberFormat="1" applyFont="1" applyFill="1" applyBorder="1" applyAlignment="1">
      <alignment vertical="center" wrapText="1"/>
    </xf>
    <xf numFmtId="49" fontId="12" fillId="6" borderId="53" xfId="0" applyNumberFormat="1" applyFont="1" applyFill="1" applyBorder="1" applyAlignment="1">
      <alignment vertical="center" wrapText="1"/>
    </xf>
    <xf numFmtId="0" fontId="2" fillId="3" borderId="31" xfId="0" applyFont="1" applyFill="1" applyBorder="1"/>
    <xf numFmtId="2" fontId="18" fillId="3" borderId="77" xfId="3" applyNumberFormat="1" applyFont="1" applyFill="1" applyBorder="1" applyAlignment="1">
      <alignment horizontal="center"/>
    </xf>
    <xf numFmtId="0" fontId="2" fillId="3" borderId="77" xfId="3" applyFill="1" applyBorder="1" applyAlignment="1">
      <alignment horizontal="center"/>
    </xf>
    <xf numFmtId="0" fontId="18" fillId="3" borderId="9" xfId="0" quotePrefix="1" applyFont="1" applyFill="1" applyBorder="1" applyAlignment="1">
      <alignment horizontal="justify"/>
    </xf>
    <xf numFmtId="3" fontId="12" fillId="0" borderId="56" xfId="2" applyNumberFormat="1" applyFont="1" applyBorder="1" applyAlignment="1">
      <alignment horizontal="right" vertical="center" wrapText="1"/>
    </xf>
    <xf numFmtId="3" fontId="12" fillId="0" borderId="56" xfId="2" applyNumberFormat="1" applyFont="1" applyBorder="1" applyAlignment="1">
      <alignment horizontal="right" vertical="center"/>
    </xf>
    <xf numFmtId="3" fontId="8" fillId="0" borderId="56" xfId="2" applyNumberFormat="1" applyFont="1" applyBorder="1" applyAlignment="1">
      <alignment horizontal="right" vertical="center"/>
    </xf>
    <xf numFmtId="175" fontId="12" fillId="6" borderId="51" xfId="0" applyNumberFormat="1" applyFont="1" applyFill="1" applyBorder="1" applyAlignment="1">
      <alignment vertical="center"/>
    </xf>
    <xf numFmtId="175" fontId="12" fillId="6" borderId="52" xfId="0" applyNumberFormat="1" applyFont="1" applyFill="1" applyBorder="1" applyAlignment="1">
      <alignment vertical="center"/>
    </xf>
    <xf numFmtId="175" fontId="12" fillId="6" borderId="53" xfId="0" applyNumberFormat="1" applyFont="1" applyFill="1" applyBorder="1" applyAlignment="1">
      <alignment vertical="center"/>
    </xf>
    <xf numFmtId="170" fontId="21" fillId="0" borderId="0" xfId="0" applyNumberFormat="1" applyFont="1" applyAlignment="1">
      <alignment horizontal="left"/>
    </xf>
    <xf numFmtId="0" fontId="8" fillId="0" borderId="0" xfId="0" applyFont="1" applyAlignment="1">
      <alignment horizontal="left"/>
    </xf>
    <xf numFmtId="175" fontId="12" fillId="0" borderId="31" xfId="0" applyNumberFormat="1" applyFont="1" applyBorder="1" applyAlignment="1">
      <alignment vertical="center"/>
    </xf>
    <xf numFmtId="175" fontId="12" fillId="0" borderId="9" xfId="0" applyNumberFormat="1" applyFont="1" applyBorder="1" applyAlignment="1">
      <alignment vertical="center"/>
    </xf>
    <xf numFmtId="175" fontId="12" fillId="0" borderId="32" xfId="0" applyNumberFormat="1" applyFont="1" applyBorder="1" applyAlignment="1">
      <alignment vertical="center"/>
    </xf>
    <xf numFmtId="164" fontId="2" fillId="0" borderId="0" xfId="0" applyNumberFormat="1" applyFont="1" applyAlignment="1">
      <alignment horizontal="right"/>
    </xf>
    <xf numFmtId="0" fontId="2" fillId="0" borderId="0" xfId="0" applyFont="1" applyAlignment="1">
      <alignment horizontal="right"/>
    </xf>
    <xf numFmtId="0" fontId="2" fillId="0" borderId="0" xfId="0" applyFont="1"/>
    <xf numFmtId="4" fontId="2" fillId="0" borderId="0" xfId="0" applyNumberFormat="1" applyFont="1" applyAlignment="1">
      <alignment horizontal="right"/>
    </xf>
    <xf numFmtId="0" fontId="2" fillId="9" borderId="0" xfId="0" applyFont="1" applyFill="1" applyAlignment="1">
      <alignment horizontal="justify" vertical="center" wrapText="1"/>
    </xf>
    <xf numFmtId="0" fontId="2" fillId="9" borderId="0" xfId="0" applyFont="1" applyFill="1" applyAlignment="1">
      <alignment vertical="center"/>
    </xf>
    <xf numFmtId="164" fontId="18" fillId="4" borderId="12" xfId="0" applyNumberFormat="1" applyFont="1" applyFill="1" applyBorder="1" applyAlignment="1">
      <alignment horizontal="right" vertical="center"/>
    </xf>
    <xf numFmtId="0" fontId="2" fillId="4" borderId="12" xfId="0" applyFont="1" applyFill="1" applyBorder="1" applyAlignment="1">
      <alignment vertical="center"/>
    </xf>
    <xf numFmtId="170" fontId="18" fillId="0" borderId="0" xfId="0" applyNumberFormat="1" applyFont="1" applyAlignment="1">
      <alignment horizontal="left"/>
    </xf>
    <xf numFmtId="0" fontId="2" fillId="0" borderId="0" xfId="0" applyFont="1" applyAlignment="1">
      <alignment horizontal="left"/>
    </xf>
    <xf numFmtId="10" fontId="2" fillId="0" borderId="0" xfId="0" applyNumberFormat="1" applyFont="1" applyAlignment="1">
      <alignment horizontal="center"/>
    </xf>
    <xf numFmtId="4" fontId="2" fillId="0" borderId="0" xfId="0" applyNumberFormat="1" applyFont="1"/>
    <xf numFmtId="0" fontId="26" fillId="3" borderId="9" xfId="0" applyFont="1" applyFill="1" applyBorder="1"/>
    <xf numFmtId="164" fontId="7" fillId="0" borderId="0" xfId="0" applyNumberFormat="1" applyFont="1" applyAlignment="1">
      <alignment horizontal="right"/>
    </xf>
    <xf numFmtId="0" fontId="16" fillId="0" borderId="0" xfId="0" applyFont="1"/>
    <xf numFmtId="4" fontId="7" fillId="0" borderId="0" xfId="0" applyNumberFormat="1" applyFont="1" applyAlignment="1">
      <alignment horizontal="right"/>
    </xf>
    <xf numFmtId="168" fontId="11" fillId="3" borderId="9" xfId="0" applyNumberFormat="1" applyFont="1" applyFill="1" applyBorder="1" applyAlignment="1">
      <alignment vertical="center"/>
    </xf>
    <xf numFmtId="0" fontId="14" fillId="3" borderId="9" xfId="0" applyFont="1" applyFill="1" applyBorder="1" applyAlignment="1">
      <alignment vertical="center"/>
    </xf>
    <xf numFmtId="0" fontId="14" fillId="3" borderId="32" xfId="0" applyFont="1" applyFill="1" applyBorder="1" applyAlignment="1">
      <alignment vertical="center"/>
    </xf>
    <xf numFmtId="182" fontId="22" fillId="3" borderId="9" xfId="0" applyNumberFormat="1" applyFont="1" applyFill="1" applyBorder="1" applyAlignment="1">
      <alignment vertical="center"/>
    </xf>
    <xf numFmtId="182" fontId="14" fillId="3" borderId="9" xfId="0" applyNumberFormat="1" applyFont="1" applyFill="1" applyBorder="1" applyAlignment="1">
      <alignment vertical="center"/>
    </xf>
    <xf numFmtId="182" fontId="14" fillId="3" borderId="32" xfId="0" applyNumberFormat="1" applyFont="1" applyFill="1" applyBorder="1" applyAlignment="1">
      <alignment vertical="center"/>
    </xf>
    <xf numFmtId="164" fontId="18" fillId="3" borderId="12" xfId="0" applyNumberFormat="1" applyFont="1" applyFill="1" applyBorder="1" applyAlignment="1">
      <alignment horizontal="right" vertical="center"/>
    </xf>
    <xf numFmtId="0" fontId="2" fillId="3" borderId="12" xfId="0" applyFont="1" applyFill="1" applyBorder="1" applyAlignment="1">
      <alignment vertical="center"/>
    </xf>
    <xf numFmtId="0" fontId="26" fillId="3" borderId="12" xfId="0" applyFont="1" applyFill="1" applyBorder="1" applyAlignment="1">
      <alignment vertical="center"/>
    </xf>
    <xf numFmtId="164" fontId="7" fillId="9" borderId="0" xfId="0" applyNumberFormat="1" applyFont="1" applyFill="1" applyAlignment="1">
      <alignment horizontal="right"/>
    </xf>
    <xf numFmtId="0" fontId="16" fillId="9" borderId="0" xfId="0" applyFont="1" applyFill="1" applyAlignment="1">
      <alignment horizontal="right"/>
    </xf>
    <xf numFmtId="0" fontId="16" fillId="9" borderId="0" xfId="0" applyFont="1" applyFill="1"/>
    <xf numFmtId="168" fontId="7" fillId="0" borderId="60" xfId="0" applyNumberFormat="1" applyFont="1" applyBorder="1" applyAlignment="1">
      <alignment horizontal="center" vertical="center"/>
    </xf>
    <xf numFmtId="168" fontId="7" fillId="0" borderId="64" xfId="0" applyNumberFormat="1" applyFont="1" applyBorder="1" applyAlignment="1">
      <alignment horizontal="center" vertical="center"/>
    </xf>
    <xf numFmtId="168" fontId="7" fillId="0" borderId="65" xfId="0" applyNumberFormat="1" applyFont="1" applyBorder="1" applyAlignment="1">
      <alignment horizontal="center" vertical="center"/>
    </xf>
    <xf numFmtId="168" fontId="7" fillId="0" borderId="66" xfId="0" applyNumberFormat="1" applyFont="1" applyBorder="1" applyAlignment="1">
      <alignment horizontal="center" vertical="center"/>
    </xf>
    <xf numFmtId="1" fontId="20" fillId="3" borderId="55" xfId="0" applyNumberFormat="1" applyFont="1" applyFill="1" applyBorder="1" applyAlignment="1">
      <alignment horizontal="center" vertical="center" wrapText="1"/>
    </xf>
    <xf numFmtId="1" fontId="20" fillId="3" borderId="55" xfId="0" applyNumberFormat="1" applyFont="1" applyFill="1" applyBorder="1" applyAlignment="1">
      <alignment horizontal="center" vertical="center"/>
    </xf>
    <xf numFmtId="0" fontId="2" fillId="3" borderId="55" xfId="0" applyFont="1" applyFill="1" applyBorder="1" applyAlignment="1">
      <alignment vertical="center"/>
    </xf>
    <xf numFmtId="0" fontId="27" fillId="0" borderId="0" xfId="0" applyFont="1" applyAlignment="1">
      <alignment horizontal="center"/>
    </xf>
    <xf numFmtId="0" fontId="7" fillId="0" borderId="0" xfId="0" applyFont="1" applyAlignment="1">
      <alignment horizontal="center"/>
    </xf>
    <xf numFmtId="2" fontId="29" fillId="9" borderId="0" xfId="0" applyNumberFormat="1" applyFont="1" applyFill="1" applyAlignment="1">
      <alignment horizontal="center"/>
    </xf>
    <xf numFmtId="175" fontId="12" fillId="0" borderId="51" xfId="0" applyNumberFormat="1" applyFont="1" applyBorder="1" applyAlignment="1">
      <alignment vertical="center"/>
    </xf>
    <xf numFmtId="175" fontId="12" fillId="0" borderId="52" xfId="0" applyNumberFormat="1" applyFont="1" applyBorder="1" applyAlignment="1">
      <alignment vertical="center"/>
    </xf>
    <xf numFmtId="175" fontId="12" fillId="0" borderId="53" xfId="0" applyNumberFormat="1" applyFont="1" applyBorder="1" applyAlignment="1">
      <alignment vertical="center"/>
    </xf>
    <xf numFmtId="175" fontId="12" fillId="0" borderId="55" xfId="0" applyNumberFormat="1" applyFont="1" applyBorder="1" applyAlignment="1">
      <alignment vertical="center"/>
    </xf>
    <xf numFmtId="0" fontId="22" fillId="3" borderId="31" xfId="0" applyFont="1" applyFill="1" applyBorder="1" applyAlignment="1">
      <alignment horizontal="center" vertical="center"/>
    </xf>
    <xf numFmtId="0" fontId="22" fillId="3" borderId="9" xfId="0" applyFont="1" applyFill="1" applyBorder="1" applyAlignment="1">
      <alignment horizontal="center" vertical="center"/>
    </xf>
    <xf numFmtId="0" fontId="22" fillId="3" borderId="32" xfId="0" applyFont="1" applyFill="1" applyBorder="1" applyAlignment="1">
      <alignment horizontal="center" vertical="center"/>
    </xf>
    <xf numFmtId="172" fontId="24" fillId="9" borderId="0" xfId="0" quotePrefix="1" applyNumberFormat="1" applyFont="1" applyFill="1" applyAlignment="1">
      <alignment horizontal="left"/>
    </xf>
    <xf numFmtId="172" fontId="26" fillId="9" borderId="0" xfId="0" applyNumberFormat="1" applyFont="1" applyFill="1" applyAlignment="1">
      <alignment horizontal="left"/>
    </xf>
    <xf numFmtId="1" fontId="20" fillId="11" borderId="55" xfId="0" applyNumberFormat="1" applyFont="1" applyFill="1" applyBorder="1" applyAlignment="1">
      <alignment horizontal="center" vertical="center" wrapText="1"/>
    </xf>
    <xf numFmtId="0" fontId="2" fillId="11" borderId="55" xfId="0" applyFont="1" applyFill="1" applyBorder="1" applyAlignment="1">
      <alignment horizontal="center" vertical="center"/>
    </xf>
    <xf numFmtId="0" fontId="2" fillId="0" borderId="71" xfId="0" applyFont="1" applyBorder="1" applyAlignment="1">
      <alignment wrapText="1"/>
    </xf>
    <xf numFmtId="0" fontId="2" fillId="0" borderId="65" xfId="0" applyFont="1" applyBorder="1" applyAlignment="1">
      <alignment wrapText="1"/>
    </xf>
    <xf numFmtId="0" fontId="2" fillId="0" borderId="72" xfId="0" applyFont="1" applyBorder="1" applyAlignment="1">
      <alignment wrapText="1"/>
    </xf>
    <xf numFmtId="0" fontId="2" fillId="9" borderId="0" xfId="0" applyFont="1" applyFill="1" applyAlignment="1">
      <alignment horizontal="justify" vertical="center"/>
    </xf>
    <xf numFmtId="0" fontId="35" fillId="0" borderId="59" xfId="0" applyFont="1" applyBorder="1"/>
    <xf numFmtId="0" fontId="35" fillId="0" borderId="60" xfId="0" applyFont="1" applyBorder="1"/>
    <xf numFmtId="0" fontId="35" fillId="0" borderId="61" xfId="0" applyFont="1" applyBorder="1"/>
    <xf numFmtId="2" fontId="7" fillId="0" borderId="31" xfId="0" applyNumberFormat="1" applyFont="1" applyBorder="1" applyAlignment="1">
      <alignment horizontal="right" vertical="center"/>
    </xf>
    <xf numFmtId="2" fontId="7" fillId="0" borderId="9" xfId="0" applyNumberFormat="1" applyFont="1" applyBorder="1" applyAlignment="1">
      <alignment horizontal="right" vertical="center"/>
    </xf>
    <xf numFmtId="0" fontId="2" fillId="0" borderId="71" xfId="0" applyFont="1" applyBorder="1" applyAlignment="1">
      <alignment vertical="center" wrapText="1"/>
    </xf>
    <xf numFmtId="0" fontId="2" fillId="0" borderId="65" xfId="0" applyFont="1" applyBorder="1" applyAlignment="1">
      <alignment vertical="center" wrapText="1"/>
    </xf>
    <xf numFmtId="0" fontId="2" fillId="0" borderId="72" xfId="0" applyFont="1" applyBorder="1" applyAlignment="1">
      <alignment vertical="center" wrapText="1"/>
    </xf>
    <xf numFmtId="0" fontId="2" fillId="0" borderId="69" xfId="0" applyFont="1" applyBorder="1" applyAlignment="1">
      <alignment wrapText="1"/>
    </xf>
    <xf numFmtId="0" fontId="2" fillId="0" borderId="33" xfId="0" applyFont="1" applyBorder="1" applyAlignment="1">
      <alignment wrapText="1"/>
    </xf>
    <xf numFmtId="0" fontId="2" fillId="0" borderId="70" xfId="0" applyFont="1" applyBorder="1" applyAlignment="1">
      <alignment wrapText="1"/>
    </xf>
    <xf numFmtId="168" fontId="7" fillId="0" borderId="59" xfId="0" applyNumberFormat="1" applyFont="1" applyBorder="1" applyAlignment="1">
      <alignment horizontal="center" vertical="center"/>
    </xf>
    <xf numFmtId="168" fontId="7" fillId="0" borderId="61" xfId="0" applyNumberFormat="1" applyFont="1" applyBorder="1" applyAlignment="1">
      <alignment horizontal="center" vertical="center"/>
    </xf>
    <xf numFmtId="168" fontId="7" fillId="0" borderId="71" xfId="0" applyNumberFormat="1" applyFont="1" applyBorder="1" applyAlignment="1">
      <alignment horizontal="center" vertical="center"/>
    </xf>
    <xf numFmtId="168" fontId="7" fillId="0" borderId="72" xfId="0" applyNumberFormat="1" applyFont="1" applyBorder="1" applyAlignment="1">
      <alignment horizontal="center" vertical="center"/>
    </xf>
    <xf numFmtId="168" fontId="7" fillId="0" borderId="69" xfId="0" applyNumberFormat="1" applyFont="1" applyBorder="1" applyAlignment="1">
      <alignment horizontal="center" vertical="center"/>
    </xf>
    <xf numFmtId="168" fontId="7" fillId="0" borderId="33" xfId="0" applyNumberFormat="1" applyFont="1" applyBorder="1" applyAlignment="1">
      <alignment horizontal="center" vertical="center"/>
    </xf>
    <xf numFmtId="168" fontId="7" fillId="0" borderId="70" xfId="0" applyNumberFormat="1" applyFont="1" applyBorder="1" applyAlignment="1">
      <alignment horizontal="center" vertical="center"/>
    </xf>
    <xf numFmtId="168" fontId="2" fillId="0" borderId="59" xfId="0" applyNumberFormat="1" applyFont="1" applyBorder="1" applyAlignment="1">
      <alignment horizontal="center" vertical="center"/>
    </xf>
    <xf numFmtId="168" fontId="2" fillId="0" borderId="60" xfId="0" applyNumberFormat="1" applyFont="1" applyBorder="1" applyAlignment="1">
      <alignment horizontal="center" vertical="center"/>
    </xf>
    <xf numFmtId="168" fontId="2" fillId="0" borderId="61" xfId="0" applyNumberFormat="1" applyFont="1" applyBorder="1" applyAlignment="1">
      <alignment horizontal="center" vertical="center"/>
    </xf>
    <xf numFmtId="168" fontId="2" fillId="0" borderId="71" xfId="0" applyNumberFormat="1" applyFont="1" applyBorder="1" applyAlignment="1">
      <alignment horizontal="center" vertical="center"/>
    </xf>
    <xf numFmtId="168" fontId="2" fillId="0" borderId="65" xfId="0" applyNumberFormat="1" applyFont="1" applyBorder="1" applyAlignment="1">
      <alignment horizontal="center" vertical="center"/>
    </xf>
    <xf numFmtId="168" fontId="2" fillId="0" borderId="72" xfId="0" applyNumberFormat="1" applyFont="1" applyBorder="1" applyAlignment="1">
      <alignment horizontal="center" vertical="center"/>
    </xf>
    <xf numFmtId="175" fontId="12" fillId="0" borderId="31" xfId="0" applyNumberFormat="1" applyFont="1" applyBorder="1" applyAlignment="1">
      <alignment horizontal="left" vertical="center" wrapText="1"/>
    </xf>
    <xf numFmtId="175" fontId="12" fillId="0" borderId="9" xfId="0" applyNumberFormat="1" applyFont="1" applyBorder="1" applyAlignment="1">
      <alignment horizontal="left" vertical="center" wrapText="1"/>
    </xf>
    <xf numFmtId="0" fontId="26" fillId="0" borderId="0" xfId="0" applyFont="1" applyAlignment="1">
      <alignment horizontal="left"/>
    </xf>
    <xf numFmtId="4" fontId="2" fillId="9" borderId="0" xfId="0" applyNumberFormat="1" applyFont="1" applyFill="1" applyAlignment="1" applyProtection="1">
      <alignment horizontal="justify" vertical="center" wrapText="1"/>
      <protection locked="0"/>
    </xf>
    <xf numFmtId="4" fontId="7" fillId="0" borderId="0" xfId="0" applyNumberFormat="1" applyFont="1" applyAlignment="1">
      <alignment vertical="center"/>
    </xf>
    <xf numFmtId="0" fontId="7" fillId="0" borderId="0" xfId="0" applyFont="1" applyAlignment="1">
      <alignment vertical="center"/>
    </xf>
    <xf numFmtId="0" fontId="18" fillId="0" borderId="0" xfId="0" applyFont="1" applyAlignment="1">
      <alignment horizontal="left" vertical="center" wrapText="1"/>
    </xf>
    <xf numFmtId="2" fontId="2" fillId="0" borderId="31" xfId="0" applyNumberFormat="1" applyFont="1" applyBorder="1" applyAlignment="1">
      <alignment horizontal="right" vertical="center"/>
    </xf>
    <xf numFmtId="2" fontId="2" fillId="0" borderId="9" xfId="0" applyNumberFormat="1" applyFont="1" applyBorder="1" applyAlignment="1">
      <alignment horizontal="right" vertical="center"/>
    </xf>
    <xf numFmtId="0" fontId="2" fillId="0" borderId="9" xfId="0" applyFont="1" applyBorder="1" applyAlignment="1">
      <alignment horizontal="left" vertical="center"/>
    </xf>
    <xf numFmtId="166" fontId="2" fillId="9" borderId="0" xfId="0" applyNumberFormat="1" applyFont="1" applyFill="1" applyAlignment="1">
      <alignment horizontal="left" vertical="center"/>
    </xf>
    <xf numFmtId="0" fontId="16" fillId="9" borderId="0" xfId="0" applyFont="1" applyFill="1" applyAlignment="1">
      <alignment vertical="center"/>
    </xf>
    <xf numFmtId="4" fontId="18" fillId="3" borderId="10" xfId="0" applyNumberFormat="1" applyFont="1" applyFill="1" applyBorder="1" applyAlignment="1">
      <alignment vertical="center"/>
    </xf>
    <xf numFmtId="0" fontId="18" fillId="3" borderId="10" xfId="0" applyFont="1" applyFill="1" applyBorder="1" applyAlignment="1">
      <alignment vertical="center"/>
    </xf>
    <xf numFmtId="0" fontId="2" fillId="3" borderId="10" xfId="0" applyFont="1" applyFill="1" applyBorder="1" applyAlignment="1">
      <alignment vertical="center"/>
    </xf>
    <xf numFmtId="0" fontId="34" fillId="0" borderId="0" xfId="0" applyFont="1" applyAlignment="1">
      <alignment horizontal="justify" wrapText="1"/>
    </xf>
    <xf numFmtId="0" fontId="2" fillId="0" borderId="0" xfId="0" applyFont="1" applyAlignment="1">
      <alignment horizontal="justify"/>
    </xf>
    <xf numFmtId="0" fontId="18" fillId="3" borderId="31" xfId="0" applyFont="1" applyFill="1" applyBorder="1" applyAlignment="1">
      <alignment horizontal="center" vertical="center" shrinkToFit="1"/>
    </xf>
    <xf numFmtId="0" fontId="18" fillId="3" borderId="9" xfId="0" applyFont="1" applyFill="1" applyBorder="1" applyAlignment="1">
      <alignment horizontal="center" vertical="center" shrinkToFit="1"/>
    </xf>
    <xf numFmtId="0" fontId="18" fillId="3" borderId="32" xfId="0" applyFont="1" applyFill="1" applyBorder="1" applyAlignment="1">
      <alignment horizontal="center" vertical="center" shrinkToFit="1"/>
    </xf>
    <xf numFmtId="0" fontId="113" fillId="9" borderId="0" xfId="0" applyFont="1" applyFill="1" applyAlignment="1">
      <alignment horizontal="justify" vertical="center" wrapText="1"/>
    </xf>
    <xf numFmtId="0" fontId="113" fillId="9" borderId="0" xfId="0" applyFont="1" applyFill="1" applyAlignment="1">
      <alignment horizontal="justify" vertical="center"/>
    </xf>
    <xf numFmtId="0" fontId="113" fillId="9" borderId="0" xfId="0" applyFont="1" applyFill="1" applyAlignment="1">
      <alignment vertical="center"/>
    </xf>
    <xf numFmtId="0" fontId="2" fillId="9" borderId="0" xfId="0" applyFont="1" applyFill="1" applyAlignment="1">
      <alignment horizontal="justify" wrapText="1"/>
    </xf>
    <xf numFmtId="0" fontId="7" fillId="9" borderId="0" xfId="0" applyFont="1" applyFill="1" applyAlignment="1">
      <alignment horizontal="justify"/>
    </xf>
    <xf numFmtId="0" fontId="16" fillId="9" borderId="0" xfId="0" applyFont="1" applyFill="1" applyAlignment="1">
      <alignment horizontal="justify"/>
    </xf>
    <xf numFmtId="49" fontId="2" fillId="9" borderId="0" xfId="0" applyNumberFormat="1" applyFont="1" applyFill="1" applyAlignment="1">
      <alignment horizontal="justify" vertical="center" wrapText="1"/>
    </xf>
    <xf numFmtId="49" fontId="7" fillId="9" borderId="0" xfId="0" applyNumberFormat="1" applyFont="1" applyFill="1" applyAlignment="1">
      <alignment horizontal="justify" vertical="center"/>
    </xf>
    <xf numFmtId="49" fontId="16" fillId="9" borderId="0" xfId="0" applyNumberFormat="1" applyFont="1" applyFill="1" applyAlignment="1">
      <alignment horizontal="justify" vertical="center"/>
    </xf>
    <xf numFmtId="4" fontId="7" fillId="0" borderId="0" xfId="0" applyNumberFormat="1" applyFont="1" applyAlignment="1" applyProtection="1">
      <alignment horizontal="justify" wrapText="1"/>
      <protection locked="0"/>
    </xf>
    <xf numFmtId="0" fontId="7" fillId="0" borderId="0" xfId="0" applyFont="1" applyAlignment="1">
      <alignment horizontal="justify"/>
    </xf>
    <xf numFmtId="9" fontId="14" fillId="9" borderId="34" xfId="0" applyNumberFormat="1" applyFont="1" applyFill="1" applyBorder="1" applyAlignment="1">
      <alignment horizontal="center" vertical="center"/>
    </xf>
    <xf numFmtId="9" fontId="14" fillId="9" borderId="68" xfId="0" applyNumberFormat="1" applyFont="1" applyFill="1" applyBorder="1" applyAlignment="1">
      <alignment horizontal="center" vertical="center"/>
    </xf>
    <xf numFmtId="0" fontId="14" fillId="9" borderId="62" xfId="0" applyFont="1" applyFill="1" applyBorder="1" applyAlignment="1">
      <alignment horizontal="center" vertical="center" wrapText="1"/>
    </xf>
    <xf numFmtId="0" fontId="14" fillId="9" borderId="34" xfId="0" applyFont="1" applyFill="1" applyBorder="1" applyAlignment="1">
      <alignment horizontal="center" vertical="center"/>
    </xf>
    <xf numFmtId="168" fontId="1" fillId="3" borderId="69" xfId="0" applyNumberFormat="1" applyFont="1" applyFill="1" applyBorder="1" applyAlignment="1">
      <alignment vertical="center"/>
    </xf>
    <xf numFmtId="168" fontId="2" fillId="3" borderId="33" xfId="0" applyNumberFormat="1" applyFont="1" applyFill="1" applyBorder="1" applyAlignment="1">
      <alignment vertical="center"/>
    </xf>
    <xf numFmtId="0" fontId="2" fillId="3" borderId="33" xfId="0" applyFont="1" applyFill="1" applyBorder="1" applyAlignment="1">
      <alignment vertical="center"/>
    </xf>
    <xf numFmtId="0" fontId="2" fillId="3" borderId="70" xfId="0" applyFont="1" applyFill="1" applyBorder="1" applyAlignment="1">
      <alignment vertical="center"/>
    </xf>
    <xf numFmtId="0" fontId="22" fillId="3" borderId="3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2" fillId="3" borderId="63" xfId="0" applyFont="1" applyFill="1" applyBorder="1" applyAlignment="1">
      <alignment horizontal="center" vertical="center" wrapText="1"/>
    </xf>
    <xf numFmtId="4" fontId="18" fillId="3" borderId="22" xfId="0" applyNumberFormat="1" applyFont="1" applyFill="1" applyBorder="1" applyAlignment="1">
      <alignment horizontal="right" vertical="center"/>
    </xf>
    <xf numFmtId="4" fontId="18" fillId="3" borderId="23" xfId="0" applyNumberFormat="1" applyFont="1" applyFill="1" applyBorder="1" applyAlignment="1">
      <alignment horizontal="right" vertical="center"/>
    </xf>
    <xf numFmtId="0" fontId="11" fillId="3" borderId="31"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32" xfId="0" applyFont="1" applyFill="1" applyBorder="1" applyAlignment="1">
      <alignment horizontal="center" vertical="center" wrapText="1"/>
    </xf>
    <xf numFmtId="0" fontId="37" fillId="3" borderId="31" xfId="0" applyFont="1" applyFill="1" applyBorder="1" applyAlignment="1">
      <alignment horizontal="center" vertical="center"/>
    </xf>
    <xf numFmtId="0" fontId="37" fillId="3" borderId="9" xfId="0" applyFont="1" applyFill="1" applyBorder="1" applyAlignment="1">
      <alignment horizontal="center" vertical="center"/>
    </xf>
    <xf numFmtId="0" fontId="37" fillId="3" borderId="32" xfId="0" applyFont="1" applyFill="1" applyBorder="1" applyAlignment="1">
      <alignment horizontal="center" vertical="center"/>
    </xf>
    <xf numFmtId="0" fontId="16" fillId="0" borderId="0" xfId="0" applyFont="1" applyAlignment="1">
      <alignment horizontal="right"/>
    </xf>
    <xf numFmtId="4" fontId="7" fillId="0" borderId="0" xfId="0" applyNumberFormat="1" applyFont="1"/>
    <xf numFmtId="4" fontId="16" fillId="0" borderId="0" xfId="0" applyNumberFormat="1" applyFont="1"/>
    <xf numFmtId="175" fontId="13" fillId="0" borderId="55" xfId="0" applyNumberFormat="1" applyFont="1" applyBorder="1" applyAlignment="1">
      <alignment vertical="center"/>
    </xf>
    <xf numFmtId="164" fontId="7" fillId="0" borderId="0" xfId="0" applyNumberFormat="1" applyFont="1" applyAlignment="1">
      <alignment horizontal="left"/>
    </xf>
    <xf numFmtId="0" fontId="7" fillId="0" borderId="0" xfId="0" applyFont="1" applyAlignment="1">
      <alignment horizontal="left"/>
    </xf>
    <xf numFmtId="0" fontId="7" fillId="3" borderId="31" xfId="0" applyFont="1" applyFill="1" applyBorder="1"/>
    <xf numFmtId="0" fontId="16" fillId="3" borderId="9" xfId="0" applyFont="1" applyFill="1" applyBorder="1"/>
    <xf numFmtId="1" fontId="20" fillId="3" borderId="31" xfId="0" applyNumberFormat="1" applyFont="1" applyFill="1" applyBorder="1" applyAlignment="1">
      <alignment horizontal="center" vertical="center" wrapText="1"/>
    </xf>
    <xf numFmtId="1" fontId="20" fillId="3" borderId="32" xfId="0" applyNumberFormat="1" applyFont="1" applyFill="1" applyBorder="1" applyAlignment="1">
      <alignment horizontal="center" vertical="center"/>
    </xf>
    <xf numFmtId="175" fontId="12" fillId="0" borderId="54" xfId="0" applyNumberFormat="1" applyFont="1" applyBorder="1" applyAlignment="1">
      <alignment horizontal="right" vertical="center"/>
    </xf>
    <xf numFmtId="175" fontId="8" fillId="0" borderId="54" xfId="0" applyNumberFormat="1" applyFont="1" applyBorder="1" applyAlignment="1">
      <alignment horizontal="right" vertical="center"/>
    </xf>
    <xf numFmtId="1" fontId="20" fillId="11" borderId="55" xfId="0" applyNumberFormat="1" applyFont="1" applyFill="1" applyBorder="1" applyAlignment="1">
      <alignment horizontal="center" vertical="center"/>
    </xf>
    <xf numFmtId="0" fontId="2" fillId="11" borderId="55" xfId="0" applyFont="1" applyFill="1" applyBorder="1" applyAlignment="1">
      <alignment vertical="center"/>
    </xf>
    <xf numFmtId="0" fontId="14" fillId="9" borderId="62" xfId="0" applyFont="1" applyFill="1" applyBorder="1" applyAlignment="1">
      <alignment horizontal="center" vertical="center"/>
    </xf>
    <xf numFmtId="0" fontId="14" fillId="9" borderId="35" xfId="0" applyFont="1" applyFill="1" applyBorder="1" applyAlignment="1">
      <alignment horizontal="center" vertical="center"/>
    </xf>
    <xf numFmtId="0" fontId="2" fillId="0" borderId="0" xfId="3" applyAlignment="1">
      <alignment horizontal="justify"/>
    </xf>
    <xf numFmtId="0" fontId="2" fillId="0" borderId="0" xfId="3"/>
    <xf numFmtId="172" fontId="24" fillId="0" borderId="0" xfId="0" applyNumberFormat="1" applyFont="1" applyAlignment="1">
      <alignment horizontal="left"/>
    </xf>
    <xf numFmtId="172" fontId="7" fillId="0" borderId="0" xfId="0" applyNumberFormat="1" applyFont="1"/>
    <xf numFmtId="164" fontId="18" fillId="3" borderId="9" xfId="0" applyNumberFormat="1" applyFont="1" applyFill="1" applyBorder="1" applyAlignment="1">
      <alignment horizontal="justify"/>
    </xf>
    <xf numFmtId="0" fontId="26" fillId="3" borderId="9" xfId="0" applyFont="1" applyFill="1" applyBorder="1" applyAlignment="1">
      <alignment horizontal="justify"/>
    </xf>
    <xf numFmtId="0" fontId="7" fillId="0" borderId="0" xfId="0" quotePrefix="1" applyFont="1" applyAlignment="1">
      <alignment horizontal="center"/>
    </xf>
    <xf numFmtId="0" fontId="7" fillId="0" borderId="0" xfId="0" applyFont="1"/>
    <xf numFmtId="41" fontId="12" fillId="0" borderId="55" xfId="4" applyNumberFormat="1" applyFont="1" applyBorder="1" applyAlignment="1">
      <alignment horizontal="left" vertical="center" wrapText="1"/>
    </xf>
    <xf numFmtId="0" fontId="18" fillId="0" borderId="0" xfId="0" applyFont="1"/>
    <xf numFmtId="170" fontId="26" fillId="0" borderId="0" xfId="0" applyNumberFormat="1" applyFont="1" applyAlignment="1">
      <alignment horizontal="left"/>
    </xf>
    <xf numFmtId="170" fontId="37" fillId="0" borderId="0" xfId="0" applyNumberFormat="1" applyFont="1" applyAlignment="1">
      <alignment horizontal="left"/>
    </xf>
    <xf numFmtId="175" fontId="12" fillId="0" borderId="51" xfId="0" applyNumberFormat="1" applyFont="1" applyBorder="1" applyAlignment="1">
      <alignment horizontal="left" vertical="center" wrapText="1"/>
    </xf>
    <xf numFmtId="175" fontId="12" fillId="0" borderId="52" xfId="0" applyNumberFormat="1" applyFont="1" applyBorder="1" applyAlignment="1">
      <alignment horizontal="left" vertical="center" wrapText="1"/>
    </xf>
    <xf numFmtId="164" fontId="8" fillId="0" borderId="0" xfId="0" applyNumberFormat="1" applyFont="1"/>
    <xf numFmtId="0" fontId="8" fillId="0" borderId="0" xfId="0" applyFont="1"/>
    <xf numFmtId="0" fontId="8" fillId="0" borderId="0" xfId="0" applyFont="1" applyAlignment="1">
      <alignment horizontal="right"/>
    </xf>
    <xf numFmtId="0" fontId="37" fillId="3" borderId="14" xfId="0" applyFont="1" applyFill="1" applyBorder="1" applyAlignment="1">
      <alignment horizontal="right" vertical="center"/>
    </xf>
    <xf numFmtId="0" fontId="21" fillId="3" borderId="14" xfId="0" applyFont="1" applyFill="1" applyBorder="1" applyAlignment="1">
      <alignment horizontal="right" vertical="center"/>
    </xf>
    <xf numFmtId="164" fontId="21" fillId="3" borderId="14" xfId="0" applyNumberFormat="1" applyFont="1" applyFill="1" applyBorder="1" applyAlignment="1">
      <alignment vertical="center"/>
    </xf>
    <xf numFmtId="0" fontId="8" fillId="3" borderId="14" xfId="0" applyFont="1" applyFill="1" applyBorder="1" applyAlignment="1">
      <alignment vertical="center"/>
    </xf>
    <xf numFmtId="0" fontId="21" fillId="0" borderId="57" xfId="0" applyFont="1" applyBorder="1" applyAlignment="1">
      <alignment horizontal="justify" vertical="center"/>
    </xf>
    <xf numFmtId="0" fontId="37" fillId="0" borderId="57" xfId="0" applyFont="1" applyBorder="1" applyAlignment="1">
      <alignment horizontal="justify" vertical="center"/>
    </xf>
    <xf numFmtId="0" fontId="19" fillId="0" borderId="57" xfId="0" applyFont="1" applyBorder="1"/>
    <xf numFmtId="164" fontId="18" fillId="3" borderId="12" xfId="0" applyNumberFormat="1" applyFont="1" applyFill="1" applyBorder="1" applyAlignment="1">
      <alignment horizontal="right"/>
    </xf>
    <xf numFmtId="0" fontId="18" fillId="3" borderId="12" xfId="0" applyFont="1" applyFill="1" applyBorder="1"/>
    <xf numFmtId="0" fontId="7" fillId="3" borderId="9" xfId="0" applyFont="1" applyFill="1" applyBorder="1" applyAlignment="1">
      <alignment horizontal="justify"/>
    </xf>
    <xf numFmtId="0" fontId="16" fillId="3" borderId="32" xfId="0" applyFont="1" applyFill="1" applyBorder="1"/>
    <xf numFmtId="0" fontId="14" fillId="0" borderId="31" xfId="0" applyFont="1" applyBorder="1" applyAlignment="1">
      <alignment horizontal="justify" vertical="center"/>
    </xf>
    <xf numFmtId="0" fontId="14" fillId="0" borderId="9" xfId="0" applyFont="1" applyBorder="1" applyAlignment="1">
      <alignment horizontal="justify" vertical="center"/>
    </xf>
    <xf numFmtId="0" fontId="14" fillId="0" borderId="32" xfId="0" applyFont="1" applyBorder="1" applyAlignment="1">
      <alignment horizontal="justify" vertical="center"/>
    </xf>
    <xf numFmtId="4" fontId="14" fillId="0" borderId="31" xfId="0" applyNumberFormat="1"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168" fontId="14" fillId="0" borderId="31" xfId="0" applyNumberFormat="1" applyFont="1" applyBorder="1" applyAlignment="1">
      <alignment vertical="center"/>
    </xf>
    <xf numFmtId="168" fontId="14" fillId="0" borderId="9" xfId="0" applyNumberFormat="1" applyFont="1" applyBorder="1" applyAlignment="1">
      <alignment vertical="center"/>
    </xf>
    <xf numFmtId="168" fontId="14" fillId="0" borderId="32" xfId="0" applyNumberFormat="1" applyFont="1" applyBorder="1" applyAlignment="1">
      <alignment vertical="center"/>
    </xf>
    <xf numFmtId="0" fontId="28" fillId="0" borderId="0" xfId="0" applyFont="1"/>
    <xf numFmtId="4" fontId="2" fillId="9" borderId="0" xfId="0" applyNumberFormat="1" applyFont="1" applyFill="1" applyAlignment="1" applyProtection="1">
      <alignment horizontal="justify" wrapText="1"/>
      <protection locked="0"/>
    </xf>
    <xf numFmtId="0" fontId="37" fillId="3" borderId="9" xfId="0" applyFont="1" applyFill="1" applyBorder="1" applyAlignment="1">
      <alignment horizontal="center" vertical="center" wrapText="1"/>
    </xf>
    <xf numFmtId="0" fontId="37" fillId="3" borderId="63" xfId="0" applyFont="1" applyFill="1" applyBorder="1" applyAlignment="1">
      <alignment horizontal="center" vertical="center"/>
    </xf>
    <xf numFmtId="0" fontId="88" fillId="9" borderId="0" xfId="0" quotePrefix="1" applyFont="1" applyFill="1" applyAlignment="1">
      <alignment horizontal="left" vertical="center" wrapText="1"/>
    </xf>
    <xf numFmtId="0" fontId="88" fillId="9" borderId="0" xfId="0" applyFont="1" applyFill="1" applyAlignment="1">
      <alignment horizontal="left" vertical="center" wrapText="1"/>
    </xf>
    <xf numFmtId="10" fontId="8" fillId="0" borderId="0" xfId="6" applyNumberFormat="1" applyFont="1"/>
    <xf numFmtId="0" fontId="19" fillId="0" borderId="0" xfId="0" applyFont="1"/>
    <xf numFmtId="0" fontId="12" fillId="0" borderId="55" xfId="2" applyNumberFormat="1" applyFont="1" applyFill="1" applyBorder="1" applyAlignment="1">
      <alignment horizontal="right" vertical="center" wrapText="1"/>
    </xf>
    <xf numFmtId="3" fontId="12" fillId="0" borderId="55" xfId="2" applyNumberFormat="1" applyFont="1" applyFill="1" applyBorder="1" applyAlignment="1">
      <alignment horizontal="right" vertical="center"/>
    </xf>
    <xf numFmtId="3" fontId="8" fillId="0" borderId="55" xfId="2" applyNumberFormat="1" applyFont="1" applyFill="1" applyBorder="1" applyAlignment="1">
      <alignment horizontal="right" vertical="center"/>
    </xf>
    <xf numFmtId="164" fontId="37" fillId="3" borderId="14" xfId="0" applyNumberFormat="1" applyFont="1" applyFill="1" applyBorder="1" applyAlignment="1">
      <alignment vertical="center"/>
    </xf>
    <xf numFmtId="0" fontId="19" fillId="3" borderId="14" xfId="0" applyFont="1" applyFill="1" applyBorder="1" applyAlignment="1">
      <alignment vertical="center"/>
    </xf>
    <xf numFmtId="164" fontId="2" fillId="0" borderId="0" xfId="0" applyNumberFormat="1" applyFont="1" applyAlignment="1">
      <alignment horizontal="left"/>
    </xf>
    <xf numFmtId="170" fontId="8" fillId="0" borderId="0" xfId="0" applyNumberFormat="1" applyFont="1"/>
    <xf numFmtId="0" fontId="44" fillId="0" borderId="0" xfId="0" applyFont="1"/>
    <xf numFmtId="4" fontId="7" fillId="0" borderId="0" xfId="0" applyNumberFormat="1" applyFont="1" applyAlignment="1" applyProtection="1">
      <alignment horizontal="justify" vertical="center" wrapText="1"/>
      <protection locked="0"/>
    </xf>
    <xf numFmtId="0" fontId="7" fillId="0" borderId="0" xfId="0" applyFont="1" applyAlignment="1">
      <alignment horizontal="justify" vertical="center"/>
    </xf>
    <xf numFmtId="0" fontId="16" fillId="0" borderId="0" xfId="0" applyFont="1" applyAlignment="1">
      <alignment horizontal="justify"/>
    </xf>
    <xf numFmtId="0" fontId="14" fillId="0" borderId="62" xfId="0" applyFont="1" applyBorder="1" applyAlignment="1">
      <alignment horizontal="center"/>
    </xf>
    <xf numFmtId="0" fontId="14" fillId="0" borderId="34" xfId="0" applyFont="1" applyBorder="1" applyAlignment="1">
      <alignment horizontal="center"/>
    </xf>
    <xf numFmtId="0" fontId="14" fillId="0" borderId="35" xfId="0" applyFont="1" applyBorder="1" applyAlignment="1">
      <alignment horizontal="center"/>
    </xf>
    <xf numFmtId="0" fontId="27" fillId="0" borderId="0" xfId="0" applyFont="1" applyAlignment="1">
      <alignment horizontal="justify"/>
    </xf>
    <xf numFmtId="0" fontId="2" fillId="0" borderId="19" xfId="3" applyBorder="1" applyAlignment="1">
      <alignment horizontal="center" vertical="top" wrapText="1"/>
    </xf>
    <xf numFmtId="0" fontId="2" fillId="0" borderId="38" xfId="3" applyBorder="1" applyAlignment="1">
      <alignment horizontal="center" vertical="top" wrapText="1"/>
    </xf>
    <xf numFmtId="0" fontId="2" fillId="0" borderId="0" xfId="3" applyAlignment="1">
      <alignment horizontal="center" vertical="top" wrapText="1"/>
    </xf>
    <xf numFmtId="0" fontId="2" fillId="0" borderId="40" xfId="3" applyBorder="1" applyAlignment="1">
      <alignment horizontal="center" vertical="top" wrapText="1"/>
    </xf>
    <xf numFmtId="0" fontId="2" fillId="0" borderId="5" xfId="3" applyBorder="1" applyAlignment="1">
      <alignment horizontal="center" vertical="top" wrapText="1"/>
    </xf>
    <xf numFmtId="0" fontId="2" fillId="0" borderId="42" xfId="3" applyBorder="1" applyAlignment="1">
      <alignment horizontal="center" vertical="top" wrapText="1"/>
    </xf>
    <xf numFmtId="0" fontId="2" fillId="0" borderId="0" xfId="0" applyFont="1" applyAlignment="1">
      <alignment horizontal="justify" vertical="center"/>
    </xf>
    <xf numFmtId="0" fontId="38" fillId="0" borderId="0" xfId="0" applyFont="1" applyAlignment="1">
      <alignment vertical="top"/>
    </xf>
    <xf numFmtId="168" fontId="7" fillId="0" borderId="67" xfId="0" applyNumberFormat="1" applyFont="1" applyBorder="1" applyAlignment="1">
      <alignment horizontal="center" vertical="center"/>
    </xf>
    <xf numFmtId="0" fontId="9" fillId="0" borderId="0" xfId="0" quotePrefix="1" applyFont="1" applyAlignment="1">
      <alignment horizontal="center"/>
    </xf>
    <xf numFmtId="168" fontId="1" fillId="3" borderId="33" xfId="0" applyNumberFormat="1" applyFont="1" applyFill="1" applyBorder="1" applyAlignment="1">
      <alignment vertical="center"/>
    </xf>
    <xf numFmtId="0" fontId="2" fillId="3" borderId="67" xfId="0" applyFont="1" applyFill="1" applyBorder="1" applyAlignment="1">
      <alignment vertical="center"/>
    </xf>
    <xf numFmtId="0" fontId="17" fillId="3" borderId="31" xfId="0" applyFont="1" applyFill="1" applyBorder="1" applyAlignment="1">
      <alignment horizontal="center" vertical="center" wrapText="1"/>
    </xf>
    <xf numFmtId="0" fontId="17" fillId="3" borderId="9" xfId="0" applyFont="1" applyFill="1" applyBorder="1" applyAlignment="1">
      <alignment horizontal="center" vertical="center"/>
    </xf>
    <xf numFmtId="0" fontId="17" fillId="3" borderId="32" xfId="0" applyFont="1" applyFill="1" applyBorder="1" applyAlignment="1">
      <alignment horizontal="center" vertical="center"/>
    </xf>
    <xf numFmtId="170" fontId="16" fillId="0" borderId="0" xfId="0" applyNumberFormat="1" applyFont="1" applyAlignment="1">
      <alignment horizontal="left"/>
    </xf>
    <xf numFmtId="0" fontId="27" fillId="0" borderId="0" xfId="0" applyFont="1" applyAlignment="1">
      <alignment horizontal="left"/>
    </xf>
    <xf numFmtId="182" fontId="2" fillId="0" borderId="0" xfId="0" applyNumberFormat="1" applyFont="1" applyAlignment="1">
      <alignment vertical="center"/>
    </xf>
    <xf numFmtId="182" fontId="7" fillId="9" borderId="0" xfId="0" applyNumberFormat="1" applyFont="1" applyFill="1" applyAlignment="1">
      <alignment vertical="center"/>
    </xf>
    <xf numFmtId="182" fontId="16" fillId="9" borderId="0" xfId="0" applyNumberFormat="1" applyFont="1" applyFill="1" applyAlignment="1">
      <alignment vertical="center"/>
    </xf>
    <xf numFmtId="10" fontId="18" fillId="0" borderId="0" xfId="0" applyNumberFormat="1" applyFont="1" applyAlignment="1">
      <alignment horizontal="center"/>
    </xf>
    <xf numFmtId="0" fontId="26" fillId="0" borderId="0" xfId="0" applyFont="1"/>
    <xf numFmtId="10" fontId="37" fillId="0" borderId="106" xfId="6" applyNumberFormat="1" applyFont="1" applyBorder="1"/>
    <xf numFmtId="0" fontId="19" fillId="0" borderId="106" xfId="0" applyFont="1" applyBorder="1"/>
    <xf numFmtId="9" fontId="8" fillId="0" borderId="0" xfId="6" applyFont="1" applyAlignment="1">
      <alignment horizontal="center"/>
    </xf>
    <xf numFmtId="169" fontId="8" fillId="0" borderId="0" xfId="0" applyNumberFormat="1" applyFont="1"/>
    <xf numFmtId="9" fontId="8" fillId="0" borderId="0" xfId="6" applyFont="1" applyBorder="1" applyAlignment="1">
      <alignment horizontal="center"/>
    </xf>
    <xf numFmtId="0" fontId="37" fillId="3" borderId="108" xfId="0" applyFont="1" applyFill="1" applyBorder="1" applyAlignment="1">
      <alignment horizontal="right" vertical="center"/>
    </xf>
    <xf numFmtId="0" fontId="19" fillId="3" borderId="108" xfId="0" applyFont="1" applyFill="1" applyBorder="1" applyAlignment="1">
      <alignment horizontal="right" vertical="center"/>
    </xf>
    <xf numFmtId="164" fontId="37" fillId="3" borderId="108" xfId="0" applyNumberFormat="1" applyFont="1" applyFill="1" applyBorder="1" applyAlignment="1">
      <alignment vertical="center"/>
    </xf>
    <xf numFmtId="0" fontId="19" fillId="3" borderId="108" xfId="0" applyFont="1" applyFill="1" applyBorder="1" applyAlignment="1">
      <alignment vertical="center"/>
    </xf>
    <xf numFmtId="164" fontId="8" fillId="0" borderId="5" xfId="0" applyNumberFormat="1" applyFont="1" applyBorder="1"/>
    <xf numFmtId="0" fontId="8" fillId="0" borderId="5" xfId="0" applyFont="1" applyBorder="1"/>
    <xf numFmtId="0" fontId="21" fillId="0" borderId="0" xfId="0" applyFont="1" applyAlignment="1">
      <alignment horizontal="justify" vertical="center"/>
    </xf>
    <xf numFmtId="0" fontId="37" fillId="0" borderId="0" xfId="0" applyFont="1" applyAlignment="1">
      <alignment horizontal="justify" vertical="center"/>
    </xf>
    <xf numFmtId="0" fontId="19" fillId="0" borderId="0" xfId="0" applyFont="1" applyAlignment="1">
      <alignment horizontal="right"/>
    </xf>
    <xf numFmtId="0" fontId="21" fillId="4" borderId="14" xfId="0" applyFont="1" applyFill="1" applyBorder="1" applyAlignment="1">
      <alignment horizontal="right" vertical="center"/>
    </xf>
    <xf numFmtId="164" fontId="21" fillId="4" borderId="14" xfId="0" applyNumberFormat="1" applyFont="1" applyFill="1" applyBorder="1" applyAlignment="1">
      <alignment vertical="center"/>
    </xf>
    <xf numFmtId="0" fontId="8" fillId="4" borderId="14" xfId="0" applyFont="1" applyFill="1" applyBorder="1" applyAlignment="1">
      <alignment vertical="center"/>
    </xf>
    <xf numFmtId="4" fontId="14" fillId="0" borderId="9" xfId="0" applyNumberFormat="1" applyFont="1" applyBorder="1" applyAlignment="1">
      <alignment vertical="center"/>
    </xf>
    <xf numFmtId="0" fontId="14" fillId="0" borderId="31" xfId="0" applyFont="1" applyBorder="1" applyAlignment="1">
      <alignment horizontal="center" vertical="center"/>
    </xf>
    <xf numFmtId="164" fontId="11" fillId="3" borderId="12" xfId="0" applyNumberFormat="1" applyFont="1" applyFill="1" applyBorder="1" applyAlignment="1">
      <alignment horizontal="right" vertical="center"/>
    </xf>
    <xf numFmtId="164" fontId="14" fillId="3" borderId="12" xfId="0" applyNumberFormat="1" applyFont="1" applyFill="1" applyBorder="1" applyAlignment="1">
      <alignment vertical="center"/>
    </xf>
    <xf numFmtId="168" fontId="11" fillId="4" borderId="9" xfId="0" applyNumberFormat="1" applyFont="1" applyFill="1" applyBorder="1" applyAlignment="1">
      <alignment vertical="center"/>
    </xf>
    <xf numFmtId="0" fontId="14" fillId="4" borderId="9" xfId="0" applyFont="1" applyFill="1" applyBorder="1" applyAlignment="1">
      <alignment vertical="center"/>
    </xf>
    <xf numFmtId="0" fontId="14" fillId="4" borderId="32" xfId="0" applyFont="1" applyFill="1" applyBorder="1" applyAlignment="1">
      <alignment vertical="center"/>
    </xf>
    <xf numFmtId="10" fontId="22" fillId="4" borderId="9" xfId="0" applyNumberFormat="1" applyFont="1" applyFill="1" applyBorder="1" applyAlignment="1">
      <alignment vertical="center"/>
    </xf>
    <xf numFmtId="10" fontId="14" fillId="4" borderId="9" xfId="0" applyNumberFormat="1" applyFont="1" applyFill="1" applyBorder="1" applyAlignment="1">
      <alignment vertical="center"/>
    </xf>
    <xf numFmtId="10" fontId="14" fillId="4" borderId="32" xfId="0" applyNumberFormat="1" applyFont="1" applyFill="1" applyBorder="1" applyAlignment="1">
      <alignment vertical="center"/>
    </xf>
    <xf numFmtId="0" fontId="40" fillId="0" borderId="0" xfId="0" applyFont="1" applyAlignment="1">
      <alignment horizontal="center"/>
    </xf>
    <xf numFmtId="0" fontId="41" fillId="0" borderId="0" xfId="0" applyFont="1" applyAlignment="1">
      <alignment horizontal="center"/>
    </xf>
    <xf numFmtId="0" fontId="41" fillId="0" borderId="0" xfId="0" applyFont="1"/>
    <xf numFmtId="175" fontId="12" fillId="0" borderId="56" xfId="0" applyNumberFormat="1" applyFont="1" applyBorder="1" applyAlignment="1">
      <alignment horizontal="right" vertical="center"/>
    </xf>
    <xf numFmtId="175" fontId="8" fillId="0" borderId="56" xfId="0" applyNumberFormat="1" applyFont="1" applyBorder="1" applyAlignment="1">
      <alignment horizontal="right" vertical="center"/>
    </xf>
    <xf numFmtId="172" fontId="2" fillId="0" borderId="0" xfId="0" applyNumberFormat="1" applyFont="1"/>
    <xf numFmtId="175" fontId="12" fillId="0" borderId="31" xfId="0" applyNumberFormat="1" applyFont="1" applyBorder="1" applyAlignment="1">
      <alignment vertical="center" wrapText="1"/>
    </xf>
    <xf numFmtId="175" fontId="12" fillId="0" borderId="9" xfId="0" applyNumberFormat="1" applyFont="1" applyBorder="1" applyAlignment="1">
      <alignment vertical="center" wrapText="1"/>
    </xf>
    <xf numFmtId="0" fontId="22" fillId="4" borderId="31" xfId="0" applyFont="1" applyFill="1" applyBorder="1" applyAlignment="1">
      <alignment horizontal="center" vertical="center"/>
    </xf>
    <xf numFmtId="0" fontId="22" fillId="4" borderId="9" xfId="0" applyFont="1" applyFill="1" applyBorder="1" applyAlignment="1">
      <alignment horizontal="center" vertical="center"/>
    </xf>
    <xf numFmtId="0" fontId="22" fillId="4" borderId="31" xfId="0" applyFont="1" applyFill="1" applyBorder="1" applyAlignment="1">
      <alignment horizontal="center" vertical="center" wrapText="1"/>
    </xf>
    <xf numFmtId="0" fontId="22" fillId="4" borderId="32" xfId="0" applyFont="1" applyFill="1" applyBorder="1" applyAlignment="1">
      <alignment horizontal="center" vertical="center"/>
    </xf>
    <xf numFmtId="0" fontId="22" fillId="4" borderId="9" xfId="0" applyFont="1" applyFill="1" applyBorder="1" applyAlignment="1">
      <alignment horizontal="center" vertical="center" wrapText="1"/>
    </xf>
    <xf numFmtId="172" fontId="26" fillId="0" borderId="0" xfId="0" applyNumberFormat="1" applyFont="1" applyAlignment="1">
      <alignment horizontal="left"/>
    </xf>
    <xf numFmtId="4" fontId="2" fillId="0" borderId="3" xfId="0" applyNumberFormat="1" applyFont="1" applyBorder="1"/>
    <xf numFmtId="0" fontId="125" fillId="0" borderId="58" xfId="0" applyFont="1" applyBorder="1" applyAlignment="1">
      <alignment horizontal="justify" vertical="center"/>
    </xf>
    <xf numFmtId="0" fontId="90" fillId="0" borderId="58" xfId="0" applyFont="1" applyBorder="1"/>
    <xf numFmtId="0" fontId="79" fillId="0" borderId="0" xfId="0" applyFont="1" applyAlignment="1">
      <alignment horizontal="center"/>
    </xf>
    <xf numFmtId="0" fontId="80" fillId="0" borderId="0" xfId="0" applyFont="1" applyAlignment="1">
      <alignment horizontal="center"/>
    </xf>
    <xf numFmtId="169" fontId="2" fillId="0" borderId="0" xfId="0" applyNumberFormat="1" applyFont="1" applyAlignment="1">
      <alignment horizontal="right"/>
    </xf>
    <xf numFmtId="169" fontId="2" fillId="0" borderId="0" xfId="0" applyNumberFormat="1" applyFont="1"/>
    <xf numFmtId="167" fontId="24" fillId="0" borderId="0" xfId="0" applyNumberFormat="1" applyFont="1" applyAlignment="1">
      <alignment horizontal="left"/>
    </xf>
    <xf numFmtId="166" fontId="7" fillId="0" borderId="0" xfId="0" applyNumberFormat="1" applyFont="1" applyAlignment="1">
      <alignment horizontal="left"/>
    </xf>
    <xf numFmtId="164" fontId="7" fillId="0" borderId="0" xfId="0" applyNumberFormat="1" applyFont="1" applyAlignment="1">
      <alignment horizontal="center"/>
    </xf>
    <xf numFmtId="2" fontId="2" fillId="0" borderId="0" xfId="0" applyNumberFormat="1" applyFont="1" applyAlignment="1">
      <alignment horizontal="center"/>
    </xf>
    <xf numFmtId="166" fontId="2" fillId="0" borderId="0" xfId="0" applyNumberFormat="1" applyFont="1" applyAlignment="1">
      <alignment horizontal="left"/>
    </xf>
    <xf numFmtId="2" fontId="29" fillId="0" borderId="0" xfId="0" applyNumberFormat="1" applyFont="1" applyAlignment="1">
      <alignment horizontal="center"/>
    </xf>
    <xf numFmtId="164" fontId="7" fillId="0" borderId="3" xfId="0" applyNumberFormat="1" applyFont="1" applyBorder="1" applyAlignment="1">
      <alignment horizontal="center"/>
    </xf>
    <xf numFmtId="2" fontId="2" fillId="0" borderId="3" xfId="0" applyNumberFormat="1" applyFont="1" applyBorder="1" applyAlignment="1">
      <alignment horizontal="center"/>
    </xf>
    <xf numFmtId="0" fontId="2" fillId="0" borderId="3" xfId="0" applyFont="1" applyBorder="1" applyAlignment="1">
      <alignment horizontal="center"/>
    </xf>
    <xf numFmtId="169" fontId="18" fillId="3" borderId="12" xfId="0" applyNumberFormat="1" applyFont="1" applyFill="1" applyBorder="1" applyAlignment="1">
      <alignment horizontal="right"/>
    </xf>
    <xf numFmtId="169" fontId="18" fillId="3" borderId="12" xfId="0" applyNumberFormat="1" applyFont="1" applyFill="1" applyBorder="1"/>
    <xf numFmtId="0" fontId="12" fillId="0" borderId="54" xfId="2" applyNumberFormat="1" applyFont="1" applyFill="1" applyBorder="1" applyAlignment="1">
      <alignment horizontal="right" vertical="center" wrapText="1"/>
    </xf>
    <xf numFmtId="3" fontId="12" fillId="0" borderId="54" xfId="2" applyNumberFormat="1" applyFont="1" applyFill="1" applyBorder="1" applyAlignment="1">
      <alignment horizontal="right" vertical="center"/>
    </xf>
    <xf numFmtId="3" fontId="8" fillId="0" borderId="54" xfId="2" applyNumberFormat="1" applyFont="1" applyFill="1" applyBorder="1" applyAlignment="1">
      <alignment horizontal="right" vertical="center"/>
    </xf>
    <xf numFmtId="172" fontId="2" fillId="0" borderId="0" xfId="0" applyNumberFormat="1" applyFont="1" applyAlignment="1">
      <alignment horizontal="left"/>
    </xf>
    <xf numFmtId="0" fontId="8" fillId="4" borderId="0" xfId="0" applyFont="1" applyFill="1" applyAlignment="1">
      <alignment horizontal="right"/>
    </xf>
    <xf numFmtId="0" fontId="38" fillId="0" borderId="0" xfId="0" applyFont="1" applyAlignment="1">
      <alignment vertical="center"/>
    </xf>
    <xf numFmtId="0" fontId="2" fillId="0" borderId="0" xfId="0" applyFont="1" applyAlignment="1">
      <alignment horizontal="justify" vertical="center" wrapText="1"/>
    </xf>
    <xf numFmtId="0" fontId="16" fillId="0" borderId="0" xfId="0" applyFont="1" applyAlignment="1">
      <alignment horizontal="justify" vertical="center" wrapText="1"/>
    </xf>
    <xf numFmtId="0" fontId="2" fillId="0" borderId="45" xfId="3" applyBorder="1" applyAlignment="1">
      <alignment horizontal="center" vertical="center" wrapText="1"/>
    </xf>
    <xf numFmtId="0" fontId="2" fillId="0" borderId="46" xfId="3" applyBorder="1" applyAlignment="1">
      <alignment horizontal="center" vertical="center" wrapText="1"/>
    </xf>
    <xf numFmtId="0" fontId="2" fillId="0" borderId="37" xfId="3" applyBorder="1" applyAlignment="1">
      <alignment horizontal="center" vertical="top" wrapText="1"/>
    </xf>
    <xf numFmtId="0" fontId="2" fillId="0" borderId="39" xfId="3" applyBorder="1" applyAlignment="1">
      <alignment horizontal="center" vertical="top" wrapText="1"/>
    </xf>
    <xf numFmtId="0" fontId="2" fillId="0" borderId="41" xfId="3" applyBorder="1" applyAlignment="1">
      <alignment horizontal="center" vertical="top" wrapText="1"/>
    </xf>
    <xf numFmtId="0" fontId="2" fillId="0" borderId="0" xfId="0" applyFont="1" applyAlignment="1">
      <alignment horizontal="justify" vertical="top" wrapText="1"/>
    </xf>
    <xf numFmtId="0" fontId="16" fillId="0" borderId="0" xfId="0" applyFont="1" applyAlignment="1">
      <alignment horizontal="justify" wrapText="1"/>
    </xf>
    <xf numFmtId="0" fontId="68" fillId="0" borderId="45" xfId="4" applyFont="1" applyBorder="1" applyAlignment="1">
      <alignment horizontal="center" vertical="center"/>
    </xf>
    <xf numFmtId="0" fontId="68" fillId="0" borderId="85" xfId="4" applyFont="1" applyBorder="1" applyAlignment="1">
      <alignment horizontal="center" vertical="center"/>
    </xf>
    <xf numFmtId="0" fontId="68" fillId="0" borderId="46" xfId="4" applyFont="1" applyBorder="1" applyAlignment="1">
      <alignment horizontal="center" vertical="center"/>
    </xf>
    <xf numFmtId="0" fontId="3" fillId="9" borderId="5" xfId="4" applyFont="1" applyFill="1" applyBorder="1" applyAlignment="1">
      <alignment horizontal="center" vertical="center"/>
    </xf>
    <xf numFmtId="0" fontId="3" fillId="9" borderId="0" xfId="4" applyFont="1" applyFill="1" applyAlignment="1">
      <alignment horizontal="center" vertical="center"/>
    </xf>
    <xf numFmtId="0" fontId="3" fillId="0" borderId="45" xfId="4" applyFont="1" applyBorder="1" applyAlignment="1">
      <alignment horizontal="center" vertical="center"/>
    </xf>
    <xf numFmtId="0" fontId="3" fillId="0" borderId="85" xfId="4" applyFont="1" applyBorder="1" applyAlignment="1">
      <alignment horizontal="center" vertical="center"/>
    </xf>
    <xf numFmtId="0" fontId="3" fillId="0" borderId="46" xfId="4" applyFont="1" applyBorder="1" applyAlignment="1">
      <alignment horizontal="center" vertical="center"/>
    </xf>
    <xf numFmtId="0" fontId="3" fillId="0" borderId="45" xfId="4" applyFont="1" applyBorder="1" applyAlignment="1">
      <alignment horizontal="center" vertical="center" wrapText="1"/>
    </xf>
    <xf numFmtId="0" fontId="3" fillId="0" borderId="85" xfId="4" applyFont="1" applyBorder="1" applyAlignment="1">
      <alignment horizontal="center" vertical="center" wrapText="1"/>
    </xf>
    <xf numFmtId="0" fontId="3" fillId="0" borderId="46" xfId="4" applyFont="1" applyBorder="1" applyAlignment="1">
      <alignment horizontal="center" vertical="center" wrapText="1"/>
    </xf>
    <xf numFmtId="0" fontId="3" fillId="0" borderId="91" xfId="4" applyFont="1" applyBorder="1" applyAlignment="1">
      <alignment horizontal="center" vertical="center"/>
    </xf>
    <xf numFmtId="0" fontId="3" fillId="0" borderId="0" xfId="4" applyFont="1" applyAlignment="1">
      <alignment horizontal="center" vertical="center"/>
    </xf>
    <xf numFmtId="0" fontId="3" fillId="0" borderId="90" xfId="4" applyFont="1" applyBorder="1" applyAlignment="1">
      <alignment horizontal="center" vertical="center"/>
    </xf>
    <xf numFmtId="0" fontId="3" fillId="9" borderId="45" xfId="4" applyFont="1" applyFill="1" applyBorder="1" applyAlignment="1">
      <alignment horizontal="center" vertical="center"/>
    </xf>
    <xf numFmtId="0" fontId="3" fillId="9" borderId="85" xfId="4" applyFont="1" applyFill="1" applyBorder="1" applyAlignment="1">
      <alignment horizontal="center" vertical="center"/>
    </xf>
    <xf numFmtId="0" fontId="3" fillId="9" borderId="46" xfId="4" applyFont="1" applyFill="1" applyBorder="1" applyAlignment="1">
      <alignment horizontal="center" vertical="center"/>
    </xf>
    <xf numFmtId="175" fontId="3" fillId="0" borderId="16" xfId="4" applyNumberFormat="1" applyFont="1" applyBorder="1" applyAlignment="1">
      <alignment horizontal="justify" vertical="center" wrapText="1"/>
    </xf>
    <xf numFmtId="0" fontId="3" fillId="0" borderId="16" xfId="4" applyFont="1" applyBorder="1" applyAlignment="1">
      <alignment horizontal="justify" vertical="center" wrapText="1"/>
    </xf>
    <xf numFmtId="175" fontId="3" fillId="0" borderId="16" xfId="4" applyNumberFormat="1" applyFont="1" applyBorder="1" applyAlignment="1">
      <alignment horizontal="center" vertical="center"/>
    </xf>
    <xf numFmtId="0" fontId="3" fillId="0" borderId="16" xfId="4" applyFont="1" applyBorder="1" applyAlignment="1">
      <alignment horizontal="center" vertical="center"/>
    </xf>
    <xf numFmtId="3" fontId="3" fillId="0" borderId="16" xfId="4" applyNumberFormat="1" applyFont="1" applyBorder="1" applyAlignment="1">
      <alignment horizontal="center" vertical="center"/>
    </xf>
    <xf numFmtId="175" fontId="3" fillId="0" borderId="16" xfId="4" applyNumberFormat="1" applyFont="1" applyBorder="1" applyAlignment="1">
      <alignment horizontal="center" vertical="center" wrapText="1"/>
    </xf>
    <xf numFmtId="0" fontId="3" fillId="0" borderId="16" xfId="4" applyFont="1" applyBorder="1" applyAlignment="1">
      <alignment horizontal="center" vertical="center" wrapText="1"/>
    </xf>
    <xf numFmtId="0" fontId="3" fillId="0" borderId="78" xfId="4" applyFont="1" applyBorder="1" applyAlignment="1">
      <alignment horizontal="center" vertical="center" wrapText="1"/>
    </xf>
    <xf numFmtId="0" fontId="3" fillId="0" borderId="45" xfId="4" applyFont="1" applyBorder="1" applyAlignment="1">
      <alignment horizontal="justify" vertical="center"/>
    </xf>
    <xf numFmtId="0" fontId="3" fillId="0" borderId="85" xfId="4" applyFont="1" applyBorder="1" applyAlignment="1">
      <alignment horizontal="justify" vertical="center"/>
    </xf>
    <xf numFmtId="0" fontId="3" fillId="0" borderId="46" xfId="4" applyFont="1" applyBorder="1" applyAlignment="1">
      <alignment horizontal="justify" vertical="center"/>
    </xf>
    <xf numFmtId="0" fontId="70" fillId="12" borderId="48" xfId="4" applyFont="1" applyFill="1" applyBorder="1" applyAlignment="1">
      <alignment horizontal="center" vertical="center"/>
    </xf>
    <xf numFmtId="0" fontId="70" fillId="12" borderId="49" xfId="4" applyFont="1" applyFill="1" applyBorder="1" applyAlignment="1">
      <alignment horizontal="center" vertical="center"/>
    </xf>
    <xf numFmtId="0" fontId="3" fillId="0" borderId="48" xfId="4" applyFont="1" applyBorder="1" applyAlignment="1">
      <alignment horizontal="center" vertical="center" wrapText="1"/>
    </xf>
    <xf numFmtId="0" fontId="3" fillId="0" borderId="49" xfId="4" applyFont="1" applyBorder="1" applyAlignment="1">
      <alignment horizontal="center" vertical="center"/>
    </xf>
    <xf numFmtId="0" fontId="70" fillId="12" borderId="47" xfId="4" applyFont="1" applyFill="1" applyBorder="1" applyAlignment="1">
      <alignment horizontal="center" vertical="center"/>
    </xf>
    <xf numFmtId="0" fontId="3" fillId="0" borderId="48" xfId="4" applyFont="1" applyBorder="1" applyAlignment="1">
      <alignment horizontal="center" vertical="center"/>
    </xf>
    <xf numFmtId="39" fontId="3" fillId="9" borderId="45" xfId="4" applyNumberFormat="1" applyFont="1" applyFill="1" applyBorder="1" applyAlignment="1">
      <alignment horizontal="center" vertical="center"/>
    </xf>
    <xf numFmtId="0" fontId="71" fillId="12" borderId="48" xfId="4" applyFont="1" applyFill="1" applyBorder="1" applyAlignment="1">
      <alignment horizontal="center" vertical="center"/>
    </xf>
    <xf numFmtId="0" fontId="71" fillId="12" borderId="47" xfId="4" applyFont="1" applyFill="1" applyBorder="1" applyAlignment="1">
      <alignment horizontal="center" vertical="center"/>
    </xf>
    <xf numFmtId="0" fontId="3" fillId="9" borderId="47" xfId="4" applyFont="1" applyFill="1" applyBorder="1" applyAlignment="1">
      <alignment horizontal="center" vertical="center"/>
    </xf>
    <xf numFmtId="0" fontId="3" fillId="9" borderId="88" xfId="4" applyFont="1" applyFill="1" applyBorder="1" applyAlignment="1">
      <alignment horizontal="left" vertical="center"/>
    </xf>
    <xf numFmtId="0" fontId="3" fillId="9" borderId="47" xfId="4" applyFont="1" applyFill="1" applyBorder="1" applyAlignment="1">
      <alignment horizontal="left" vertical="center"/>
    </xf>
    <xf numFmtId="0" fontId="3" fillId="9" borderId="89" xfId="4" applyFont="1" applyFill="1" applyBorder="1" applyAlignment="1">
      <alignment horizontal="left" vertical="center"/>
    </xf>
    <xf numFmtId="0" fontId="3" fillId="9" borderId="30" xfId="4" applyFont="1" applyFill="1" applyBorder="1" applyAlignment="1">
      <alignment horizontal="center" vertical="center"/>
    </xf>
    <xf numFmtId="0" fontId="3" fillId="9" borderId="16" xfId="4" applyFont="1" applyFill="1" applyBorder="1" applyAlignment="1">
      <alignment horizontal="center" vertical="center"/>
    </xf>
    <xf numFmtId="0" fontId="3" fillId="9" borderId="78" xfId="4" applyFont="1" applyFill="1" applyBorder="1" applyAlignment="1">
      <alignment horizontal="center" vertical="center"/>
    </xf>
    <xf numFmtId="0" fontId="3" fillId="9" borderId="48" xfId="4" applyFont="1" applyFill="1" applyBorder="1" applyAlignment="1">
      <alignment horizontal="center" vertical="center"/>
    </xf>
    <xf numFmtId="0" fontId="3" fillId="9" borderId="89" xfId="4" applyFont="1" applyFill="1" applyBorder="1" applyAlignment="1">
      <alignment horizontal="center" vertical="center"/>
    </xf>
    <xf numFmtId="0" fontId="3" fillId="9" borderId="88" xfId="4" applyFont="1" applyFill="1" applyBorder="1" applyAlignment="1">
      <alignment horizontal="right" vertical="center"/>
    </xf>
    <xf numFmtId="0" fontId="3" fillId="9" borderId="89" xfId="4" applyFont="1" applyFill="1" applyBorder="1" applyAlignment="1">
      <alignment horizontal="right" vertical="center"/>
    </xf>
    <xf numFmtId="0" fontId="3" fillId="9" borderId="88" xfId="4" applyFont="1" applyFill="1" applyBorder="1" applyAlignment="1">
      <alignment horizontal="center" vertical="center"/>
    </xf>
    <xf numFmtId="1" fontId="3" fillId="9" borderId="45" xfId="4" quotePrefix="1" applyNumberFormat="1" applyFont="1" applyFill="1" applyBorder="1" applyAlignment="1">
      <alignment horizontal="center" vertical="center"/>
    </xf>
    <xf numFmtId="0" fontId="3" fillId="9" borderId="85" xfId="4" quotePrefix="1" applyFont="1" applyFill="1" applyBorder="1" applyAlignment="1">
      <alignment horizontal="center" vertical="center"/>
    </xf>
    <xf numFmtId="0" fontId="3" fillId="9" borderId="46" xfId="4" quotePrefix="1" applyFont="1" applyFill="1" applyBorder="1" applyAlignment="1">
      <alignment horizontal="center" vertical="center"/>
    </xf>
    <xf numFmtId="0" fontId="3" fillId="9" borderId="49" xfId="4" applyFont="1" applyFill="1" applyBorder="1" applyAlignment="1">
      <alignment horizontal="center" vertical="center"/>
    </xf>
    <xf numFmtId="0" fontId="72" fillId="12" borderId="48" xfId="4" applyFont="1" applyFill="1" applyBorder="1" applyAlignment="1">
      <alignment horizontal="center" vertical="center"/>
    </xf>
    <xf numFmtId="0" fontId="72" fillId="12" borderId="47" xfId="4" applyFont="1" applyFill="1" applyBorder="1" applyAlignment="1">
      <alignment horizontal="center" vertical="center"/>
    </xf>
    <xf numFmtId="0" fontId="72" fillId="12" borderId="49" xfId="4" applyFont="1" applyFill="1" applyBorder="1" applyAlignment="1">
      <alignment horizontal="center" vertical="center"/>
    </xf>
    <xf numFmtId="0" fontId="10" fillId="9" borderId="48" xfId="4" applyFont="1" applyFill="1" applyBorder="1" applyAlignment="1">
      <alignment horizontal="center" vertical="center"/>
    </xf>
    <xf numFmtId="0" fontId="10" fillId="9" borderId="49" xfId="4" applyFont="1" applyFill="1" applyBorder="1" applyAlignment="1">
      <alignment horizontal="center" vertical="center"/>
    </xf>
    <xf numFmtId="4" fontId="3" fillId="9" borderId="45" xfId="4" applyNumberFormat="1" applyFont="1" applyFill="1" applyBorder="1" applyAlignment="1">
      <alignment horizontal="center" vertical="center"/>
    </xf>
    <xf numFmtId="4" fontId="3" fillId="9" borderId="85" xfId="4" applyNumberFormat="1" applyFont="1" applyFill="1" applyBorder="1" applyAlignment="1">
      <alignment horizontal="center" vertical="center"/>
    </xf>
    <xf numFmtId="4" fontId="3" fillId="9" borderId="46" xfId="4" applyNumberFormat="1" applyFont="1" applyFill="1" applyBorder="1" applyAlignment="1">
      <alignment horizontal="center" vertical="center"/>
    </xf>
    <xf numFmtId="2" fontId="3" fillId="9" borderId="45" xfId="4" applyNumberFormat="1" applyFont="1" applyFill="1" applyBorder="1" applyAlignment="1">
      <alignment horizontal="center" vertical="center"/>
    </xf>
    <xf numFmtId="2" fontId="3" fillId="9" borderId="85" xfId="4" applyNumberFormat="1" applyFont="1" applyFill="1" applyBorder="1" applyAlignment="1">
      <alignment horizontal="center" vertical="center"/>
    </xf>
    <xf numFmtId="2" fontId="3" fillId="9" borderId="46" xfId="4" applyNumberFormat="1" applyFont="1" applyFill="1" applyBorder="1" applyAlignment="1">
      <alignment horizontal="center" vertical="center"/>
    </xf>
    <xf numFmtId="0" fontId="10" fillId="9" borderId="16" xfId="4" applyFont="1" applyFill="1" applyBorder="1" applyAlignment="1">
      <alignment horizontal="center" vertical="center"/>
    </xf>
    <xf numFmtId="0" fontId="3" fillId="9" borderId="48" xfId="4" applyFont="1" applyFill="1" applyBorder="1" applyAlignment="1">
      <alignment horizontal="left" vertical="center"/>
    </xf>
    <xf numFmtId="0" fontId="3" fillId="9" borderId="49" xfId="4" applyFont="1" applyFill="1" applyBorder="1" applyAlignment="1">
      <alignment horizontal="left" vertical="center"/>
    </xf>
    <xf numFmtId="0" fontId="10" fillId="9" borderId="47" xfId="4" applyFont="1" applyFill="1" applyBorder="1" applyAlignment="1">
      <alignment horizontal="center" vertical="center"/>
    </xf>
    <xf numFmtId="0" fontId="3" fillId="0" borderId="86" xfId="4" applyFont="1" applyBorder="1" applyAlignment="1">
      <alignment horizontal="center" vertical="center"/>
    </xf>
    <xf numFmtId="0" fontId="3" fillId="0" borderId="87" xfId="4" applyFont="1" applyBorder="1" applyAlignment="1">
      <alignment horizontal="center" vertical="center"/>
    </xf>
    <xf numFmtId="175" fontId="3" fillId="0" borderId="16" xfId="4" applyNumberFormat="1" applyFont="1" applyBorder="1" applyAlignment="1">
      <alignment horizontal="left" vertical="center" wrapText="1"/>
    </xf>
    <xf numFmtId="0" fontId="3" fillId="0" borderId="16" xfId="4" applyFont="1" applyBorder="1" applyAlignment="1">
      <alignment horizontal="left" vertical="center" wrapText="1"/>
    </xf>
    <xf numFmtId="0" fontId="3" fillId="0" borderId="79" xfId="4" applyFont="1" applyBorder="1" applyAlignment="1">
      <alignment horizontal="center" vertical="center"/>
    </xf>
    <xf numFmtId="0" fontId="3" fillId="0" borderId="80" xfId="4" applyFont="1" applyBorder="1" applyAlignment="1">
      <alignment horizontal="center" vertical="center"/>
    </xf>
    <xf numFmtId="0" fontId="3" fillId="0" borderId="81" xfId="4" applyFont="1" applyBorder="1" applyAlignment="1">
      <alignment horizontal="center" vertical="center"/>
    </xf>
    <xf numFmtId="0" fontId="3" fillId="0" borderId="82" xfId="4" applyFont="1" applyBorder="1" applyAlignment="1">
      <alignment horizontal="center" vertical="center"/>
    </xf>
    <xf numFmtId="0" fontId="3" fillId="0" borderId="83" xfId="4" applyFont="1" applyBorder="1" applyAlignment="1">
      <alignment horizontal="center" vertical="center"/>
    </xf>
    <xf numFmtId="0" fontId="3" fillId="0" borderId="84" xfId="4" applyFont="1" applyBorder="1" applyAlignment="1">
      <alignment horizontal="center" vertical="center"/>
    </xf>
    <xf numFmtId="0" fontId="75" fillId="0" borderId="37" xfId="4" applyFont="1" applyBorder="1" applyAlignment="1">
      <alignment horizontal="left" vertical="center" wrapText="1"/>
    </xf>
    <xf numFmtId="0" fontId="75" fillId="0" borderId="19" xfId="4" applyFont="1" applyBorder="1" applyAlignment="1">
      <alignment horizontal="left" vertical="center" wrapText="1"/>
    </xf>
    <xf numFmtId="0" fontId="75" fillId="0" borderId="38" xfId="4" applyFont="1" applyBorder="1" applyAlignment="1">
      <alignment horizontal="left" vertical="center" wrapText="1"/>
    </xf>
    <xf numFmtId="0" fontId="75" fillId="0" borderId="39" xfId="4" applyFont="1" applyBorder="1" applyAlignment="1">
      <alignment horizontal="left" vertical="center" wrapText="1"/>
    </xf>
    <xf numFmtId="0" fontId="75" fillId="0" borderId="0" xfId="4" applyFont="1" applyAlignment="1">
      <alignment horizontal="left" vertical="center" wrapText="1"/>
    </xf>
    <xf numFmtId="0" fontId="75" fillId="0" borderId="40" xfId="4" applyFont="1" applyBorder="1" applyAlignment="1">
      <alignment horizontal="left" vertical="center" wrapText="1"/>
    </xf>
    <xf numFmtId="0" fontId="75" fillId="0" borderId="41" xfId="4" applyFont="1" applyBorder="1" applyAlignment="1">
      <alignment horizontal="left" vertical="center" wrapText="1"/>
    </xf>
    <xf numFmtId="0" fontId="75" fillId="0" borderId="5" xfId="4" applyFont="1" applyBorder="1" applyAlignment="1">
      <alignment horizontal="left" vertical="center" wrapText="1"/>
    </xf>
    <xf numFmtId="0" fontId="75" fillId="0" borderId="42" xfId="4" applyFont="1" applyBorder="1" applyAlignment="1">
      <alignment horizontal="left" vertical="center" wrapText="1"/>
    </xf>
    <xf numFmtId="0" fontId="88" fillId="0" borderId="95" xfId="0" applyFont="1" applyBorder="1" applyAlignment="1">
      <alignment horizontal="center" vertical="center"/>
    </xf>
    <xf numFmtId="0" fontId="88" fillId="0" borderId="50" xfId="0" applyFont="1" applyBorder="1" applyAlignment="1">
      <alignment horizontal="center" vertical="center"/>
    </xf>
    <xf numFmtId="0" fontId="88" fillId="0" borderId="30" xfId="0" applyFont="1" applyBorder="1" applyAlignment="1">
      <alignment horizontal="center" vertical="center"/>
    </xf>
    <xf numFmtId="0" fontId="88" fillId="0" borderId="16" xfId="0" applyFont="1" applyBorder="1" applyAlignment="1">
      <alignment horizontal="center" vertical="center"/>
    </xf>
    <xf numFmtId="0" fontId="88" fillId="0" borderId="96" xfId="0" applyFont="1" applyBorder="1" applyAlignment="1">
      <alignment horizontal="center" vertical="center"/>
    </xf>
    <xf numFmtId="0" fontId="88" fillId="0" borderId="97" xfId="0" applyFont="1" applyBorder="1" applyAlignment="1">
      <alignment horizontal="center" vertical="center"/>
    </xf>
    <xf numFmtId="14" fontId="88" fillId="0" borderId="50" xfId="0" applyNumberFormat="1" applyFont="1" applyBorder="1" applyAlignment="1">
      <alignment horizontal="center" vertical="center"/>
    </xf>
    <xf numFmtId="14" fontId="88" fillId="0" borderId="16" xfId="0" applyNumberFormat="1" applyFont="1" applyBorder="1" applyAlignment="1">
      <alignment horizontal="center" vertical="center"/>
    </xf>
    <xf numFmtId="14" fontId="88" fillId="0" borderId="97" xfId="0" applyNumberFormat="1" applyFont="1" applyBorder="1" applyAlignment="1">
      <alignment horizontal="center" vertical="center"/>
    </xf>
    <xf numFmtId="0" fontId="88" fillId="0" borderId="98" xfId="0" applyFont="1" applyBorder="1" applyAlignment="1">
      <alignment horizontal="center" vertical="center"/>
    </xf>
    <xf numFmtId="0" fontId="88" fillId="0" borderId="78" xfId="0" applyFont="1" applyBorder="1" applyAlignment="1">
      <alignment horizontal="center" vertical="center"/>
    </xf>
    <xf numFmtId="0" fontId="88" fillId="0" borderId="99" xfId="0" applyFont="1" applyBorder="1" applyAlignment="1">
      <alignment horizontal="center" vertical="center"/>
    </xf>
    <xf numFmtId="0" fontId="88" fillId="9" borderId="45" xfId="0" applyFont="1" applyFill="1" applyBorder="1" applyAlignment="1">
      <alignment horizontal="center"/>
    </xf>
    <xf numFmtId="0" fontId="88" fillId="9" borderId="46" xfId="0" applyFont="1" applyFill="1" applyBorder="1" applyAlignment="1">
      <alignment horizontal="center"/>
    </xf>
    <xf numFmtId="0" fontId="88" fillId="0" borderId="5" xfId="0" applyFont="1" applyBorder="1" applyAlignment="1">
      <alignment horizontal="justify"/>
    </xf>
    <xf numFmtId="0" fontId="89" fillId="0" borderId="0" xfId="0" applyFont="1" applyAlignment="1">
      <alignment horizontal="justify"/>
    </xf>
    <xf numFmtId="0" fontId="88" fillId="0" borderId="45" xfId="0" applyFont="1" applyBorder="1" applyAlignment="1">
      <alignment horizontal="center"/>
    </xf>
    <xf numFmtId="0" fontId="88" fillId="0" borderId="46" xfId="0" applyFont="1" applyBorder="1" applyAlignment="1">
      <alignment horizontal="center"/>
    </xf>
    <xf numFmtId="0" fontId="128" fillId="0" borderId="92" xfId="0" applyFont="1" applyBorder="1" applyAlignment="1">
      <alignment horizontal="justify" vertical="top"/>
    </xf>
    <xf numFmtId="0" fontId="128" fillId="0" borderId="93" xfId="0" applyFont="1" applyBorder="1" applyAlignment="1">
      <alignment horizontal="justify" vertical="top"/>
    </xf>
    <xf numFmtId="0" fontId="128" fillId="0" borderId="94" xfId="0" applyFont="1" applyBorder="1" applyAlignment="1">
      <alignment horizontal="justify" vertical="top"/>
    </xf>
    <xf numFmtId="0" fontId="88" fillId="9" borderId="5" xfId="0" applyFont="1" applyFill="1" applyBorder="1" applyAlignment="1">
      <alignment horizontal="justify"/>
    </xf>
    <xf numFmtId="0" fontId="127" fillId="0" borderId="0" xfId="0" applyFont="1" applyAlignment="1">
      <alignment horizontal="center"/>
    </xf>
    <xf numFmtId="0" fontId="89" fillId="9" borderId="0" xfId="0" applyFont="1" applyFill="1" applyAlignment="1">
      <alignment horizontal="justify"/>
    </xf>
    <xf numFmtId="0" fontId="126" fillId="0" borderId="0" xfId="0" applyFont="1" applyAlignment="1">
      <alignment horizontal="center"/>
    </xf>
    <xf numFmtId="0" fontId="55" fillId="0" borderId="0" xfId="0" applyFont="1" applyAlignment="1">
      <alignment vertical="justify"/>
    </xf>
    <xf numFmtId="0" fontId="45" fillId="0" borderId="0" xfId="0" applyFont="1" applyAlignment="1">
      <alignment vertical="justify"/>
    </xf>
    <xf numFmtId="0" fontId="50" fillId="0" borderId="0" xfId="0" applyFont="1" applyAlignment="1">
      <alignment horizontal="center"/>
    </xf>
    <xf numFmtId="0" fontId="46" fillId="0" borderId="0" xfId="0" applyFont="1" applyAlignment="1">
      <alignment horizontal="left" wrapText="1" shrinkToFit="1"/>
    </xf>
    <xf numFmtId="0" fontId="47" fillId="0" borderId="100" xfId="0" applyFont="1" applyBorder="1" applyAlignment="1">
      <alignment horizontal="center" vertical="center"/>
    </xf>
    <xf numFmtId="0" fontId="47" fillId="0" borderId="101" xfId="0" applyFont="1" applyBorder="1" applyAlignment="1">
      <alignment horizontal="center" vertical="center"/>
    </xf>
    <xf numFmtId="0" fontId="47" fillId="0" borderId="102" xfId="0" applyFont="1" applyBorder="1" applyAlignment="1">
      <alignment horizontal="center" vertical="center"/>
    </xf>
    <xf numFmtId="0" fontId="47" fillId="0" borderId="6" xfId="0" applyFont="1" applyBorder="1" applyAlignment="1">
      <alignment horizontal="center" vertical="center"/>
    </xf>
    <xf numFmtId="0" fontId="4" fillId="0" borderId="77" xfId="0" applyFont="1" applyBorder="1" applyAlignment="1">
      <alignment horizontal="center"/>
    </xf>
    <xf numFmtId="0" fontId="4" fillId="0" borderId="105" xfId="0" applyFont="1" applyBorder="1" applyAlignment="1">
      <alignment horizontal="center"/>
    </xf>
    <xf numFmtId="0" fontId="4" fillId="0" borderId="1" xfId="0" applyFont="1" applyBorder="1" applyAlignment="1">
      <alignment horizontal="center"/>
    </xf>
    <xf numFmtId="0" fontId="4" fillId="0" borderId="103" xfId="0" applyFont="1" applyBorder="1" applyAlignment="1">
      <alignment horizontal="center"/>
    </xf>
    <xf numFmtId="171" fontId="4" fillId="0" borderId="104" xfId="0" applyNumberFormat="1" applyFont="1" applyBorder="1" applyAlignment="1">
      <alignment horizontal="right"/>
    </xf>
    <xf numFmtId="0" fontId="5" fillId="0" borderId="1" xfId="0" applyFont="1" applyBorder="1" applyAlignment="1">
      <alignment horizontal="left" indent="1"/>
    </xf>
    <xf numFmtId="0" fontId="87" fillId="5" borderId="16" xfId="5" applyFont="1" applyFill="1" applyBorder="1" applyAlignment="1">
      <alignment horizontal="center" vertical="center"/>
    </xf>
    <xf numFmtId="0" fontId="4" fillId="0" borderId="0" xfId="0" applyFont="1" applyAlignment="1">
      <alignment horizontal="center"/>
    </xf>
    <xf numFmtId="171" fontId="82" fillId="3" borderId="0" xfId="3" applyNumberFormat="1" applyFont="1" applyFill="1" applyAlignment="1">
      <alignment horizontal="center"/>
    </xf>
  </cellXfs>
  <cellStyles count="7">
    <cellStyle name="Hipervínculo" xfId="1" builtinId="8"/>
    <cellStyle name="Millares" xfId="2" builtinId="3"/>
    <cellStyle name="Normal" xfId="0" builtinId="0"/>
    <cellStyle name="Normal 2" xfId="3" xr:uid="{8950FC44-F0BE-44D5-BAE0-05296EB4B059}"/>
    <cellStyle name="Normal 2 4" xfId="4" xr:uid="{6D6F4AEF-C539-4102-8506-4F25A1C98332}"/>
    <cellStyle name="Normal 3 2" xfId="5" xr:uid="{AF764B29-2A51-493B-85A5-C45D2F9172C5}"/>
    <cellStyle name="Porcentaje" xfId="6" builtinId="5"/>
  </cellStyles>
  <dxfs count="6">
    <dxf>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jpe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0.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17</xdr:col>
      <xdr:colOff>137160</xdr:colOff>
      <xdr:row>24</xdr:row>
      <xdr:rowOff>30480</xdr:rowOff>
    </xdr:from>
    <xdr:to>
      <xdr:col>18</xdr:col>
      <xdr:colOff>441960</xdr:colOff>
      <xdr:row>27</xdr:row>
      <xdr:rowOff>7620</xdr:rowOff>
    </xdr:to>
    <xdr:sp macro="" textlink="">
      <xdr:nvSpPr>
        <xdr:cNvPr id="12035" name="Oval 47">
          <a:extLst>
            <a:ext uri="{FF2B5EF4-FFF2-40B4-BE49-F238E27FC236}">
              <a16:creationId xmlns:a16="http://schemas.microsoft.com/office/drawing/2014/main" id="{A66803E5-2635-E419-EB9A-E926D5319551}"/>
            </a:ext>
          </a:extLst>
        </xdr:cNvPr>
        <xdr:cNvSpPr>
          <a:spLocks noChangeArrowheads="1"/>
        </xdr:cNvSpPr>
      </xdr:nvSpPr>
      <xdr:spPr bwMode="auto">
        <a:xfrm>
          <a:off x="6118860" y="4122420"/>
          <a:ext cx="655320" cy="586740"/>
        </a:xfrm>
        <a:prstGeom prst="ellipse">
          <a:avLst/>
        </a:prstGeom>
        <a:noFill/>
        <a:ln w="3810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137160</xdr:colOff>
      <xdr:row>122</xdr:row>
      <xdr:rowOff>259080</xdr:rowOff>
    </xdr:from>
    <xdr:to>
      <xdr:col>9</xdr:col>
      <xdr:colOff>289560</xdr:colOff>
      <xdr:row>124</xdr:row>
      <xdr:rowOff>182880</xdr:rowOff>
    </xdr:to>
    <xdr:pic>
      <xdr:nvPicPr>
        <xdr:cNvPr id="12036" name="30 Imagen">
          <a:extLst>
            <a:ext uri="{FF2B5EF4-FFF2-40B4-BE49-F238E27FC236}">
              <a16:creationId xmlns:a16="http://schemas.microsoft.com/office/drawing/2014/main" id="{75FCF1FD-EBF0-EE8E-57F5-9D0299636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1051560" y="24803100"/>
          <a:ext cx="2415540"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30</xdr:col>
      <xdr:colOff>7620</xdr:colOff>
      <xdr:row>10</xdr:row>
      <xdr:rowOff>129540</xdr:rowOff>
    </xdr:to>
    <xdr:pic>
      <xdr:nvPicPr>
        <xdr:cNvPr id="12037" name="Imagen 1">
          <a:extLst>
            <a:ext uri="{FF2B5EF4-FFF2-40B4-BE49-F238E27FC236}">
              <a16:creationId xmlns:a16="http://schemas.microsoft.com/office/drawing/2014/main" id="{C19599A5-200F-C5A2-D00C-03F964CD5C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706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13</xdr:row>
      <xdr:rowOff>0</xdr:rowOff>
    </xdr:from>
    <xdr:to>
      <xdr:col>13</xdr:col>
      <xdr:colOff>161192</xdr:colOff>
      <xdr:row>14</xdr:row>
      <xdr:rowOff>38100</xdr:rowOff>
    </xdr:to>
    <xdr:pic>
      <xdr:nvPicPr>
        <xdr:cNvPr id="18744" name="17 Imagen">
          <a:extLst>
            <a:ext uri="{FF2B5EF4-FFF2-40B4-BE49-F238E27FC236}">
              <a16:creationId xmlns:a16="http://schemas.microsoft.com/office/drawing/2014/main" id="{9DE86680-FA7F-C48D-927E-5A282E7FBC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320" y="1981200"/>
          <a:ext cx="7010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7620</xdr:colOff>
      <xdr:row>327</xdr:row>
      <xdr:rowOff>45720</xdr:rowOff>
    </xdr:from>
    <xdr:to>
      <xdr:col>44</xdr:col>
      <xdr:colOff>30480</xdr:colOff>
      <xdr:row>328</xdr:row>
      <xdr:rowOff>434342</xdr:rowOff>
    </xdr:to>
    <xdr:pic>
      <xdr:nvPicPr>
        <xdr:cNvPr id="18745" name="30 Imagen">
          <a:extLst>
            <a:ext uri="{FF2B5EF4-FFF2-40B4-BE49-F238E27FC236}">
              <a16:creationId xmlns:a16="http://schemas.microsoft.com/office/drawing/2014/main" id="{4E01A9D8-2A51-53DC-468C-8C916CAE00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r="14558" b="7021"/>
        <a:stretch>
          <a:fillRect/>
        </a:stretch>
      </xdr:blipFill>
      <xdr:spPr bwMode="auto">
        <a:xfrm>
          <a:off x="3832860" y="78470760"/>
          <a:ext cx="1668780" cy="891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22</xdr:col>
      <xdr:colOff>99060</xdr:colOff>
      <xdr:row>133</xdr:row>
      <xdr:rowOff>83820</xdr:rowOff>
    </xdr:from>
    <xdr:to>
      <xdr:col>26</xdr:col>
      <xdr:colOff>30480</xdr:colOff>
      <xdr:row>134</xdr:row>
      <xdr:rowOff>236220</xdr:rowOff>
    </xdr:to>
    <xdr:sp macro="" textlink="">
      <xdr:nvSpPr>
        <xdr:cNvPr id="18746" name="Oval 121">
          <a:extLst>
            <a:ext uri="{FF2B5EF4-FFF2-40B4-BE49-F238E27FC236}">
              <a16:creationId xmlns:a16="http://schemas.microsoft.com/office/drawing/2014/main" id="{D308103F-52FA-62B1-856F-37EDBF9CA1E7}"/>
            </a:ext>
          </a:extLst>
        </xdr:cNvPr>
        <xdr:cNvSpPr>
          <a:spLocks noChangeArrowheads="1"/>
        </xdr:cNvSpPr>
      </xdr:nvSpPr>
      <xdr:spPr bwMode="auto">
        <a:xfrm flipH="1">
          <a:off x="2796540" y="36743640"/>
          <a:ext cx="373380" cy="41910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120493</xdr:colOff>
      <xdr:row>136</xdr:row>
      <xdr:rowOff>37191</xdr:rowOff>
    </xdr:from>
    <xdr:to>
      <xdr:col>30</xdr:col>
      <xdr:colOff>55943</xdr:colOff>
      <xdr:row>137</xdr:row>
      <xdr:rowOff>40751</xdr:rowOff>
    </xdr:to>
    <xdr:sp macro="" textlink="">
      <xdr:nvSpPr>
        <xdr:cNvPr id="17" name="16 Elipse">
          <a:extLst>
            <a:ext uri="{FF2B5EF4-FFF2-40B4-BE49-F238E27FC236}">
              <a16:creationId xmlns:a16="http://schemas.microsoft.com/office/drawing/2014/main" id="{DA9A4BD2-0D69-00E5-6463-9539B74DD103}"/>
            </a:ext>
          </a:extLst>
        </xdr:cNvPr>
        <xdr:cNvSpPr/>
      </xdr:nvSpPr>
      <xdr:spPr bwMode="auto">
        <a:xfrm>
          <a:off x="3021661" y="35111172"/>
          <a:ext cx="287143" cy="26732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twoCellAnchor>
    <xdr:from>
      <xdr:col>7</xdr:col>
      <xdr:colOff>93858</xdr:colOff>
      <xdr:row>131</xdr:row>
      <xdr:rowOff>141434</xdr:rowOff>
    </xdr:from>
    <xdr:to>
      <xdr:col>10</xdr:col>
      <xdr:colOff>102689</xdr:colOff>
      <xdr:row>132</xdr:row>
      <xdr:rowOff>183173</xdr:rowOff>
    </xdr:to>
    <xdr:sp macro="" textlink="">
      <xdr:nvSpPr>
        <xdr:cNvPr id="19" name="18 Elipse">
          <a:extLst>
            <a:ext uri="{FF2B5EF4-FFF2-40B4-BE49-F238E27FC236}">
              <a16:creationId xmlns:a16="http://schemas.microsoft.com/office/drawing/2014/main" id="{3CEC5EE4-3FEB-4D05-3613-1663273BC376}"/>
            </a:ext>
          </a:extLst>
        </xdr:cNvPr>
        <xdr:cNvSpPr/>
      </xdr:nvSpPr>
      <xdr:spPr bwMode="auto">
        <a:xfrm>
          <a:off x="892200" y="33896569"/>
          <a:ext cx="302088" cy="30550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xdr:from>
      <xdr:col>16</xdr:col>
      <xdr:colOff>0</xdr:colOff>
      <xdr:row>251</xdr:row>
      <xdr:rowOff>91440</xdr:rowOff>
    </xdr:from>
    <xdr:to>
      <xdr:col>20</xdr:col>
      <xdr:colOff>53340</xdr:colOff>
      <xdr:row>252</xdr:row>
      <xdr:rowOff>251460</xdr:rowOff>
    </xdr:to>
    <xdr:sp macro="" textlink="">
      <xdr:nvSpPr>
        <xdr:cNvPr id="18749" name="Oval 121">
          <a:extLst>
            <a:ext uri="{FF2B5EF4-FFF2-40B4-BE49-F238E27FC236}">
              <a16:creationId xmlns:a16="http://schemas.microsoft.com/office/drawing/2014/main" id="{973EF958-6F8A-F08F-8FCC-B6410E1FAE0B}"/>
            </a:ext>
          </a:extLst>
        </xdr:cNvPr>
        <xdr:cNvSpPr>
          <a:spLocks noChangeArrowheads="1"/>
        </xdr:cNvSpPr>
      </xdr:nvSpPr>
      <xdr:spPr bwMode="auto">
        <a:xfrm flipH="1">
          <a:off x="1981200" y="64289940"/>
          <a:ext cx="571500" cy="42672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38</xdr:col>
      <xdr:colOff>31291</xdr:colOff>
      <xdr:row>247</xdr:row>
      <xdr:rowOff>191158</xdr:rowOff>
    </xdr:from>
    <xdr:to>
      <xdr:col>40</xdr:col>
      <xdr:colOff>117056</xdr:colOff>
      <xdr:row>248</xdr:row>
      <xdr:rowOff>254456</xdr:rowOff>
    </xdr:to>
    <xdr:sp macro="" textlink="">
      <xdr:nvSpPr>
        <xdr:cNvPr id="16" name="16 Elipse">
          <a:extLst>
            <a:ext uri="{FF2B5EF4-FFF2-40B4-BE49-F238E27FC236}">
              <a16:creationId xmlns:a16="http://schemas.microsoft.com/office/drawing/2014/main" id="{2FED4CA3-223B-21D2-9C18-5E127992C18A}"/>
            </a:ext>
          </a:extLst>
        </xdr:cNvPr>
        <xdr:cNvSpPr/>
      </xdr:nvSpPr>
      <xdr:spPr bwMode="auto">
        <a:xfrm>
          <a:off x="4266253" y="57421754"/>
          <a:ext cx="283766" cy="327067"/>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5</a:t>
          </a:r>
          <a:endParaRPr lang="es-PE" sz="1100" b="1">
            <a:solidFill>
              <a:sysClr val="windowText" lastClr="000000"/>
            </a:solidFill>
          </a:endParaRPr>
        </a:p>
      </xdr:txBody>
    </xdr:sp>
    <xdr:clientData/>
  </xdr:twoCellAnchor>
  <xdr:twoCellAnchor>
    <xdr:from>
      <xdr:col>16</xdr:col>
      <xdr:colOff>29283</xdr:colOff>
      <xdr:row>252</xdr:row>
      <xdr:rowOff>138832</xdr:rowOff>
    </xdr:from>
    <xdr:to>
      <xdr:col>19</xdr:col>
      <xdr:colOff>51289</xdr:colOff>
      <xdr:row>253</xdr:row>
      <xdr:rowOff>196572</xdr:rowOff>
    </xdr:to>
    <xdr:sp macro="" textlink="">
      <xdr:nvSpPr>
        <xdr:cNvPr id="18" name="18 Elipse">
          <a:extLst>
            <a:ext uri="{FF2B5EF4-FFF2-40B4-BE49-F238E27FC236}">
              <a16:creationId xmlns:a16="http://schemas.microsoft.com/office/drawing/2014/main" id="{BADF4EA9-D8B8-559E-DFC2-2E6221D711D5}"/>
            </a:ext>
          </a:extLst>
        </xdr:cNvPr>
        <xdr:cNvSpPr/>
      </xdr:nvSpPr>
      <xdr:spPr bwMode="auto">
        <a:xfrm>
          <a:off x="1890321" y="58688274"/>
          <a:ext cx="307756" cy="321510"/>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4</a:t>
          </a:r>
          <a:endParaRPr lang="es-PE" sz="1100" b="1">
            <a:solidFill>
              <a:sysClr val="windowText" lastClr="000000"/>
            </a:solidFill>
          </a:endParaRPr>
        </a:p>
      </xdr:txBody>
    </xdr:sp>
    <xdr:clientData/>
  </xdr:twoCellAnchor>
  <xdr:twoCellAnchor>
    <xdr:from>
      <xdr:col>16</xdr:col>
      <xdr:colOff>27521</xdr:colOff>
      <xdr:row>258</xdr:row>
      <xdr:rowOff>197827</xdr:rowOff>
    </xdr:from>
    <xdr:to>
      <xdr:col>19</xdr:col>
      <xdr:colOff>29329</xdr:colOff>
      <xdr:row>259</xdr:row>
      <xdr:rowOff>230674</xdr:rowOff>
    </xdr:to>
    <xdr:sp macro="" textlink="">
      <xdr:nvSpPr>
        <xdr:cNvPr id="23" name="19 Elipse">
          <a:extLst>
            <a:ext uri="{FF2B5EF4-FFF2-40B4-BE49-F238E27FC236}">
              <a16:creationId xmlns:a16="http://schemas.microsoft.com/office/drawing/2014/main" id="{56463FBC-B50D-5089-289C-191026A46A32}"/>
            </a:ext>
          </a:extLst>
        </xdr:cNvPr>
        <xdr:cNvSpPr/>
      </xdr:nvSpPr>
      <xdr:spPr bwMode="auto">
        <a:xfrm>
          <a:off x="1880939" y="60329885"/>
          <a:ext cx="295158" cy="296616"/>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3</a:t>
          </a:r>
          <a:endParaRPr lang="es-PE" sz="1100" b="1">
            <a:solidFill>
              <a:sysClr val="windowText" lastClr="000000"/>
            </a:solidFill>
          </a:endParaRPr>
        </a:p>
      </xdr:txBody>
    </xdr:sp>
    <xdr:clientData/>
  </xdr:twoCellAnchor>
  <xdr:twoCellAnchor>
    <xdr:from>
      <xdr:col>31</xdr:col>
      <xdr:colOff>73270</xdr:colOff>
      <xdr:row>131</xdr:row>
      <xdr:rowOff>256736</xdr:rowOff>
    </xdr:from>
    <xdr:to>
      <xdr:col>33</xdr:col>
      <xdr:colOff>169912</xdr:colOff>
      <xdr:row>132</xdr:row>
      <xdr:rowOff>252913</xdr:rowOff>
    </xdr:to>
    <xdr:sp macro="" textlink="">
      <xdr:nvSpPr>
        <xdr:cNvPr id="15" name="16 Elipse">
          <a:extLst>
            <a:ext uri="{FF2B5EF4-FFF2-40B4-BE49-F238E27FC236}">
              <a16:creationId xmlns:a16="http://schemas.microsoft.com/office/drawing/2014/main" id="{0908E764-0C7B-8099-FEB2-E69E3DFD1C0E}"/>
            </a:ext>
          </a:extLst>
        </xdr:cNvPr>
        <xdr:cNvSpPr/>
      </xdr:nvSpPr>
      <xdr:spPr bwMode="auto">
        <a:xfrm>
          <a:off x="3480289" y="32905212"/>
          <a:ext cx="287142" cy="267330"/>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b="1"/>
            <a:t>  4</a:t>
          </a:r>
          <a:endParaRPr lang="es-PE" sz="1100" b="1">
            <a:solidFill>
              <a:sysClr val="windowText" lastClr="000000"/>
            </a:solidFill>
          </a:endParaRPr>
        </a:p>
      </xdr:txBody>
    </xdr:sp>
    <xdr:clientData/>
  </xdr:twoCellAnchor>
  <xdr:twoCellAnchor>
    <xdr:from>
      <xdr:col>34</xdr:col>
      <xdr:colOff>95543</xdr:colOff>
      <xdr:row>134</xdr:row>
      <xdr:rowOff>29308</xdr:rowOff>
    </xdr:from>
    <xdr:to>
      <xdr:col>37</xdr:col>
      <xdr:colOff>67627</xdr:colOff>
      <xdr:row>135</xdr:row>
      <xdr:rowOff>32869</xdr:rowOff>
    </xdr:to>
    <xdr:sp macro="" textlink="">
      <xdr:nvSpPr>
        <xdr:cNvPr id="20" name="16 Elipse">
          <a:extLst>
            <a:ext uri="{FF2B5EF4-FFF2-40B4-BE49-F238E27FC236}">
              <a16:creationId xmlns:a16="http://schemas.microsoft.com/office/drawing/2014/main" id="{4706BC3D-CB35-B7C4-F28A-6FEC6C9FD535}"/>
            </a:ext>
          </a:extLst>
        </xdr:cNvPr>
        <xdr:cNvSpPr/>
      </xdr:nvSpPr>
      <xdr:spPr bwMode="auto">
        <a:xfrm>
          <a:off x="3912577" y="33476712"/>
          <a:ext cx="287142" cy="267330"/>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b="1"/>
            <a:t>  3</a:t>
          </a:r>
          <a:endParaRPr lang="es-PE" sz="1100" b="1">
            <a:solidFill>
              <a:sysClr val="windowText" lastClr="000000"/>
            </a:solidFill>
          </a:endParaRPr>
        </a:p>
      </xdr:txBody>
    </xdr:sp>
    <xdr:clientData/>
  </xdr:twoCellAnchor>
  <xdr:twoCellAnchor>
    <xdr:from>
      <xdr:col>13</xdr:col>
      <xdr:colOff>76200</xdr:colOff>
      <xdr:row>59</xdr:row>
      <xdr:rowOff>7620</xdr:rowOff>
    </xdr:from>
    <xdr:to>
      <xdr:col>18</xdr:col>
      <xdr:colOff>121920</xdr:colOff>
      <xdr:row>61</xdr:row>
      <xdr:rowOff>152400</xdr:rowOff>
    </xdr:to>
    <xdr:sp macro="" textlink="">
      <xdr:nvSpPr>
        <xdr:cNvPr id="18755" name="Oval 121">
          <a:extLst>
            <a:ext uri="{FF2B5EF4-FFF2-40B4-BE49-F238E27FC236}">
              <a16:creationId xmlns:a16="http://schemas.microsoft.com/office/drawing/2014/main" id="{2FF8B69E-79C8-ABF3-1E2D-573E238BAB20}"/>
            </a:ext>
          </a:extLst>
        </xdr:cNvPr>
        <xdr:cNvSpPr>
          <a:spLocks noChangeArrowheads="1"/>
        </xdr:cNvSpPr>
      </xdr:nvSpPr>
      <xdr:spPr bwMode="auto">
        <a:xfrm>
          <a:off x="1645920" y="13693140"/>
          <a:ext cx="754380" cy="55626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47</xdr:col>
      <xdr:colOff>68580</xdr:colOff>
      <xdr:row>8</xdr:row>
      <xdr:rowOff>160020</xdr:rowOff>
    </xdr:to>
    <xdr:pic>
      <xdr:nvPicPr>
        <xdr:cNvPr id="18756" name="Imagen 1">
          <a:extLst>
            <a:ext uri="{FF2B5EF4-FFF2-40B4-BE49-F238E27FC236}">
              <a16:creationId xmlns:a16="http://schemas.microsoft.com/office/drawing/2014/main" id="{E3ECFDEF-6D7B-237B-8EEC-9F1AEA02BBF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0"/>
          <a:ext cx="5951220" cy="1501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41</xdr:col>
      <xdr:colOff>83820</xdr:colOff>
      <xdr:row>67</xdr:row>
      <xdr:rowOff>0</xdr:rowOff>
    </xdr:from>
    <xdr:to>
      <xdr:col>43</xdr:col>
      <xdr:colOff>152400</xdr:colOff>
      <xdr:row>67</xdr:row>
      <xdr:rowOff>0</xdr:rowOff>
    </xdr:to>
    <xdr:sp macro="" textlink="">
      <xdr:nvSpPr>
        <xdr:cNvPr id="19607" name="Line 2">
          <a:extLst>
            <a:ext uri="{FF2B5EF4-FFF2-40B4-BE49-F238E27FC236}">
              <a16:creationId xmlns:a16="http://schemas.microsoft.com/office/drawing/2014/main" id="{AB7B3457-08D3-1407-159A-0C5B1B8BBE4A}"/>
            </a:ext>
          </a:extLst>
        </xdr:cNvPr>
        <xdr:cNvSpPr>
          <a:spLocks noChangeShapeType="1"/>
        </xdr:cNvSpPr>
      </xdr:nvSpPr>
      <xdr:spPr bwMode="auto">
        <a:xfrm>
          <a:off x="8717280" y="8976360"/>
          <a:ext cx="36576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38100</xdr:colOff>
      <xdr:row>23</xdr:row>
      <xdr:rowOff>30480</xdr:rowOff>
    </xdr:from>
    <xdr:to>
      <xdr:col>7</xdr:col>
      <xdr:colOff>167640</xdr:colOff>
      <xdr:row>23</xdr:row>
      <xdr:rowOff>144780</xdr:rowOff>
    </xdr:to>
    <xdr:sp macro="" textlink="">
      <xdr:nvSpPr>
        <xdr:cNvPr id="19608" name="Rectangle 3">
          <a:extLst>
            <a:ext uri="{FF2B5EF4-FFF2-40B4-BE49-F238E27FC236}">
              <a16:creationId xmlns:a16="http://schemas.microsoft.com/office/drawing/2014/main" id="{43BD549A-CE0A-CBBD-17E4-DA38262A536C}"/>
            </a:ext>
          </a:extLst>
        </xdr:cNvPr>
        <xdr:cNvSpPr>
          <a:spLocks noChangeArrowheads="1"/>
        </xdr:cNvSpPr>
      </xdr:nvSpPr>
      <xdr:spPr bwMode="auto">
        <a:xfrm>
          <a:off x="1744980" y="3444240"/>
          <a:ext cx="129540" cy="114300"/>
        </a:xfrm>
        <a:prstGeom prst="rect">
          <a:avLst/>
        </a:prstGeom>
        <a:solidFill>
          <a:srgbClr val="FFFFFF"/>
        </a:solidFill>
        <a:ln w="9525">
          <a:solidFill>
            <a:srgbClr val="000000"/>
          </a:solidFill>
          <a:miter lim="800000"/>
          <a:headEnd/>
          <a:tailEnd/>
        </a:ln>
      </xdr:spPr>
    </xdr:sp>
    <xdr:clientData/>
  </xdr:twoCellAnchor>
  <xdr:twoCellAnchor>
    <xdr:from>
      <xdr:col>9</xdr:col>
      <xdr:colOff>38100</xdr:colOff>
      <xdr:row>23</xdr:row>
      <xdr:rowOff>30480</xdr:rowOff>
    </xdr:from>
    <xdr:to>
      <xdr:col>9</xdr:col>
      <xdr:colOff>160020</xdr:colOff>
      <xdr:row>23</xdr:row>
      <xdr:rowOff>144780</xdr:rowOff>
    </xdr:to>
    <xdr:sp macro="" textlink="">
      <xdr:nvSpPr>
        <xdr:cNvPr id="19609" name="Rectangle 4">
          <a:extLst>
            <a:ext uri="{FF2B5EF4-FFF2-40B4-BE49-F238E27FC236}">
              <a16:creationId xmlns:a16="http://schemas.microsoft.com/office/drawing/2014/main" id="{C6F67E9E-0C99-3B46-9B79-420FC810729E}"/>
            </a:ext>
          </a:extLst>
        </xdr:cNvPr>
        <xdr:cNvSpPr>
          <a:spLocks noChangeArrowheads="1"/>
        </xdr:cNvSpPr>
      </xdr:nvSpPr>
      <xdr:spPr bwMode="auto">
        <a:xfrm>
          <a:off x="2171700" y="3444240"/>
          <a:ext cx="12192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76200</xdr:colOff>
      <xdr:row>23</xdr:row>
      <xdr:rowOff>38100</xdr:rowOff>
    </xdr:from>
    <xdr:to>
      <xdr:col>11</xdr:col>
      <xdr:colOff>213360</xdr:colOff>
      <xdr:row>23</xdr:row>
      <xdr:rowOff>152400</xdr:rowOff>
    </xdr:to>
    <xdr:sp macro="" textlink="">
      <xdr:nvSpPr>
        <xdr:cNvPr id="19610" name="Rectangle 5">
          <a:extLst>
            <a:ext uri="{FF2B5EF4-FFF2-40B4-BE49-F238E27FC236}">
              <a16:creationId xmlns:a16="http://schemas.microsoft.com/office/drawing/2014/main" id="{CCE0DB09-6752-240A-6119-A7CE873D192A}"/>
            </a:ext>
          </a:extLst>
        </xdr:cNvPr>
        <xdr:cNvSpPr>
          <a:spLocks noChangeArrowheads="1"/>
        </xdr:cNvSpPr>
      </xdr:nvSpPr>
      <xdr:spPr bwMode="auto">
        <a:xfrm>
          <a:off x="2499360" y="3451860"/>
          <a:ext cx="13716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38100</xdr:colOff>
      <xdr:row>23</xdr:row>
      <xdr:rowOff>30480</xdr:rowOff>
    </xdr:from>
    <xdr:to>
      <xdr:col>13</xdr:col>
      <xdr:colOff>167640</xdr:colOff>
      <xdr:row>23</xdr:row>
      <xdr:rowOff>144780</xdr:rowOff>
    </xdr:to>
    <xdr:sp macro="" textlink="">
      <xdr:nvSpPr>
        <xdr:cNvPr id="19611" name="Rectangle 6">
          <a:extLst>
            <a:ext uri="{FF2B5EF4-FFF2-40B4-BE49-F238E27FC236}">
              <a16:creationId xmlns:a16="http://schemas.microsoft.com/office/drawing/2014/main" id="{41024950-571B-4F45-E493-E03C64B27E96}"/>
            </a:ext>
          </a:extLst>
        </xdr:cNvPr>
        <xdr:cNvSpPr>
          <a:spLocks noChangeArrowheads="1"/>
        </xdr:cNvSpPr>
      </xdr:nvSpPr>
      <xdr:spPr bwMode="auto">
        <a:xfrm>
          <a:off x="2933700" y="3444240"/>
          <a:ext cx="129540" cy="114300"/>
        </a:xfrm>
        <a:prstGeom prst="rect">
          <a:avLst/>
        </a:prstGeom>
        <a:solidFill>
          <a:srgbClr val="000000"/>
        </a:solidFill>
        <a:ln w="9525">
          <a:solidFill>
            <a:srgbClr val="000000"/>
          </a:solidFill>
          <a:miter lim="800000"/>
          <a:headEnd/>
          <a:tailEnd/>
        </a:ln>
      </xdr:spPr>
    </xdr:sp>
    <xdr:clientData/>
  </xdr:twoCellAnchor>
  <xdr:twoCellAnchor>
    <xdr:from>
      <xdr:col>15</xdr:col>
      <xdr:colOff>38100</xdr:colOff>
      <xdr:row>23</xdr:row>
      <xdr:rowOff>30480</xdr:rowOff>
    </xdr:from>
    <xdr:to>
      <xdr:col>15</xdr:col>
      <xdr:colOff>167640</xdr:colOff>
      <xdr:row>23</xdr:row>
      <xdr:rowOff>144780</xdr:rowOff>
    </xdr:to>
    <xdr:sp macro="" textlink="">
      <xdr:nvSpPr>
        <xdr:cNvPr id="19612" name="Rectangle 7">
          <a:extLst>
            <a:ext uri="{FF2B5EF4-FFF2-40B4-BE49-F238E27FC236}">
              <a16:creationId xmlns:a16="http://schemas.microsoft.com/office/drawing/2014/main" id="{D267F464-A680-1AA0-5B21-6DFBD6E7DFAE}"/>
            </a:ext>
          </a:extLst>
        </xdr:cNvPr>
        <xdr:cNvSpPr>
          <a:spLocks noChangeArrowheads="1"/>
        </xdr:cNvSpPr>
      </xdr:nvSpPr>
      <xdr:spPr bwMode="auto">
        <a:xfrm>
          <a:off x="3352800" y="3444240"/>
          <a:ext cx="129540" cy="114300"/>
        </a:xfrm>
        <a:prstGeom prst="rect">
          <a:avLst/>
        </a:prstGeom>
        <a:solidFill>
          <a:srgbClr val="FFFFFF"/>
        </a:solidFill>
        <a:ln w="9525">
          <a:solidFill>
            <a:srgbClr val="000000"/>
          </a:solidFill>
          <a:miter lim="800000"/>
          <a:headEnd/>
          <a:tailEnd/>
        </a:ln>
      </xdr:spPr>
    </xdr:sp>
    <xdr:clientData/>
  </xdr:twoCellAnchor>
  <xdr:twoCellAnchor editAs="oneCell">
    <xdr:from>
      <xdr:col>29</xdr:col>
      <xdr:colOff>160020</xdr:colOff>
      <xdr:row>109</xdr:row>
      <xdr:rowOff>38100</xdr:rowOff>
    </xdr:from>
    <xdr:to>
      <xdr:col>38</xdr:col>
      <xdr:colOff>91440</xdr:colOff>
      <xdr:row>114</xdr:row>
      <xdr:rowOff>144780</xdr:rowOff>
    </xdr:to>
    <xdr:pic>
      <xdr:nvPicPr>
        <xdr:cNvPr id="19613" name="8 Imagen">
          <a:extLst>
            <a:ext uri="{FF2B5EF4-FFF2-40B4-BE49-F238E27FC236}">
              <a16:creationId xmlns:a16="http://schemas.microsoft.com/office/drawing/2014/main" id="{B098AC1E-6ED2-4998-A853-E515BFC9A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6416040" y="16878300"/>
          <a:ext cx="151638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43</xdr:col>
      <xdr:colOff>182880</xdr:colOff>
      <xdr:row>12</xdr:row>
      <xdr:rowOff>114300</xdr:rowOff>
    </xdr:to>
    <xdr:pic>
      <xdr:nvPicPr>
        <xdr:cNvPr id="19614" name="Imagen 1">
          <a:extLst>
            <a:ext uri="{FF2B5EF4-FFF2-40B4-BE49-F238E27FC236}">
              <a16:creationId xmlns:a16="http://schemas.microsoft.com/office/drawing/2014/main" id="{7143E133-239F-6B33-14CE-981947D51A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9113520" cy="2125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33</xdr:col>
      <xdr:colOff>68580</xdr:colOff>
      <xdr:row>122</xdr:row>
      <xdr:rowOff>236220</xdr:rowOff>
    </xdr:from>
    <xdr:to>
      <xdr:col>42</xdr:col>
      <xdr:colOff>68580</xdr:colOff>
      <xdr:row>126</xdr:row>
      <xdr:rowOff>114300</xdr:rowOff>
    </xdr:to>
    <xdr:pic>
      <xdr:nvPicPr>
        <xdr:cNvPr id="6885" name="30 Imagen">
          <a:extLst>
            <a:ext uri="{FF2B5EF4-FFF2-40B4-BE49-F238E27FC236}">
              <a16:creationId xmlns:a16="http://schemas.microsoft.com/office/drawing/2014/main" id="{F91F15E0-7CD6-82E3-A137-137E1764C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779" t="7574" r="16949" b="7021"/>
        <a:stretch>
          <a:fillRect/>
        </a:stretch>
      </xdr:blipFill>
      <xdr:spPr bwMode="auto">
        <a:xfrm>
          <a:off x="3695700" y="16901160"/>
          <a:ext cx="89154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47</xdr:col>
      <xdr:colOff>99060</xdr:colOff>
      <xdr:row>10</xdr:row>
      <xdr:rowOff>160020</xdr:rowOff>
    </xdr:to>
    <xdr:pic>
      <xdr:nvPicPr>
        <xdr:cNvPr id="6886" name="Imagen 1">
          <a:extLst>
            <a:ext uri="{FF2B5EF4-FFF2-40B4-BE49-F238E27FC236}">
              <a16:creationId xmlns:a16="http://schemas.microsoft.com/office/drawing/2014/main" id="{FDFEB130-884C-7802-1934-51FEAD7684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511302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45720</xdr:rowOff>
    </xdr:from>
    <xdr:to>
      <xdr:col>2</xdr:col>
      <xdr:colOff>274320</xdr:colOff>
      <xdr:row>0</xdr:row>
      <xdr:rowOff>563880</xdr:rowOff>
    </xdr:to>
    <xdr:pic>
      <xdr:nvPicPr>
        <xdr:cNvPr id="7861" name="1 Imagen">
          <a:extLst>
            <a:ext uri="{FF2B5EF4-FFF2-40B4-BE49-F238E27FC236}">
              <a16:creationId xmlns:a16="http://schemas.microsoft.com/office/drawing/2014/main" id="{5773302B-5D42-2239-B8BD-CDB10570DA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45720"/>
          <a:ext cx="194310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167640</xdr:colOff>
      <xdr:row>25</xdr:row>
      <xdr:rowOff>30480</xdr:rowOff>
    </xdr:from>
    <xdr:to>
      <xdr:col>13</xdr:col>
      <xdr:colOff>708660</xdr:colOff>
      <xdr:row>33</xdr:row>
      <xdr:rowOff>106680</xdr:rowOff>
    </xdr:to>
    <xdr:pic>
      <xdr:nvPicPr>
        <xdr:cNvPr id="7862" name="30 Imagen">
          <a:extLst>
            <a:ext uri="{FF2B5EF4-FFF2-40B4-BE49-F238E27FC236}">
              <a16:creationId xmlns:a16="http://schemas.microsoft.com/office/drawing/2014/main" id="{FC89F1BF-5FDB-62DE-F4B3-5BD848CACF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8305800" y="5981700"/>
          <a:ext cx="2758440" cy="1386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xdr:colOff>
      <xdr:row>0</xdr:row>
      <xdr:rowOff>68580</xdr:rowOff>
    </xdr:from>
    <xdr:to>
      <xdr:col>5</xdr:col>
      <xdr:colOff>198120</xdr:colOff>
      <xdr:row>0</xdr:row>
      <xdr:rowOff>541020</xdr:rowOff>
    </xdr:to>
    <xdr:pic>
      <xdr:nvPicPr>
        <xdr:cNvPr id="16759" name="1 Imagen">
          <a:extLst>
            <a:ext uri="{FF2B5EF4-FFF2-40B4-BE49-F238E27FC236}">
              <a16:creationId xmlns:a16="http://schemas.microsoft.com/office/drawing/2014/main" id="{2BF61AAE-B869-ABBB-16E3-95742C4D74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68580"/>
          <a:ext cx="233172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68580</xdr:colOff>
      <xdr:row>0</xdr:row>
      <xdr:rowOff>68580</xdr:rowOff>
    </xdr:from>
    <xdr:to>
      <xdr:col>19</xdr:col>
      <xdr:colOff>198120</xdr:colOff>
      <xdr:row>0</xdr:row>
      <xdr:rowOff>541020</xdr:rowOff>
    </xdr:to>
    <xdr:pic>
      <xdr:nvPicPr>
        <xdr:cNvPr id="16760" name="2 Imagen">
          <a:extLst>
            <a:ext uri="{FF2B5EF4-FFF2-40B4-BE49-F238E27FC236}">
              <a16:creationId xmlns:a16="http://schemas.microsoft.com/office/drawing/2014/main" id="{1DD48BD8-8DD4-943B-0E74-77363DF321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2780" y="68580"/>
          <a:ext cx="233172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29</xdr:col>
      <xdr:colOff>68580</xdr:colOff>
      <xdr:row>0</xdr:row>
      <xdr:rowOff>68580</xdr:rowOff>
    </xdr:from>
    <xdr:ext cx="2272665" cy="472440"/>
    <xdr:pic>
      <xdr:nvPicPr>
        <xdr:cNvPr id="2" name="1 Imagen">
          <a:extLst>
            <a:ext uri="{FF2B5EF4-FFF2-40B4-BE49-F238E27FC236}">
              <a16:creationId xmlns:a16="http://schemas.microsoft.com/office/drawing/2014/main" id="{09AE4376-721A-40F7-B417-E4FE091BDB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68580"/>
          <a:ext cx="2272665"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68580</xdr:colOff>
      <xdr:row>0</xdr:row>
      <xdr:rowOff>68580</xdr:rowOff>
    </xdr:from>
    <xdr:to>
      <xdr:col>5</xdr:col>
      <xdr:colOff>198120</xdr:colOff>
      <xdr:row>0</xdr:row>
      <xdr:rowOff>541020</xdr:rowOff>
    </xdr:to>
    <xdr:pic>
      <xdr:nvPicPr>
        <xdr:cNvPr id="20494" name="1 Imagen">
          <a:extLst>
            <a:ext uri="{FF2B5EF4-FFF2-40B4-BE49-F238E27FC236}">
              <a16:creationId xmlns:a16="http://schemas.microsoft.com/office/drawing/2014/main" id="{19CE5FD4-8846-6EC6-81AF-D0A08B2CA7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68580"/>
          <a:ext cx="233172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68580</xdr:colOff>
      <xdr:row>0</xdr:row>
      <xdr:rowOff>0</xdr:rowOff>
    </xdr:from>
    <xdr:to>
      <xdr:col>19</xdr:col>
      <xdr:colOff>426720</xdr:colOff>
      <xdr:row>0</xdr:row>
      <xdr:rowOff>472440</xdr:rowOff>
    </xdr:to>
    <xdr:pic>
      <xdr:nvPicPr>
        <xdr:cNvPr id="20495" name="2 Imagen">
          <a:extLst>
            <a:ext uri="{FF2B5EF4-FFF2-40B4-BE49-F238E27FC236}">
              <a16:creationId xmlns:a16="http://schemas.microsoft.com/office/drawing/2014/main" id="{1DD09878-40B4-8856-097A-0D7D3ED898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232410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BVANET%202019\CORRELATIVOS%202019\FORMATO%20DE%20INFORMES%202019\FORMATO%20BANBIF-NUEVO%20ACTUALIZADO-CASA%20O%20TERRENO.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Nevha%20Corilla\Desktop\Funcion-numeros-a-letras-mas-moneda.xla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ISETH%20RAMIREZ\AppData\Roaming\Microsoft\AddIns\Funcion-numeros-a-letra%20(1).xlam" TargetMode="External"/><Relationship Id="rId1" Type="http://schemas.openxmlformats.org/officeDocument/2006/relationships/externalLinkPath" Target="file:///C:\Users\LISETH%20RAMIREZ\AppData\Roaming\Microsoft\AddIns\Funcion-numeros-a-letra%20(1).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HR-1"/>
      <sheetName val="MD Datos"/>
      <sheetName val="MD Áreas"/>
      <sheetName val="AM Terrenos"/>
      <sheetName val="AM Costos"/>
      <sheetName val="TABLA DEPRECIACION"/>
      <sheetName val="AM Mercado"/>
      <sheetName val="CAPITULO II - MC MER (2)"/>
      <sheetName val="CAPITULO II - MC MER (3)"/>
      <sheetName val="RESUL VC"/>
      <sheetName val="ANEXO I"/>
      <sheetName val="ANEXO II"/>
      <sheetName val="FOTOS I"/>
      <sheetName val="FOTOS II"/>
      <sheetName val="PE"/>
      <sheetName val="PE (2)"/>
      <sheetName val="PE (3)"/>
      <sheetName val="PE (4)"/>
      <sheetName val="PE (5)"/>
      <sheetName val="PE (6)"/>
      <sheetName val="PE (7)"/>
      <sheetName val="PE (8)"/>
      <sheetName val="PE (9)"/>
      <sheetName val="PE (10)"/>
      <sheetName val="PE (11)"/>
      <sheetName val="PE (12)"/>
      <sheetName val="PU"/>
      <sheetName val="PU (2)"/>
      <sheetName val="PU (3)"/>
      <sheetName val="PU (4)"/>
      <sheetName val="Otros"/>
      <sheetName val="Otros (2)"/>
      <sheetName val="Otros (3)"/>
      <sheetName val="Otros (4)"/>
      <sheetName val="Otros (5)"/>
      <sheetName val="Otros (6)"/>
      <sheetName val="Otros (7)"/>
      <sheetName val="Otros (8)"/>
      <sheetName val="Otros (9)"/>
      <sheetName val="Otros (10)"/>
      <sheetName val="Listas"/>
      <sheetName val="2014"/>
    </sheetNames>
    <sheetDataSet>
      <sheetData sheetId="0"/>
      <sheetData sheetId="1"/>
      <sheetData sheetId="2">
        <row r="14">
          <cell r="Z14">
            <v>43783</v>
          </cell>
        </row>
        <row r="49">
          <cell r="J49"/>
        </row>
        <row r="51">
          <cell r="J51"/>
        </row>
        <row r="53">
          <cell r="J53"/>
        </row>
      </sheetData>
      <sheetData sheetId="3">
        <row r="33">
          <cell r="S33">
            <v>0</v>
          </cell>
        </row>
        <row r="43">
          <cell r="K43">
            <v>0</v>
          </cell>
        </row>
      </sheetData>
      <sheetData sheetId="4"/>
      <sheetData sheetId="5">
        <row r="28">
          <cell r="X28">
            <v>0</v>
          </cell>
        </row>
      </sheetData>
      <sheetData sheetId="6"/>
      <sheetData sheetId="7"/>
      <sheetData sheetId="8"/>
      <sheetData sheetId="9"/>
      <sheetData sheetId="10">
        <row r="45">
          <cell r="X45">
            <v>0</v>
          </cell>
        </row>
        <row r="59">
          <cell r="R59">
            <v>0.2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1">
          <cell r="A1" t="str">
            <v>LISTAS</v>
          </cell>
          <cell r="C1"/>
        </row>
        <row r="2">
          <cell r="A2" t="str">
            <v>TIPO DE PRODUCTO BBVA (1)</v>
          </cell>
          <cell r="C2" t="str">
            <v>TIPO DE TASACIÓN</v>
          </cell>
        </row>
        <row r="3">
          <cell r="A3" t="str">
            <v>CONTICASA</v>
          </cell>
          <cell r="C3" t="str">
            <v>Comercial</v>
          </cell>
        </row>
        <row r="4">
          <cell r="A4" t="str">
            <v>COMERCIAL</v>
          </cell>
          <cell r="C4" t="str">
            <v>Hipotecaria</v>
          </cell>
        </row>
        <row r="5">
          <cell r="A5" t="str">
            <v>JUDICIAL</v>
          </cell>
          <cell r="C5"/>
        </row>
        <row r="6">
          <cell r="A6" t="str">
            <v>SOLARIZACIÓN</v>
          </cell>
        </row>
        <row r="7">
          <cell r="A7" t="str">
            <v>SUBROGADA</v>
          </cell>
        </row>
        <row r="8">
          <cell r="A8" t="str">
            <v>CONTIPUENTE BBVA</v>
          </cell>
        </row>
        <row r="9">
          <cell r="A9" t="str">
            <v>CONTIPUENTE BBVA - MI VIVIENDA</v>
          </cell>
        </row>
        <row r="10">
          <cell r="A10" t="str">
            <v>CONTIPUENTE BBVA - TECHO PROPIO</v>
          </cell>
        </row>
        <row r="11">
          <cell r="A11" t="str">
            <v xml:space="preserve">CONTIPUENTE OTRO BANCO </v>
          </cell>
        </row>
        <row r="12">
          <cell r="A12" t="str">
            <v>CONTIPUENTE OTRO BANCO - MI VIVIENDA</v>
          </cell>
        </row>
        <row r="13">
          <cell r="A13" t="str">
            <v>CONTIPUENTE OTRO BANCO - TECHO PROPIO</v>
          </cell>
        </row>
        <row r="14">
          <cell r="A14" t="str">
            <v>BIEN TERMINADO</v>
          </cell>
        </row>
        <row r="15">
          <cell r="A15" t="str">
            <v>BIEN FUTURO</v>
          </cell>
        </row>
        <row r="16">
          <cell r="A16" t="str">
            <v>LEASING</v>
          </cell>
        </row>
        <row r="17">
          <cell r="A17" t="str">
            <v>CASAGUAPA</v>
          </cell>
        </row>
        <row r="18">
          <cell r="A18" t="str">
            <v>CONTILOCAL</v>
          </cell>
        </row>
      </sheetData>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Funcion-numeros-a-letras-mas-mo"/>
    </sheetNames>
    <definedNames>
      <definedName name="NumeLetra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definedNames>
      <definedName name="NumeLetras"/>
    </defined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9900"/>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9900"/>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0475-16E8-418F-ACF3-2E312A8C2A67}">
  <sheetPr>
    <pageSetUpPr fitToPage="1"/>
  </sheetPr>
  <dimension ref="A1:BX131"/>
  <sheetViews>
    <sheetView tabSelected="1" topLeftCell="A22" zoomScale="70" zoomScaleNormal="70" zoomScaleSheetLayoutView="100" workbookViewId="0">
      <selection activeCell="AJ48" sqref="AJ48"/>
    </sheetView>
  </sheetViews>
  <sheetFormatPr baseColWidth="10" defaultRowHeight="12.75" x14ac:dyDescent="0.2"/>
  <cols>
    <col min="1" max="1" width="3.140625" customWidth="1"/>
    <col min="2" max="5" width="5.140625" customWidth="1"/>
    <col min="6" max="6" width="6.140625" customWidth="1"/>
    <col min="7" max="7" width="5.140625" customWidth="1"/>
    <col min="8" max="8" width="6.42578125" customWidth="1"/>
    <col min="9" max="18" width="5.140625" customWidth="1"/>
    <col min="19" max="19" width="8" customWidth="1"/>
    <col min="20" max="29" width="5.140625" customWidth="1"/>
    <col min="30" max="30" width="5.42578125" customWidth="1"/>
    <col min="31" max="31" width="5.140625" customWidth="1"/>
  </cols>
  <sheetData>
    <row r="1" spans="1:31" ht="13.5" customHeight="1" x14ac:dyDescent="0.2">
      <c r="A1" s="188"/>
      <c r="B1" s="188"/>
      <c r="C1" s="188"/>
      <c r="D1" s="188"/>
      <c r="E1" s="188"/>
      <c r="F1" s="188"/>
      <c r="G1" s="188"/>
      <c r="H1" s="188"/>
      <c r="I1" s="188"/>
      <c r="J1" s="188"/>
      <c r="K1" s="188"/>
      <c r="L1" s="188"/>
      <c r="M1" s="188"/>
      <c r="N1" s="188"/>
      <c r="O1" s="188"/>
      <c r="P1" s="188"/>
      <c r="Q1" s="645"/>
      <c r="R1" s="645"/>
      <c r="S1" s="645"/>
      <c r="T1" s="645"/>
      <c r="U1" s="645"/>
      <c r="V1" s="189"/>
      <c r="W1" s="608"/>
      <c r="X1" s="608"/>
      <c r="Y1" s="608"/>
      <c r="Z1" s="608"/>
      <c r="AA1" s="608"/>
      <c r="AB1" s="608"/>
      <c r="AC1" s="608"/>
      <c r="AD1" s="608"/>
      <c r="AE1" s="190"/>
    </row>
    <row r="2" spans="1:31" ht="13.5" customHeight="1" x14ac:dyDescent="0.2">
      <c r="A2" s="188"/>
      <c r="B2" s="188"/>
      <c r="C2" s="188"/>
      <c r="D2" s="188"/>
      <c r="E2" s="188"/>
      <c r="F2" s="188"/>
      <c r="G2" s="188"/>
      <c r="H2" s="188"/>
      <c r="I2" s="188"/>
      <c r="J2" s="188"/>
      <c r="K2" s="188"/>
      <c r="L2" s="188"/>
      <c r="M2" s="188"/>
      <c r="N2" s="188"/>
      <c r="O2" s="188"/>
      <c r="P2" s="188"/>
      <c r="Q2" s="645"/>
      <c r="R2" s="645"/>
      <c r="S2" s="645"/>
      <c r="T2" s="645"/>
      <c r="U2" s="645"/>
      <c r="V2" s="189"/>
      <c r="W2" s="608"/>
      <c r="X2" s="608"/>
      <c r="Y2" s="608"/>
      <c r="Z2" s="608"/>
      <c r="AA2" s="608"/>
      <c r="AB2" s="608"/>
      <c r="AC2" s="608"/>
      <c r="AD2" s="608"/>
      <c r="AE2" s="190"/>
    </row>
    <row r="3" spans="1:31" ht="13.5" customHeight="1" x14ac:dyDescent="0.2">
      <c r="A3" s="246"/>
      <c r="B3" s="246"/>
      <c r="C3" s="246"/>
      <c r="D3" s="246"/>
      <c r="E3" s="246"/>
      <c r="F3" s="246"/>
      <c r="G3" s="246"/>
      <c r="H3" s="246"/>
      <c r="I3" s="246"/>
      <c r="J3" s="246"/>
      <c r="K3" s="246"/>
      <c r="L3" s="246"/>
      <c r="M3" s="246"/>
      <c r="N3" s="246"/>
      <c r="O3" s="246"/>
      <c r="P3" s="246"/>
      <c r="Q3" s="606"/>
      <c r="R3" s="606"/>
      <c r="S3" s="606"/>
      <c r="T3" s="606"/>
      <c r="U3" s="606"/>
      <c r="W3" s="607"/>
      <c r="X3" s="607"/>
      <c r="Y3" s="607"/>
      <c r="Z3" s="607"/>
      <c r="AA3" s="607"/>
      <c r="AB3" s="607"/>
      <c r="AC3" s="607"/>
      <c r="AD3" s="607"/>
      <c r="AE3" s="191"/>
    </row>
    <row r="4" spans="1:31" ht="13.5" customHeight="1" x14ac:dyDescent="0.2">
      <c r="A4" s="246"/>
      <c r="B4" s="246"/>
      <c r="C4" s="246"/>
      <c r="D4" s="246"/>
      <c r="E4" s="246"/>
      <c r="F4" s="246"/>
      <c r="G4" s="246"/>
      <c r="H4" s="246"/>
      <c r="I4" s="246"/>
      <c r="J4" s="246"/>
      <c r="K4" s="246"/>
      <c r="L4" s="246"/>
      <c r="M4" s="246"/>
      <c r="N4" s="246"/>
      <c r="O4" s="246"/>
      <c r="P4" s="246"/>
      <c r="Q4" s="606"/>
      <c r="R4" s="606"/>
      <c r="S4" s="606"/>
      <c r="T4" s="606"/>
      <c r="U4" s="606"/>
      <c r="W4" s="607"/>
      <c r="X4" s="607"/>
      <c r="Y4" s="607"/>
      <c r="Z4" s="607"/>
      <c r="AA4" s="607"/>
      <c r="AB4" s="607"/>
      <c r="AC4" s="607"/>
      <c r="AD4" s="607"/>
      <c r="AE4" s="191"/>
    </row>
    <row r="5" spans="1:31" ht="13.5" customHeight="1" x14ac:dyDescent="0.2">
      <c r="A5" s="246"/>
      <c r="B5" s="246"/>
      <c r="C5" s="246"/>
      <c r="D5" s="246"/>
      <c r="E5" s="246"/>
      <c r="F5" s="246"/>
      <c r="G5" s="246"/>
      <c r="H5" s="246"/>
      <c r="I5" s="246"/>
      <c r="J5" s="246"/>
      <c r="K5" s="246"/>
      <c r="L5" s="246"/>
      <c r="M5" s="246"/>
      <c r="N5" s="246"/>
      <c r="O5" s="246"/>
      <c r="P5" s="246"/>
      <c r="Q5" s="606"/>
      <c r="R5" s="606"/>
      <c r="S5" s="606"/>
      <c r="T5" s="606"/>
      <c r="U5" s="606"/>
      <c r="V5" s="189"/>
      <c r="W5" s="608"/>
      <c r="X5" s="608"/>
      <c r="Y5" s="608"/>
      <c r="Z5" s="608"/>
      <c r="AA5" s="608"/>
      <c r="AB5" s="608"/>
      <c r="AC5" s="608"/>
      <c r="AD5" s="608"/>
      <c r="AE5" s="190"/>
    </row>
    <row r="6" spans="1:31" ht="33" customHeight="1" x14ac:dyDescent="0.2">
      <c r="A6" s="246"/>
      <c r="B6" s="246"/>
      <c r="C6" s="246"/>
      <c r="D6" s="246"/>
      <c r="E6" s="246"/>
      <c r="F6" s="246"/>
      <c r="G6" s="246"/>
      <c r="H6" s="246"/>
      <c r="I6" s="246"/>
      <c r="J6" s="246"/>
      <c r="K6" s="246"/>
      <c r="L6" s="246"/>
      <c r="M6" s="246"/>
      <c r="N6" s="246"/>
      <c r="O6" s="246"/>
      <c r="P6" s="246"/>
      <c r="Q6" s="606"/>
      <c r="R6" s="606"/>
      <c r="S6" s="606"/>
      <c r="T6" s="606"/>
      <c r="U6" s="606"/>
      <c r="W6" s="607"/>
      <c r="X6" s="607"/>
      <c r="Y6" s="607"/>
      <c r="Z6" s="607"/>
      <c r="AA6" s="607"/>
      <c r="AB6" s="607"/>
      <c r="AC6" s="607"/>
      <c r="AD6" s="607"/>
      <c r="AE6" s="191"/>
    </row>
    <row r="7" spans="1:31" ht="13.5" customHeight="1" x14ac:dyDescent="0.2">
      <c r="A7" s="246"/>
      <c r="B7" s="246"/>
      <c r="C7" s="246"/>
      <c r="D7" s="246"/>
      <c r="E7" s="246"/>
      <c r="F7" s="246"/>
      <c r="G7" s="246"/>
      <c r="H7" s="246"/>
      <c r="I7" s="246"/>
      <c r="J7" s="246"/>
      <c r="K7" s="246"/>
      <c r="L7" s="246"/>
      <c r="M7" s="246"/>
      <c r="N7" s="246"/>
      <c r="O7" s="246"/>
      <c r="P7" s="246"/>
      <c r="Q7" s="606"/>
      <c r="R7" s="606"/>
      <c r="S7" s="606"/>
      <c r="T7" s="606"/>
      <c r="U7" s="606"/>
      <c r="W7" s="607"/>
      <c r="X7" s="607"/>
      <c r="Y7" s="607"/>
      <c r="Z7" s="607"/>
      <c r="AA7" s="607"/>
      <c r="AB7" s="607"/>
      <c r="AC7" s="607"/>
      <c r="AD7" s="607"/>
      <c r="AE7" s="191"/>
    </row>
    <row r="8" spans="1:31" ht="13.5" customHeight="1" x14ac:dyDescent="0.2">
      <c r="A8" s="246"/>
      <c r="B8" s="246"/>
      <c r="C8" s="246"/>
      <c r="D8" s="246"/>
      <c r="E8" s="246"/>
      <c r="F8" s="246"/>
      <c r="G8" s="246"/>
      <c r="H8" s="246"/>
      <c r="I8" s="246"/>
      <c r="J8" s="246"/>
      <c r="K8" s="246"/>
      <c r="L8" s="246"/>
      <c r="M8" s="246"/>
      <c r="N8" s="246"/>
      <c r="O8" s="246"/>
      <c r="P8" s="246"/>
      <c r="Q8" s="606"/>
      <c r="R8" s="606"/>
      <c r="S8" s="606"/>
      <c r="T8" s="606"/>
      <c r="U8" s="606"/>
      <c r="W8" s="607"/>
      <c r="X8" s="607"/>
      <c r="Y8" s="607"/>
      <c r="Z8" s="607"/>
      <c r="AA8" s="607"/>
      <c r="AB8" s="607"/>
      <c r="AC8" s="607"/>
      <c r="AD8" s="607"/>
      <c r="AE8" s="191"/>
    </row>
    <row r="9" spans="1:31" ht="13.5" customHeight="1" x14ac:dyDescent="0.2">
      <c r="A9" s="246"/>
      <c r="B9" s="246"/>
      <c r="C9" s="246"/>
      <c r="D9" s="246"/>
      <c r="E9" s="246"/>
      <c r="F9" s="246"/>
      <c r="G9" s="246"/>
      <c r="H9" s="246"/>
      <c r="I9" s="246"/>
      <c r="J9" s="246"/>
      <c r="K9" s="246"/>
      <c r="L9" s="246"/>
      <c r="M9" s="246"/>
      <c r="N9" s="246"/>
      <c r="O9" s="246"/>
      <c r="P9" s="246"/>
      <c r="Q9" s="606"/>
      <c r="R9" s="606"/>
      <c r="S9" s="606"/>
      <c r="T9" s="606"/>
      <c r="U9" s="606"/>
      <c r="V9" s="189"/>
      <c r="W9" s="608"/>
      <c r="X9" s="608"/>
      <c r="Y9" s="608"/>
      <c r="Z9" s="608"/>
      <c r="AA9" s="608"/>
      <c r="AB9" s="608"/>
      <c r="AC9" s="608"/>
      <c r="AD9" s="608"/>
      <c r="AE9" s="190"/>
    </row>
    <row r="10" spans="1:31" ht="19.5" customHeight="1" x14ac:dyDescent="0.2">
      <c r="A10" s="246"/>
      <c r="B10" s="246"/>
      <c r="C10" s="246"/>
      <c r="D10" s="246"/>
      <c r="E10" s="246"/>
      <c r="F10" s="246"/>
      <c r="G10" s="246"/>
      <c r="H10" s="246"/>
      <c r="I10" s="246"/>
      <c r="J10" s="246"/>
      <c r="K10" s="246"/>
      <c r="L10" s="246"/>
      <c r="M10" s="246"/>
      <c r="N10" s="246"/>
      <c r="O10" s="246"/>
      <c r="P10" s="246"/>
      <c r="Q10" s="606"/>
      <c r="R10" s="606"/>
      <c r="S10" s="606"/>
      <c r="T10" s="606"/>
      <c r="U10" s="606"/>
      <c r="V10" s="189"/>
      <c r="W10" s="608"/>
      <c r="X10" s="608"/>
      <c r="Y10" s="608"/>
      <c r="Z10" s="608"/>
      <c r="AA10" s="608"/>
      <c r="AB10" s="608"/>
      <c r="AC10" s="608"/>
      <c r="AD10" s="608"/>
      <c r="AE10" s="190"/>
    </row>
    <row r="11" spans="1:31" ht="13.5" customHeight="1" x14ac:dyDescent="0.2">
      <c r="A11" s="246"/>
      <c r="B11" s="246"/>
      <c r="C11" s="246"/>
      <c r="D11" s="246"/>
      <c r="E11" s="246"/>
      <c r="F11" s="246"/>
      <c r="G11" s="246"/>
      <c r="H11" s="246"/>
      <c r="I11" s="246"/>
      <c r="J11" s="246"/>
      <c r="K11" s="246"/>
      <c r="L11" s="246"/>
      <c r="M11" s="246"/>
      <c r="N11" s="246"/>
      <c r="O11" s="246"/>
      <c r="P11" s="246"/>
      <c r="Q11" s="247"/>
      <c r="R11" s="247"/>
      <c r="S11" s="247"/>
      <c r="T11" s="247"/>
      <c r="U11" s="247"/>
      <c r="W11" s="612"/>
      <c r="X11" s="612"/>
      <c r="Y11" s="612"/>
      <c r="Z11" s="612"/>
      <c r="AA11" s="612"/>
      <c r="AB11" s="612"/>
      <c r="AC11" s="612"/>
      <c r="AD11" s="612"/>
      <c r="AE11" s="248"/>
    </row>
    <row r="12" spans="1:31" ht="13.5" customHeight="1" x14ac:dyDescent="0.2">
      <c r="A12" s="246"/>
      <c r="B12" s="246"/>
      <c r="C12" s="246"/>
      <c r="D12" s="246"/>
      <c r="E12" s="246"/>
      <c r="F12" s="246"/>
      <c r="G12" s="246"/>
      <c r="H12" s="246"/>
      <c r="I12" s="246"/>
      <c r="J12" s="246"/>
      <c r="K12" s="246"/>
      <c r="L12" s="246"/>
      <c r="M12" s="246"/>
      <c r="N12" s="246"/>
      <c r="O12" s="246"/>
      <c r="P12" s="246"/>
      <c r="V12" s="613" t="s">
        <v>2263</v>
      </c>
      <c r="W12" s="614"/>
      <c r="X12" s="614"/>
      <c r="Y12" s="614"/>
      <c r="Z12" s="614"/>
      <c r="AA12" s="638"/>
      <c r="AB12" s="638"/>
      <c r="AC12" s="638"/>
      <c r="AD12" s="639"/>
      <c r="AE12" s="190"/>
    </row>
    <row r="13" spans="1:31" ht="13.5" customHeight="1" x14ac:dyDescent="0.2">
      <c r="A13" s="246"/>
      <c r="B13" s="246"/>
      <c r="C13" s="246"/>
      <c r="D13" s="246"/>
      <c r="E13" s="246"/>
      <c r="F13" s="246"/>
      <c r="G13" s="246"/>
      <c r="H13" s="246"/>
      <c r="I13" s="246"/>
      <c r="J13" s="246"/>
      <c r="K13" s="246"/>
      <c r="L13" s="246"/>
      <c r="M13" s="246"/>
      <c r="N13" s="246"/>
      <c r="O13" s="246"/>
      <c r="P13" s="246"/>
      <c r="V13" s="615" t="s">
        <v>2264</v>
      </c>
      <c r="W13" s="616"/>
      <c r="X13" s="616"/>
      <c r="Y13" s="616"/>
      <c r="Z13" s="616"/>
      <c r="AA13" s="640"/>
      <c r="AB13" s="641"/>
      <c r="AC13" s="641"/>
      <c r="AD13" s="642"/>
      <c r="AE13" s="190"/>
    </row>
    <row r="14" spans="1:31" ht="13.5" customHeight="1" x14ac:dyDescent="0.2">
      <c r="A14" s="246"/>
      <c r="B14" s="648" t="s">
        <v>2330</v>
      </c>
      <c r="C14" s="648"/>
      <c r="D14" s="648"/>
      <c r="E14" s="326"/>
      <c r="F14" s="246"/>
      <c r="G14" s="246"/>
      <c r="H14" s="246"/>
      <c r="I14" s="246"/>
      <c r="J14" s="246"/>
      <c r="K14" s="246"/>
      <c r="L14" s="246"/>
      <c r="M14" s="246"/>
      <c r="N14" s="246"/>
      <c r="O14" s="246"/>
      <c r="P14" s="246"/>
      <c r="V14" s="615" t="s">
        <v>2265</v>
      </c>
      <c r="W14" s="616"/>
      <c r="X14" s="616"/>
      <c r="Y14" s="616"/>
      <c r="Z14" s="616"/>
      <c r="AA14" s="643">
        <v>45658</v>
      </c>
      <c r="AB14" s="643"/>
      <c r="AC14" s="643"/>
      <c r="AD14" s="644"/>
      <c r="AE14" s="191"/>
    </row>
    <row r="15" spans="1:31" ht="13.5" customHeight="1" x14ac:dyDescent="0.2">
      <c r="A15" s="246"/>
      <c r="B15" s="649"/>
      <c r="C15" s="649"/>
      <c r="D15" s="649"/>
      <c r="E15" s="326"/>
      <c r="F15" s="246"/>
      <c r="G15" s="246"/>
      <c r="H15" s="246"/>
      <c r="I15" s="246"/>
      <c r="J15" s="246"/>
      <c r="K15" s="246"/>
      <c r="L15" s="246"/>
      <c r="M15" s="246"/>
      <c r="N15" s="246"/>
      <c r="O15" s="246"/>
      <c r="P15" s="246"/>
      <c r="V15" s="650" t="s">
        <v>2266</v>
      </c>
      <c r="W15" s="651"/>
      <c r="X15" s="651"/>
      <c r="Y15" s="651"/>
      <c r="Z15" s="651"/>
      <c r="AA15" s="646">
        <f>AA14+365</f>
        <v>46023</v>
      </c>
      <c r="AB15" s="646"/>
      <c r="AC15" s="646"/>
      <c r="AD15" s="647"/>
      <c r="AE15" s="191"/>
    </row>
    <row r="16" spans="1:31" s="192" customFormat="1" ht="13.5" customHeight="1" x14ac:dyDescent="0.25">
      <c r="B16" s="653" t="s">
        <v>2267</v>
      </c>
      <c r="C16" s="654"/>
      <c r="D16" s="654"/>
      <c r="E16" s="654"/>
      <c r="F16" s="654"/>
      <c r="G16" s="654"/>
      <c r="H16" s="654"/>
      <c r="I16" s="654"/>
      <c r="J16" s="654"/>
      <c r="K16" s="654"/>
      <c r="L16" s="654"/>
      <c r="M16" s="654"/>
      <c r="N16" s="654"/>
      <c r="O16" s="654"/>
      <c r="P16" s="654"/>
      <c r="Q16" s="654"/>
      <c r="R16" s="654"/>
      <c r="S16" s="654"/>
      <c r="T16" s="654"/>
      <c r="U16" s="654"/>
      <c r="V16" s="654"/>
      <c r="W16" s="654"/>
      <c r="X16" s="654"/>
      <c r="Y16" s="654"/>
      <c r="Z16" s="654"/>
      <c r="AA16" s="654"/>
      <c r="AB16" s="654"/>
      <c r="AC16" s="654"/>
      <c r="AD16" s="655"/>
    </row>
    <row r="17" spans="1:31" s="194" customFormat="1" ht="13.5" hidden="1" customHeight="1" x14ac:dyDescent="0.25">
      <c r="A17" s="193"/>
      <c r="B17" s="623" t="s">
        <v>2268</v>
      </c>
      <c r="C17" s="624"/>
      <c r="D17" s="624"/>
      <c r="E17" s="624"/>
      <c r="F17" s="624"/>
      <c r="G17" s="624"/>
      <c r="H17" s="624"/>
      <c r="I17" s="624"/>
      <c r="J17" s="624"/>
      <c r="K17" s="624"/>
      <c r="L17" s="624"/>
      <c r="M17" s="624"/>
      <c r="N17" s="624"/>
      <c r="O17" s="624"/>
      <c r="P17" s="624"/>
      <c r="Q17" s="624"/>
      <c r="R17" s="624"/>
      <c r="S17" s="624"/>
      <c r="T17" s="624"/>
      <c r="U17" s="624"/>
      <c r="V17" s="624"/>
      <c r="W17" s="624"/>
      <c r="X17" s="624"/>
      <c r="Y17" s="624"/>
      <c r="Z17" s="624"/>
      <c r="AA17" s="624"/>
      <c r="AB17" s="624"/>
      <c r="AC17" s="624"/>
      <c r="AD17" s="624"/>
      <c r="AE17" s="193"/>
    </row>
    <row r="18" spans="1:31" s="194" customFormat="1" ht="6" customHeight="1" x14ac:dyDescent="0.25">
      <c r="A18" s="195"/>
      <c r="AE18" s="196"/>
    </row>
    <row r="19" spans="1:31" s="194" customFormat="1" ht="13.5" customHeight="1" x14ac:dyDescent="0.25">
      <c r="A19" s="195"/>
      <c r="B19" s="625"/>
      <c r="C19" s="626"/>
      <c r="D19" s="626"/>
      <c r="E19" s="626"/>
      <c r="F19" s="626"/>
      <c r="G19" s="626"/>
      <c r="H19" s="626"/>
      <c r="I19" s="626"/>
      <c r="J19" s="626"/>
      <c r="K19" s="626"/>
      <c r="L19" s="627"/>
      <c r="M19" s="625"/>
      <c r="N19" s="626"/>
      <c r="O19" s="626"/>
      <c r="P19" s="626"/>
      <c r="Q19" s="626"/>
      <c r="R19" s="626"/>
      <c r="S19" s="626"/>
      <c r="T19" s="626"/>
      <c r="U19" s="626"/>
      <c r="V19" s="626"/>
      <c r="W19" s="626"/>
      <c r="X19" s="626"/>
      <c r="Y19" s="626"/>
      <c r="Z19" s="626"/>
      <c r="AA19" s="626"/>
      <c r="AB19" s="626"/>
      <c r="AC19" s="626"/>
      <c r="AD19" s="627"/>
      <c r="AE19" s="196"/>
    </row>
    <row r="20" spans="1:31" s="194" customFormat="1" ht="13.5" customHeight="1" x14ac:dyDescent="0.25">
      <c r="B20" s="628"/>
      <c r="C20" s="629"/>
      <c r="D20" s="629"/>
      <c r="E20" s="629"/>
      <c r="F20" s="629"/>
      <c r="G20" s="629"/>
      <c r="H20" s="629"/>
      <c r="I20" s="629"/>
      <c r="J20" s="629"/>
      <c r="K20" s="629"/>
      <c r="L20" s="630"/>
      <c r="M20" s="628"/>
      <c r="N20" s="629"/>
      <c r="O20" s="629"/>
      <c r="P20" s="629"/>
      <c r="Q20" s="629"/>
      <c r="R20" s="629"/>
      <c r="S20" s="629"/>
      <c r="T20" s="629"/>
      <c r="U20" s="629"/>
      <c r="V20" s="629"/>
      <c r="W20" s="629"/>
      <c r="X20" s="629"/>
      <c r="Y20" s="629"/>
      <c r="Z20" s="629"/>
      <c r="AA20" s="629"/>
      <c r="AB20" s="629"/>
      <c r="AC20" s="629"/>
      <c r="AD20" s="630"/>
      <c r="AE20" s="193"/>
    </row>
    <row r="21" spans="1:31" s="194" customFormat="1" ht="13.5" customHeight="1" x14ac:dyDescent="0.25">
      <c r="B21" s="628"/>
      <c r="C21" s="629"/>
      <c r="D21" s="629"/>
      <c r="E21" s="629"/>
      <c r="F21" s="629"/>
      <c r="G21" s="629"/>
      <c r="H21" s="629"/>
      <c r="I21" s="629"/>
      <c r="J21" s="629"/>
      <c r="K21" s="629"/>
      <c r="L21" s="630"/>
      <c r="M21" s="628"/>
      <c r="N21" s="629"/>
      <c r="O21" s="629"/>
      <c r="P21" s="629"/>
      <c r="Q21" s="629"/>
      <c r="R21" s="629"/>
      <c r="S21" s="629"/>
      <c r="T21" s="629"/>
      <c r="U21" s="629"/>
      <c r="V21" s="629"/>
      <c r="W21" s="629"/>
      <c r="X21" s="629"/>
      <c r="Y21" s="629"/>
      <c r="Z21" s="629"/>
      <c r="AA21" s="629"/>
      <c r="AB21" s="629"/>
      <c r="AC21" s="629"/>
      <c r="AD21" s="630"/>
      <c r="AE21" s="193"/>
    </row>
    <row r="22" spans="1:31" s="194" customFormat="1" ht="13.5" customHeight="1" x14ac:dyDescent="0.25">
      <c r="B22" s="628"/>
      <c r="C22" s="629"/>
      <c r="D22" s="629"/>
      <c r="E22" s="629"/>
      <c r="F22" s="629"/>
      <c r="G22" s="629"/>
      <c r="H22" s="629"/>
      <c r="I22" s="629"/>
      <c r="J22" s="629"/>
      <c r="K22" s="629"/>
      <c r="L22" s="630"/>
      <c r="M22" s="628"/>
      <c r="N22" s="629"/>
      <c r="O22" s="629"/>
      <c r="P22" s="629"/>
      <c r="Q22" s="629"/>
      <c r="R22" s="629"/>
      <c r="S22" s="629"/>
      <c r="T22" s="629"/>
      <c r="U22" s="629"/>
      <c r="V22" s="629"/>
      <c r="W22" s="629"/>
      <c r="X22" s="629"/>
      <c r="Y22" s="629"/>
      <c r="Z22" s="629"/>
      <c r="AA22" s="629"/>
      <c r="AB22" s="629"/>
      <c r="AC22" s="629"/>
      <c r="AD22" s="630"/>
      <c r="AE22" s="193"/>
    </row>
    <row r="23" spans="1:31" s="194" customFormat="1" ht="13.5" customHeight="1" x14ac:dyDescent="0.25">
      <c r="B23" s="628"/>
      <c r="C23" s="629"/>
      <c r="D23" s="629"/>
      <c r="E23" s="629"/>
      <c r="F23" s="629"/>
      <c r="G23" s="629"/>
      <c r="H23" s="629"/>
      <c r="I23" s="629"/>
      <c r="J23" s="629"/>
      <c r="K23" s="629"/>
      <c r="L23" s="630"/>
      <c r="M23" s="628"/>
      <c r="N23" s="629"/>
      <c r="O23" s="629"/>
      <c r="P23" s="629"/>
      <c r="Q23" s="629"/>
      <c r="R23" s="629"/>
      <c r="S23" s="629"/>
      <c r="T23" s="629"/>
      <c r="U23" s="629"/>
      <c r="V23" s="629"/>
      <c r="W23" s="629"/>
      <c r="X23" s="629"/>
      <c r="Y23" s="629"/>
      <c r="Z23" s="629"/>
      <c r="AA23" s="629"/>
      <c r="AB23" s="629"/>
      <c r="AC23" s="629"/>
      <c r="AD23" s="630"/>
      <c r="AE23" s="193"/>
    </row>
    <row r="24" spans="1:31" s="194" customFormat="1" ht="13.5" customHeight="1" x14ac:dyDescent="0.25">
      <c r="B24" s="628"/>
      <c r="C24" s="629"/>
      <c r="D24" s="629"/>
      <c r="E24" s="629"/>
      <c r="F24" s="629"/>
      <c r="G24" s="629"/>
      <c r="H24" s="629"/>
      <c r="I24" s="629"/>
      <c r="J24" s="629"/>
      <c r="K24" s="629"/>
      <c r="L24" s="630"/>
      <c r="M24" s="628"/>
      <c r="N24" s="629"/>
      <c r="O24" s="629"/>
      <c r="P24" s="629"/>
      <c r="Q24" s="629"/>
      <c r="R24" s="629"/>
      <c r="S24" s="629"/>
      <c r="T24" s="629"/>
      <c r="U24" s="629"/>
      <c r="V24" s="629"/>
      <c r="W24" s="629"/>
      <c r="X24" s="629"/>
      <c r="Y24" s="629"/>
      <c r="Z24" s="629"/>
      <c r="AA24" s="629"/>
      <c r="AB24" s="629"/>
      <c r="AC24" s="629"/>
      <c r="AD24" s="630"/>
      <c r="AE24" s="193"/>
    </row>
    <row r="25" spans="1:31" s="194" customFormat="1" ht="13.5" customHeight="1" x14ac:dyDescent="0.25">
      <c r="B25" s="628"/>
      <c r="C25" s="629"/>
      <c r="D25" s="629"/>
      <c r="E25" s="629"/>
      <c r="F25" s="629"/>
      <c r="G25" s="629"/>
      <c r="H25" s="629"/>
      <c r="I25" s="629"/>
      <c r="J25" s="629"/>
      <c r="K25" s="629"/>
      <c r="L25" s="630"/>
      <c r="M25" s="628"/>
      <c r="N25" s="629"/>
      <c r="O25" s="629"/>
      <c r="P25" s="629"/>
      <c r="Q25" s="629"/>
      <c r="R25" s="629"/>
      <c r="S25" s="629"/>
      <c r="T25" s="629"/>
      <c r="U25" s="629"/>
      <c r="V25" s="629"/>
      <c r="W25" s="629"/>
      <c r="X25" s="629"/>
      <c r="Y25" s="629"/>
      <c r="Z25" s="629"/>
      <c r="AA25" s="629"/>
      <c r="AB25" s="629"/>
      <c r="AC25" s="629"/>
      <c r="AD25" s="630"/>
      <c r="AE25" s="193"/>
    </row>
    <row r="26" spans="1:31" s="194" customFormat="1" ht="21.75" customHeight="1" x14ac:dyDescent="0.25">
      <c r="B26" s="628"/>
      <c r="C26" s="629"/>
      <c r="D26" s="629"/>
      <c r="E26" s="629"/>
      <c r="F26" s="629"/>
      <c r="G26" s="629"/>
      <c r="H26" s="629"/>
      <c r="I26" s="629"/>
      <c r="J26" s="629"/>
      <c r="K26" s="629"/>
      <c r="L26" s="630"/>
      <c r="M26" s="628"/>
      <c r="N26" s="629"/>
      <c r="O26" s="629"/>
      <c r="P26" s="629"/>
      <c r="Q26" s="629"/>
      <c r="R26" s="629"/>
      <c r="S26" s="629"/>
      <c r="T26" s="629"/>
      <c r="U26" s="629"/>
      <c r="V26" s="629"/>
      <c r="W26" s="629"/>
      <c r="X26" s="629"/>
      <c r="Y26" s="629"/>
      <c r="Z26" s="629"/>
      <c r="AA26" s="629"/>
      <c r="AB26" s="629"/>
      <c r="AC26" s="629"/>
      <c r="AD26" s="630"/>
      <c r="AE26" s="193"/>
    </row>
    <row r="27" spans="1:31" s="194" customFormat="1" ht="13.5" customHeight="1" x14ac:dyDescent="0.25">
      <c r="B27" s="628"/>
      <c r="C27" s="629"/>
      <c r="D27" s="629"/>
      <c r="E27" s="629"/>
      <c r="F27" s="629"/>
      <c r="G27" s="629"/>
      <c r="H27" s="629"/>
      <c r="I27" s="629"/>
      <c r="J27" s="629"/>
      <c r="K27" s="629"/>
      <c r="L27" s="630"/>
      <c r="M27" s="628"/>
      <c r="N27" s="629"/>
      <c r="O27" s="629"/>
      <c r="P27" s="629"/>
      <c r="Q27" s="629"/>
      <c r="R27" s="629"/>
      <c r="S27" s="629"/>
      <c r="T27" s="629"/>
      <c r="U27" s="629"/>
      <c r="V27" s="629"/>
      <c r="W27" s="629"/>
      <c r="X27" s="629"/>
      <c r="Y27" s="629"/>
      <c r="Z27" s="629"/>
      <c r="AA27" s="629"/>
      <c r="AB27" s="629"/>
      <c r="AC27" s="629"/>
      <c r="AD27" s="630"/>
      <c r="AE27" s="193"/>
    </row>
    <row r="28" spans="1:31" s="194" customFormat="1" ht="13.5" customHeight="1" x14ac:dyDescent="0.25">
      <c r="B28" s="628"/>
      <c r="C28" s="629"/>
      <c r="D28" s="629"/>
      <c r="E28" s="629"/>
      <c r="F28" s="629"/>
      <c r="G28" s="629"/>
      <c r="H28" s="629"/>
      <c r="I28" s="629"/>
      <c r="J28" s="629"/>
      <c r="K28" s="629"/>
      <c r="L28" s="630"/>
      <c r="M28" s="628"/>
      <c r="N28" s="629"/>
      <c r="O28" s="629"/>
      <c r="P28" s="629"/>
      <c r="Q28" s="629"/>
      <c r="R28" s="629"/>
      <c r="S28" s="629"/>
      <c r="T28" s="629"/>
      <c r="U28" s="629"/>
      <c r="V28" s="629"/>
      <c r="W28" s="629"/>
      <c r="X28" s="629"/>
      <c r="Y28" s="629"/>
      <c r="Z28" s="629"/>
      <c r="AA28" s="629"/>
      <c r="AB28" s="629"/>
      <c r="AC28" s="629"/>
      <c r="AD28" s="630"/>
      <c r="AE28" s="193"/>
    </row>
    <row r="29" spans="1:31" s="194" customFormat="1" ht="13.5" customHeight="1" x14ac:dyDescent="0.25">
      <c r="B29" s="628"/>
      <c r="C29" s="629"/>
      <c r="D29" s="629"/>
      <c r="E29" s="629"/>
      <c r="F29" s="629"/>
      <c r="G29" s="629"/>
      <c r="H29" s="629"/>
      <c r="I29" s="629"/>
      <c r="J29" s="629"/>
      <c r="K29" s="629"/>
      <c r="L29" s="630"/>
      <c r="M29" s="628"/>
      <c r="N29" s="629"/>
      <c r="O29" s="629"/>
      <c r="P29" s="629"/>
      <c r="Q29" s="629"/>
      <c r="R29" s="629"/>
      <c r="S29" s="629"/>
      <c r="T29" s="629"/>
      <c r="U29" s="629"/>
      <c r="V29" s="629"/>
      <c r="W29" s="629"/>
      <c r="X29" s="629"/>
      <c r="Y29" s="629"/>
      <c r="Z29" s="629"/>
      <c r="AA29" s="629"/>
      <c r="AB29" s="629"/>
      <c r="AC29" s="629"/>
      <c r="AD29" s="630"/>
      <c r="AE29" s="193"/>
    </row>
    <row r="30" spans="1:31" s="194" customFormat="1" ht="13.5" customHeight="1" x14ac:dyDescent="0.25">
      <c r="B30" s="628"/>
      <c r="C30" s="629"/>
      <c r="D30" s="629"/>
      <c r="E30" s="629"/>
      <c r="F30" s="629"/>
      <c r="G30" s="629"/>
      <c r="H30" s="629"/>
      <c r="I30" s="629"/>
      <c r="J30" s="629"/>
      <c r="K30" s="629"/>
      <c r="L30" s="630"/>
      <c r="M30" s="628"/>
      <c r="N30" s="629"/>
      <c r="O30" s="629"/>
      <c r="P30" s="629"/>
      <c r="Q30" s="629"/>
      <c r="R30" s="629"/>
      <c r="S30" s="629"/>
      <c r="T30" s="629"/>
      <c r="U30" s="629"/>
      <c r="V30" s="629"/>
      <c r="W30" s="629"/>
      <c r="X30" s="629"/>
      <c r="Y30" s="629"/>
      <c r="Z30" s="629"/>
      <c r="AA30" s="629"/>
      <c r="AB30" s="629"/>
      <c r="AC30" s="629"/>
      <c r="AD30" s="630"/>
      <c r="AE30" s="193"/>
    </row>
    <row r="31" spans="1:31" s="194" customFormat="1" ht="13.5" customHeight="1" x14ac:dyDescent="0.25">
      <c r="B31" s="628"/>
      <c r="C31" s="629"/>
      <c r="D31" s="629"/>
      <c r="E31" s="629"/>
      <c r="F31" s="629"/>
      <c r="G31" s="629"/>
      <c r="H31" s="629"/>
      <c r="I31" s="629"/>
      <c r="J31" s="629"/>
      <c r="K31" s="629"/>
      <c r="L31" s="630"/>
      <c r="M31" s="628"/>
      <c r="N31" s="629"/>
      <c r="O31" s="629"/>
      <c r="P31" s="629"/>
      <c r="Q31" s="629"/>
      <c r="R31" s="629"/>
      <c r="S31" s="629"/>
      <c r="T31" s="629"/>
      <c r="U31" s="629"/>
      <c r="V31" s="629"/>
      <c r="W31" s="629"/>
      <c r="X31" s="629"/>
      <c r="Y31" s="629"/>
      <c r="Z31" s="629"/>
      <c r="AA31" s="629"/>
      <c r="AB31" s="629"/>
      <c r="AC31" s="629"/>
      <c r="AD31" s="630"/>
      <c r="AE31" s="193"/>
    </row>
    <row r="32" spans="1:31" s="194" customFormat="1" ht="13.5" customHeight="1" x14ac:dyDescent="0.25">
      <c r="B32" s="628"/>
      <c r="C32" s="629"/>
      <c r="D32" s="629"/>
      <c r="E32" s="629"/>
      <c r="F32" s="629"/>
      <c r="G32" s="629"/>
      <c r="H32" s="629"/>
      <c r="I32" s="629"/>
      <c r="J32" s="629"/>
      <c r="K32" s="629"/>
      <c r="L32" s="630"/>
      <c r="M32" s="628"/>
      <c r="N32" s="629"/>
      <c r="O32" s="629"/>
      <c r="P32" s="629"/>
      <c r="Q32" s="629"/>
      <c r="R32" s="629"/>
      <c r="S32" s="629"/>
      <c r="T32" s="629"/>
      <c r="U32" s="629"/>
      <c r="V32" s="629"/>
      <c r="W32" s="629"/>
      <c r="X32" s="629"/>
      <c r="Y32" s="629"/>
      <c r="Z32" s="629"/>
      <c r="AA32" s="629"/>
      <c r="AB32" s="629"/>
      <c r="AC32" s="629"/>
      <c r="AD32" s="630"/>
      <c r="AE32" s="193"/>
    </row>
    <row r="33" spans="2:31" s="194" customFormat="1" ht="13.5" customHeight="1" x14ac:dyDescent="0.25">
      <c r="B33" s="628"/>
      <c r="C33" s="629"/>
      <c r="D33" s="629"/>
      <c r="E33" s="629"/>
      <c r="F33" s="629"/>
      <c r="G33" s="629"/>
      <c r="H33" s="629"/>
      <c r="I33" s="629"/>
      <c r="J33" s="629"/>
      <c r="K33" s="629"/>
      <c r="L33" s="630"/>
      <c r="M33" s="628"/>
      <c r="N33" s="629"/>
      <c r="O33" s="629"/>
      <c r="P33" s="629"/>
      <c r="Q33" s="629"/>
      <c r="R33" s="629"/>
      <c r="S33" s="629"/>
      <c r="T33" s="629"/>
      <c r="U33" s="629"/>
      <c r="V33" s="629"/>
      <c r="W33" s="629"/>
      <c r="X33" s="629"/>
      <c r="Y33" s="629"/>
      <c r="Z33" s="629"/>
      <c r="AA33" s="629"/>
      <c r="AB33" s="629"/>
      <c r="AC33" s="629"/>
      <c r="AD33" s="630"/>
      <c r="AE33" s="193"/>
    </row>
    <row r="34" spans="2:31" s="194" customFormat="1" ht="13.5" customHeight="1" x14ac:dyDescent="0.25">
      <c r="B34" s="628"/>
      <c r="C34" s="629"/>
      <c r="D34" s="629"/>
      <c r="E34" s="629"/>
      <c r="F34" s="629"/>
      <c r="G34" s="629"/>
      <c r="H34" s="629"/>
      <c r="I34" s="629"/>
      <c r="J34" s="629"/>
      <c r="K34" s="629"/>
      <c r="L34" s="630"/>
      <c r="M34" s="628"/>
      <c r="N34" s="629"/>
      <c r="O34" s="629"/>
      <c r="P34" s="629"/>
      <c r="Q34" s="629"/>
      <c r="R34" s="629"/>
      <c r="S34" s="629"/>
      <c r="T34" s="629"/>
      <c r="U34" s="629"/>
      <c r="V34" s="629"/>
      <c r="W34" s="629"/>
      <c r="X34" s="629"/>
      <c r="Y34" s="629"/>
      <c r="Z34" s="629"/>
      <c r="AA34" s="629"/>
      <c r="AB34" s="629"/>
      <c r="AC34" s="629"/>
      <c r="AD34" s="630"/>
      <c r="AE34" s="193"/>
    </row>
    <row r="35" spans="2:31" s="194" customFormat="1" ht="13.5" customHeight="1" x14ac:dyDescent="0.25">
      <c r="B35" s="628"/>
      <c r="C35" s="629"/>
      <c r="D35" s="629"/>
      <c r="E35" s="629"/>
      <c r="F35" s="629"/>
      <c r="G35" s="629"/>
      <c r="H35" s="629"/>
      <c r="I35" s="629"/>
      <c r="J35" s="629"/>
      <c r="K35" s="629"/>
      <c r="L35" s="630"/>
      <c r="M35" s="628"/>
      <c r="N35" s="629"/>
      <c r="O35" s="629"/>
      <c r="P35" s="629"/>
      <c r="Q35" s="629"/>
      <c r="R35" s="629"/>
      <c r="S35" s="629"/>
      <c r="T35" s="629"/>
      <c r="U35" s="629"/>
      <c r="V35" s="629"/>
      <c r="W35" s="629"/>
      <c r="X35" s="629"/>
      <c r="Y35" s="629"/>
      <c r="Z35" s="629"/>
      <c r="AA35" s="629"/>
      <c r="AB35" s="629"/>
      <c r="AC35" s="629"/>
      <c r="AD35" s="630"/>
      <c r="AE35" s="193"/>
    </row>
    <row r="36" spans="2:31" s="194" customFormat="1" ht="13.5" customHeight="1" x14ac:dyDescent="0.25">
      <c r="B36" s="631"/>
      <c r="C36" s="632"/>
      <c r="D36" s="632"/>
      <c r="E36" s="632"/>
      <c r="F36" s="632"/>
      <c r="G36" s="632"/>
      <c r="H36" s="632"/>
      <c r="I36" s="632"/>
      <c r="J36" s="632"/>
      <c r="K36" s="632"/>
      <c r="L36" s="633"/>
      <c r="M36" s="631"/>
      <c r="N36" s="632"/>
      <c r="O36" s="632"/>
      <c r="P36" s="632"/>
      <c r="Q36" s="632"/>
      <c r="R36" s="632"/>
      <c r="S36" s="632"/>
      <c r="T36" s="632"/>
      <c r="U36" s="632"/>
      <c r="V36" s="632"/>
      <c r="W36" s="632"/>
      <c r="X36" s="632"/>
      <c r="Y36" s="632"/>
      <c r="Z36" s="632"/>
      <c r="AA36" s="632"/>
      <c r="AB36" s="632"/>
      <c r="AC36" s="632"/>
      <c r="AD36" s="633"/>
      <c r="AE36" s="193"/>
    </row>
    <row r="37" spans="2:31" s="221" customFormat="1" ht="6" customHeight="1" x14ac:dyDescent="0.2"/>
    <row r="38" spans="2:31" s="215" customFormat="1" ht="13.5" customHeight="1" x14ac:dyDescent="0.25">
      <c r="B38" s="537" t="s">
        <v>2317</v>
      </c>
      <c r="C38" s="537"/>
      <c r="D38" s="537"/>
      <c r="E38" s="537"/>
      <c r="F38" s="537"/>
      <c r="G38" s="234"/>
      <c r="H38" s="617" t="s">
        <v>117</v>
      </c>
      <c r="I38" s="618"/>
      <c r="J38" s="618"/>
      <c r="K38" s="618"/>
      <c r="L38" s="619"/>
      <c r="N38" s="230" t="s">
        <v>2269</v>
      </c>
      <c r="O38" s="620" t="s">
        <v>2316</v>
      </c>
      <c r="P38" s="621"/>
      <c r="Q38" s="621"/>
      <c r="R38" s="621"/>
      <c r="S38" s="622"/>
      <c r="T38" s="652" t="s">
        <v>2270</v>
      </c>
      <c r="U38" s="652"/>
      <c r="V38" s="634" t="s">
        <v>2271</v>
      </c>
      <c r="W38" s="635"/>
      <c r="X38" s="635"/>
      <c r="Y38" s="635"/>
      <c r="Z38" s="635"/>
      <c r="AA38" s="636"/>
      <c r="AB38" s="636"/>
      <c r="AC38" s="636"/>
      <c r="AD38" s="637"/>
    </row>
    <row r="39" spans="2:31" s="194" customFormat="1" ht="9.9499999999999993" customHeight="1" x14ac:dyDescent="0.3">
      <c r="B39" s="212"/>
      <c r="C39" s="197"/>
      <c r="D39" s="197"/>
      <c r="E39" s="197"/>
      <c r="F39" s="197"/>
      <c r="H39" s="235"/>
      <c r="I39" s="235"/>
      <c r="J39" s="235"/>
      <c r="K39" s="235"/>
      <c r="L39" s="235"/>
      <c r="M39" s="235"/>
      <c r="N39" s="235"/>
      <c r="O39" s="235"/>
      <c r="P39" s="235"/>
      <c r="Q39" s="235"/>
      <c r="R39" s="235"/>
      <c r="S39" s="235"/>
      <c r="T39" s="235"/>
      <c r="U39" s="235"/>
      <c r="V39" s="235"/>
      <c r="W39" s="235"/>
      <c r="X39" s="235"/>
      <c r="Y39" s="235"/>
      <c r="Z39" s="235"/>
      <c r="AA39" s="235"/>
      <c r="AB39" s="235"/>
      <c r="AC39" s="235"/>
      <c r="AD39" s="236"/>
      <c r="AE39" s="197"/>
    </row>
    <row r="40" spans="2:31" s="206" customFormat="1" ht="13.5" customHeight="1" x14ac:dyDescent="0.25">
      <c r="B40" s="537" t="s">
        <v>2318</v>
      </c>
      <c r="C40" s="537"/>
      <c r="D40" s="537"/>
      <c r="E40" s="537"/>
      <c r="F40" s="537"/>
      <c r="G40" s="221"/>
      <c r="H40" s="609">
        <f>+MEMORIA!S14</f>
        <v>0</v>
      </c>
      <c r="I40" s="610"/>
      <c r="J40" s="610"/>
      <c r="K40" s="610"/>
      <c r="L40" s="610"/>
      <c r="M40" s="610"/>
      <c r="N40" s="610"/>
      <c r="O40" s="610"/>
      <c r="P40" s="610"/>
      <c r="Q40" s="610"/>
      <c r="R40" s="610"/>
      <c r="S40" s="610"/>
      <c r="T40" s="610"/>
      <c r="U40" s="610"/>
      <c r="V40" s="610"/>
      <c r="W40" s="610"/>
      <c r="X40" s="610"/>
      <c r="Y40" s="610"/>
      <c r="Z40" s="610"/>
      <c r="AA40" s="610"/>
      <c r="AB40" s="610"/>
      <c r="AC40" s="610"/>
      <c r="AD40" s="611"/>
      <c r="AE40" s="233"/>
    </row>
    <row r="41" spans="2:31" s="194" customFormat="1" ht="9.75" customHeight="1" x14ac:dyDescent="0.3">
      <c r="B41" s="197"/>
      <c r="C41" s="197"/>
      <c r="D41" s="197"/>
      <c r="E41" s="197"/>
      <c r="F41" s="197"/>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197"/>
    </row>
    <row r="42" spans="2:31" s="215" customFormat="1" ht="13.5" customHeight="1" x14ac:dyDescent="0.25">
      <c r="B42" s="537" t="s">
        <v>2319</v>
      </c>
      <c r="C42" s="537"/>
      <c r="D42" s="537"/>
      <c r="E42" s="537"/>
      <c r="F42" s="537"/>
      <c r="G42" s="234"/>
      <c r="H42" s="609">
        <f>+MEMORIA!S15</f>
        <v>0</v>
      </c>
      <c r="I42" s="610"/>
      <c r="J42" s="610"/>
      <c r="K42" s="610"/>
      <c r="L42" s="610"/>
      <c r="M42" s="610"/>
      <c r="N42" s="610"/>
      <c r="O42" s="610"/>
      <c r="P42" s="610"/>
      <c r="Q42" s="610"/>
      <c r="R42" s="610"/>
      <c r="S42" s="610"/>
      <c r="T42" s="610"/>
      <c r="U42" s="610"/>
      <c r="V42" s="610"/>
      <c r="W42" s="610"/>
      <c r="X42" s="610"/>
      <c r="Y42" s="610"/>
      <c r="Z42" s="610"/>
      <c r="AA42" s="610"/>
      <c r="AB42" s="610"/>
      <c r="AC42" s="610"/>
      <c r="AD42" s="611"/>
      <c r="AE42" s="233"/>
    </row>
    <row r="43" spans="2:31" s="194" customFormat="1" ht="15.75" x14ac:dyDescent="0.25">
      <c r="B43" s="212"/>
      <c r="C43" s="197"/>
      <c r="D43" s="197"/>
      <c r="E43" s="197"/>
      <c r="F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row>
    <row r="44" spans="2:31" s="194" customFormat="1" ht="14.25" customHeight="1" x14ac:dyDescent="0.25">
      <c r="B44" s="444" t="s">
        <v>2320</v>
      </c>
      <c r="C44" s="444"/>
      <c r="D44" s="444"/>
      <c r="E44" s="444"/>
      <c r="F44" s="444"/>
      <c r="G44" s="445"/>
      <c r="H44" s="667"/>
      <c r="I44" s="668"/>
      <c r="J44" s="668"/>
      <c r="K44" s="668"/>
      <c r="L44" s="669"/>
      <c r="M44" s="443"/>
      <c r="N44" s="443"/>
      <c r="O44" s="443"/>
      <c r="P44" s="443"/>
      <c r="Q44" s="443"/>
      <c r="R44" s="443" t="s">
        <v>2314</v>
      </c>
      <c r="S44" s="443"/>
      <c r="T44" s="443"/>
      <c r="U44" s="443"/>
      <c r="V44" s="657"/>
      <c r="W44" s="635"/>
      <c r="X44" s="635"/>
      <c r="Y44" s="635"/>
      <c r="Z44" s="635"/>
      <c r="AA44" s="636"/>
      <c r="AB44" s="636"/>
      <c r="AC44" s="636"/>
      <c r="AD44" s="637"/>
      <c r="AE44" s="197"/>
    </row>
    <row r="45" spans="2:31" s="194" customFormat="1" ht="9.9499999999999993" customHeight="1" x14ac:dyDescent="0.25">
      <c r="B45" s="212"/>
      <c r="C45" s="197"/>
      <c r="D45" s="197"/>
      <c r="E45" s="197"/>
      <c r="F45" s="197"/>
      <c r="G45" s="205"/>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c r="AE45" s="197"/>
    </row>
    <row r="46" spans="2:31" s="215" customFormat="1" ht="39" customHeight="1" x14ac:dyDescent="0.2">
      <c r="B46" s="656" t="s">
        <v>2321</v>
      </c>
      <c r="C46" s="656"/>
      <c r="D46" s="656"/>
      <c r="E46" s="656"/>
      <c r="F46" s="656"/>
      <c r="G46" s="221"/>
      <c r="H46" s="609">
        <f>+MEMORIA!C27</f>
        <v>0</v>
      </c>
      <c r="I46" s="610"/>
      <c r="J46" s="610"/>
      <c r="K46" s="610"/>
      <c r="L46" s="610"/>
      <c r="M46" s="610"/>
      <c r="N46" s="610"/>
      <c r="O46" s="610"/>
      <c r="P46" s="610"/>
      <c r="Q46" s="610"/>
      <c r="R46" s="610"/>
      <c r="S46" s="610"/>
      <c r="T46" s="610"/>
      <c r="U46" s="610"/>
      <c r="V46" s="610"/>
      <c r="W46" s="610"/>
      <c r="X46" s="610"/>
      <c r="Y46" s="610"/>
      <c r="Z46" s="610"/>
      <c r="AA46" s="610"/>
      <c r="AB46" s="610"/>
      <c r="AC46" s="610"/>
      <c r="AD46" s="611"/>
      <c r="AE46" s="230"/>
    </row>
    <row r="47" spans="2:31" s="194" customFormat="1" ht="9.9499999999999993" customHeight="1" x14ac:dyDescent="0.25">
      <c r="B47" s="223"/>
      <c r="C47" s="207"/>
      <c r="D47" s="207"/>
      <c r="E47" s="207"/>
      <c r="F47" s="486"/>
      <c r="G47" s="221"/>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197"/>
    </row>
    <row r="48" spans="2:31" s="215" customFormat="1" ht="32.25" customHeight="1" x14ac:dyDescent="0.2">
      <c r="B48" s="656" t="s">
        <v>2322</v>
      </c>
      <c r="C48" s="656"/>
      <c r="D48" s="656"/>
      <c r="E48" s="656"/>
      <c r="F48" s="656"/>
      <c r="G48" s="221"/>
      <c r="H48" s="609">
        <f>+MEMORIA!C29</f>
        <v>0</v>
      </c>
      <c r="I48" s="610"/>
      <c r="J48" s="610"/>
      <c r="K48" s="610"/>
      <c r="L48" s="610"/>
      <c r="M48" s="610"/>
      <c r="N48" s="610"/>
      <c r="O48" s="610"/>
      <c r="P48" s="610"/>
      <c r="Q48" s="610"/>
      <c r="R48" s="610"/>
      <c r="S48" s="610"/>
      <c r="T48" s="610"/>
      <c r="U48" s="610"/>
      <c r="V48" s="610"/>
      <c r="W48" s="610"/>
      <c r="X48" s="610"/>
      <c r="Y48" s="610"/>
      <c r="Z48" s="610"/>
      <c r="AA48" s="610"/>
      <c r="AB48" s="610"/>
      <c r="AC48" s="610"/>
      <c r="AD48" s="611"/>
      <c r="AE48" s="233"/>
    </row>
    <row r="49" spans="1:76" s="194" customFormat="1" ht="9.9499999999999993" customHeight="1" x14ac:dyDescent="0.25">
      <c r="B49" s="223"/>
      <c r="C49" s="207"/>
      <c r="D49" s="207"/>
      <c r="E49" s="207"/>
      <c r="F49" s="486"/>
      <c r="G49" s="221"/>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197"/>
    </row>
    <row r="50" spans="1:76" s="215" customFormat="1" ht="34.5" customHeight="1" x14ac:dyDescent="0.2">
      <c r="B50" s="656" t="s">
        <v>2323</v>
      </c>
      <c r="C50" s="656"/>
      <c r="D50" s="656"/>
      <c r="E50" s="656"/>
      <c r="F50" s="656"/>
      <c r="G50" s="221"/>
      <c r="H50" s="609">
        <f>+MEMORIA!C31</f>
        <v>0</v>
      </c>
      <c r="I50" s="610"/>
      <c r="J50" s="610"/>
      <c r="K50" s="610"/>
      <c r="L50" s="610"/>
      <c r="M50" s="610"/>
      <c r="N50" s="610"/>
      <c r="O50" s="610"/>
      <c r="P50" s="610"/>
      <c r="Q50" s="610"/>
      <c r="R50" s="610"/>
      <c r="S50" s="610"/>
      <c r="T50" s="610"/>
      <c r="U50" s="610"/>
      <c r="V50" s="610"/>
      <c r="W50" s="610"/>
      <c r="X50" s="610"/>
      <c r="Y50" s="610"/>
      <c r="Z50" s="610"/>
      <c r="AA50" s="610"/>
      <c r="AB50" s="610"/>
      <c r="AC50" s="610"/>
      <c r="AD50" s="611"/>
      <c r="AE50" s="233"/>
    </row>
    <row r="51" spans="1:76" s="194" customFormat="1" ht="9.9499999999999993" customHeight="1" x14ac:dyDescent="0.25">
      <c r="B51" s="219"/>
      <c r="C51" s="219"/>
      <c r="D51" s="219"/>
      <c r="E51" s="219"/>
      <c r="F51" s="219"/>
      <c r="G51" s="205"/>
      <c r="H51" s="220"/>
      <c r="I51" s="220"/>
      <c r="J51" s="220"/>
      <c r="K51" s="220"/>
      <c r="L51" s="220"/>
      <c r="M51" s="220"/>
      <c r="N51" s="197"/>
      <c r="O51" s="197"/>
      <c r="P51" s="197"/>
      <c r="Q51" s="197"/>
      <c r="R51" s="197"/>
      <c r="S51" s="197"/>
      <c r="T51" s="197"/>
      <c r="U51" s="197"/>
      <c r="V51" s="197"/>
      <c r="W51" s="197"/>
      <c r="X51" s="197"/>
      <c r="Y51" s="220"/>
      <c r="Z51" s="220"/>
      <c r="AA51" s="220"/>
      <c r="AB51" s="220"/>
      <c r="AC51" s="220"/>
      <c r="AD51" s="197"/>
      <c r="AE51" s="197"/>
    </row>
    <row r="52" spans="1:76" s="194" customFormat="1" ht="14.25" customHeight="1" x14ac:dyDescent="0.25">
      <c r="A52" s="193"/>
      <c r="B52" s="537" t="s">
        <v>2324</v>
      </c>
      <c r="C52" s="537"/>
      <c r="D52" s="537"/>
      <c r="E52" s="537"/>
      <c r="F52" s="537"/>
      <c r="H52" s="658" t="s">
        <v>2272</v>
      </c>
      <c r="I52" s="659"/>
      <c r="J52" s="659"/>
      <c r="K52" s="659"/>
      <c r="L52" s="659"/>
      <c r="M52" s="660"/>
      <c r="N52" s="661" t="s">
        <v>2273</v>
      </c>
      <c r="O52" s="662"/>
      <c r="P52" s="197"/>
      <c r="S52" s="658" t="s">
        <v>2274</v>
      </c>
      <c r="T52" s="659"/>
      <c r="U52" s="659"/>
      <c r="V52" s="659"/>
      <c r="W52" s="659"/>
      <c r="X52" s="659"/>
      <c r="Y52" s="660"/>
      <c r="Z52" s="661" t="s">
        <v>2273</v>
      </c>
      <c r="AA52" s="663"/>
      <c r="AB52" s="663"/>
      <c r="AC52" s="663"/>
      <c r="AD52" s="662"/>
      <c r="AE52" s="197"/>
    </row>
    <row r="53" spans="1:76" s="194" customFormat="1" ht="14.25" customHeight="1" x14ac:dyDescent="0.25">
      <c r="B53" s="537"/>
      <c r="C53" s="537"/>
      <c r="D53" s="537"/>
      <c r="E53" s="537"/>
      <c r="F53" s="537"/>
      <c r="G53" s="218">
        <v>1</v>
      </c>
      <c r="H53" s="676" t="s">
        <v>227</v>
      </c>
      <c r="I53" s="677"/>
      <c r="J53" s="677"/>
      <c r="K53" s="677"/>
      <c r="L53" s="677"/>
      <c r="M53" s="678"/>
      <c r="N53" s="679">
        <v>1</v>
      </c>
      <c r="O53" s="680"/>
      <c r="R53" s="212">
        <v>2</v>
      </c>
      <c r="S53" s="670"/>
      <c r="T53" s="671"/>
      <c r="U53" s="671"/>
      <c r="V53" s="671"/>
      <c r="W53" s="671"/>
      <c r="X53" s="671"/>
      <c r="Y53" s="672"/>
      <c r="Z53" s="664"/>
      <c r="AA53" s="665"/>
      <c r="AB53" s="665"/>
      <c r="AC53" s="665"/>
      <c r="AD53" s="666"/>
      <c r="AE53" s="197"/>
    </row>
    <row r="54" spans="1:76" s="194" customFormat="1" ht="14.25" customHeight="1" x14ac:dyDescent="0.25">
      <c r="B54" s="197"/>
      <c r="C54" s="219"/>
      <c r="D54" s="219"/>
      <c r="E54" s="219"/>
      <c r="F54" s="219"/>
      <c r="G54" s="218">
        <v>3</v>
      </c>
      <c r="H54" s="676"/>
      <c r="I54" s="677"/>
      <c r="J54" s="677"/>
      <c r="K54" s="677"/>
      <c r="L54" s="677"/>
      <c r="M54" s="678"/>
      <c r="N54" s="679"/>
      <c r="O54" s="680"/>
      <c r="R54" s="212">
        <v>4</v>
      </c>
      <c r="S54" s="670"/>
      <c r="T54" s="671"/>
      <c r="U54" s="671"/>
      <c r="V54" s="671"/>
      <c r="W54" s="671"/>
      <c r="X54" s="671"/>
      <c r="Y54" s="672"/>
      <c r="Z54" s="664"/>
      <c r="AA54" s="665"/>
      <c r="AB54" s="665"/>
      <c r="AC54" s="665"/>
      <c r="AD54" s="666"/>
      <c r="AE54" s="197"/>
    </row>
    <row r="55" spans="1:76" s="194" customFormat="1" ht="7.5" customHeight="1" x14ac:dyDescent="0.25">
      <c r="B55" s="219"/>
      <c r="C55" s="219"/>
      <c r="D55" s="219"/>
      <c r="E55" s="219"/>
      <c r="F55" s="219"/>
      <c r="G55" s="205"/>
      <c r="H55" s="220"/>
      <c r="I55" s="220"/>
      <c r="J55" s="220"/>
      <c r="K55" s="220"/>
      <c r="L55" s="220"/>
      <c r="M55" s="220"/>
      <c r="N55" s="197"/>
      <c r="O55" s="197"/>
      <c r="P55" s="197"/>
      <c r="Q55" s="197"/>
      <c r="R55" s="197"/>
      <c r="S55" s="197"/>
      <c r="T55" s="197"/>
      <c r="U55" s="197"/>
      <c r="V55" s="197"/>
      <c r="W55" s="197"/>
      <c r="X55" s="197"/>
      <c r="Y55" s="220"/>
      <c r="Z55" s="220"/>
      <c r="AA55" s="220"/>
      <c r="AB55" s="220"/>
      <c r="AC55" s="220"/>
      <c r="AD55" s="197"/>
      <c r="AE55" s="197"/>
    </row>
    <row r="56" spans="1:76" s="206" customFormat="1" ht="15.75" x14ac:dyDescent="0.25">
      <c r="B56" s="600" t="s">
        <v>90</v>
      </c>
      <c r="C56" s="600"/>
      <c r="D56" s="600"/>
      <c r="E56" s="600"/>
      <c r="F56" s="600"/>
      <c r="G56" s="221"/>
      <c r="H56" s="673">
        <f>2025-MEMORIA!O100</f>
        <v>2025</v>
      </c>
      <c r="I56" s="674"/>
      <c r="J56" s="674"/>
      <c r="K56" s="674"/>
      <c r="L56" s="674"/>
      <c r="M56" s="675"/>
      <c r="O56" s="207" t="s">
        <v>2275</v>
      </c>
      <c r="P56" s="223"/>
      <c r="Q56" s="223"/>
      <c r="R56" s="223"/>
      <c r="S56" s="223"/>
      <c r="T56" s="224"/>
      <c r="U56" s="224"/>
      <c r="V56" s="225"/>
      <c r="W56" s="225"/>
      <c r="X56" s="225"/>
      <c r="Y56" s="225"/>
      <c r="Z56" s="225"/>
      <c r="AA56" s="225"/>
      <c r="AB56" s="225"/>
      <c r="AC56" s="225"/>
      <c r="AD56" s="224"/>
      <c r="AE56" s="207"/>
    </row>
    <row r="57" spans="1:76" s="194" customFormat="1" ht="9.75" customHeight="1" x14ac:dyDescent="0.25">
      <c r="B57" s="226"/>
      <c r="C57" s="227"/>
      <c r="D57" s="227"/>
      <c r="E57" s="227"/>
      <c r="F57" s="227"/>
      <c r="G57" s="205"/>
      <c r="H57" s="228"/>
      <c r="I57" s="228"/>
      <c r="J57" s="228"/>
      <c r="K57" s="228"/>
      <c r="L57" s="197"/>
      <c r="M57" s="197"/>
      <c r="N57" s="229"/>
      <c r="O57" s="229"/>
      <c r="P57" s="229"/>
      <c r="Q57" s="229"/>
      <c r="R57" s="229"/>
      <c r="S57" s="229"/>
      <c r="T57" s="228"/>
      <c r="U57" s="228"/>
      <c r="V57" s="228"/>
      <c r="W57" s="228"/>
      <c r="X57" s="228"/>
      <c r="Y57" s="228"/>
      <c r="Z57" s="228"/>
      <c r="AA57" s="228"/>
      <c r="AB57" s="228"/>
      <c r="AC57" s="228"/>
      <c r="AD57" s="197"/>
      <c r="AE57" s="197"/>
    </row>
    <row r="58" spans="1:76" s="206" customFormat="1" ht="14.25" customHeight="1" x14ac:dyDescent="0.25">
      <c r="B58" s="600" t="s">
        <v>2325</v>
      </c>
      <c r="C58" s="600"/>
      <c r="D58" s="600"/>
      <c r="E58" s="600"/>
      <c r="F58" s="600"/>
      <c r="G58" s="221"/>
      <c r="H58" s="222" t="s">
        <v>2276</v>
      </c>
      <c r="I58" s="490"/>
      <c r="J58" s="491"/>
      <c r="K58" s="491" t="s">
        <v>2278</v>
      </c>
      <c r="L58" s="492"/>
      <c r="M58" s="448"/>
      <c r="N58" s="681" t="s">
        <v>2279</v>
      </c>
      <c r="O58" s="681"/>
      <c r="P58" s="681"/>
      <c r="Q58" s="681"/>
      <c r="R58" s="681"/>
      <c r="S58" s="681"/>
      <c r="T58" s="222"/>
      <c r="U58" s="222" t="s">
        <v>2276</v>
      </c>
      <c r="V58" s="490"/>
      <c r="W58" s="491"/>
      <c r="X58" s="491"/>
      <c r="Y58" s="491" t="s">
        <v>2278</v>
      </c>
      <c r="Z58" s="492"/>
      <c r="AA58" s="222"/>
      <c r="AB58" s="222"/>
      <c r="AC58" s="222"/>
      <c r="AE58" s="207"/>
    </row>
    <row r="59" spans="1:76" s="194" customFormat="1" ht="9.9499999999999993" customHeight="1" x14ac:dyDescent="0.25">
      <c r="A59" s="215"/>
      <c r="B59" s="230"/>
      <c r="C59" s="230"/>
      <c r="D59" s="230"/>
      <c r="E59" s="230"/>
      <c r="F59" s="230"/>
      <c r="G59" s="230"/>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row>
    <row r="60" spans="1:76" s="194" customFormat="1" ht="15.75" x14ac:dyDescent="0.25">
      <c r="A60" s="215"/>
      <c r="B60" s="685" t="s">
        <v>2326</v>
      </c>
      <c r="C60" s="686"/>
      <c r="D60" s="686"/>
      <c r="E60" s="686"/>
      <c r="F60" s="686"/>
      <c r="G60" s="447"/>
      <c r="H60" s="596"/>
      <c r="I60" s="597"/>
      <c r="J60" s="598"/>
      <c r="K60" s="448"/>
      <c r="L60" s="599" t="s">
        <v>2283</v>
      </c>
      <c r="M60" s="599"/>
      <c r="N60" s="599"/>
      <c r="O60" s="231"/>
      <c r="P60" s="231"/>
      <c r="Q60" s="197"/>
      <c r="R60" s="197"/>
      <c r="S60" s="197"/>
      <c r="T60" s="197"/>
      <c r="U60" s="197"/>
      <c r="V60" s="197"/>
      <c r="W60" s="197"/>
      <c r="X60" s="197"/>
      <c r="Y60" s="197"/>
      <c r="Z60" s="197"/>
      <c r="AA60" s="197"/>
      <c r="AB60" s="197"/>
      <c r="AC60" s="197"/>
      <c r="AD60" s="197"/>
    </row>
    <row r="61" spans="1:76" s="194" customFormat="1" ht="14.25" customHeight="1" x14ac:dyDescent="0.25">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c r="BX61" s="203"/>
    </row>
    <row r="62" spans="1:76" s="206" customFormat="1" ht="15.75" x14ac:dyDescent="0.2">
      <c r="B62" s="542" t="s">
        <v>2301</v>
      </c>
      <c r="C62" s="603" t="s">
        <v>2281</v>
      </c>
      <c r="D62" s="604"/>
      <c r="E62" s="604"/>
      <c r="F62" s="604"/>
      <c r="G62" s="605"/>
      <c r="H62" s="583" t="s">
        <v>53</v>
      </c>
      <c r="I62" s="583"/>
      <c r="J62" s="583"/>
      <c r="K62" s="583" t="s">
        <v>91</v>
      </c>
      <c r="L62" s="583"/>
      <c r="M62" s="583"/>
      <c r="N62" s="583"/>
      <c r="O62" s="583"/>
      <c r="P62" s="583"/>
      <c r="Q62" s="583" t="s">
        <v>2291</v>
      </c>
      <c r="R62" s="583"/>
      <c r="S62" s="583"/>
      <c r="T62" s="584"/>
      <c r="U62" s="585" t="s">
        <v>2292</v>
      </c>
      <c r="V62" s="585"/>
      <c r="W62" s="585"/>
      <c r="X62" s="585" t="s">
        <v>2293</v>
      </c>
      <c r="Y62" s="585"/>
      <c r="Z62" s="585"/>
      <c r="AA62" s="585" t="s">
        <v>2273</v>
      </c>
      <c r="AB62" s="585" t="s">
        <v>2294</v>
      </c>
      <c r="AC62" s="585"/>
      <c r="AD62" s="585"/>
      <c r="AE62" s="207"/>
    </row>
    <row r="63" spans="1:76" s="209" customFormat="1" ht="35.25" customHeight="1" x14ac:dyDescent="0.2">
      <c r="A63" s="208"/>
      <c r="B63" s="542"/>
      <c r="C63" s="587" t="s">
        <v>87</v>
      </c>
      <c r="D63" s="588"/>
      <c r="E63" s="588"/>
      <c r="F63" s="588"/>
      <c r="G63" s="589"/>
      <c r="H63" s="241" t="s">
        <v>2295</v>
      </c>
      <c r="I63" s="590" t="s">
        <v>2296</v>
      </c>
      <c r="J63" s="590"/>
      <c r="K63" s="590" t="s">
        <v>2297</v>
      </c>
      <c r="L63" s="590"/>
      <c r="M63" s="590" t="s">
        <v>105</v>
      </c>
      <c r="N63" s="590"/>
      <c r="O63" s="590" t="s">
        <v>2300</v>
      </c>
      <c r="P63" s="590"/>
      <c r="Q63" s="591" t="s">
        <v>2298</v>
      </c>
      <c r="R63" s="591"/>
      <c r="S63" s="592" t="s">
        <v>2299</v>
      </c>
      <c r="T63" s="592"/>
      <c r="U63" s="586"/>
      <c r="V63" s="586"/>
      <c r="W63" s="586"/>
      <c r="X63" s="586"/>
      <c r="Y63" s="586"/>
      <c r="Z63" s="586"/>
      <c r="AA63" s="586"/>
      <c r="AB63" s="586"/>
      <c r="AC63" s="586"/>
      <c r="AD63" s="586"/>
      <c r="BX63" s="210"/>
    </row>
    <row r="64" spans="1:76" s="194" customFormat="1" ht="15.75" x14ac:dyDescent="0.25">
      <c r="A64" s="202"/>
      <c r="B64" s="542"/>
      <c r="C64" s="554" t="str">
        <f>+MEMORIA!D75</f>
        <v>Departamento N° ….</v>
      </c>
      <c r="D64" s="555"/>
      <c r="E64" s="555"/>
      <c r="F64" s="555"/>
      <c r="G64" s="556"/>
      <c r="H64" s="249">
        <f>+MEMORIA!AO35</f>
        <v>0</v>
      </c>
      <c r="I64" s="553">
        <f>+MEMORIA!AO147</f>
        <v>0</v>
      </c>
      <c r="J64" s="553"/>
      <c r="K64" s="557">
        <f>+MEMORIA!V76</f>
        <v>0</v>
      </c>
      <c r="L64" s="557"/>
      <c r="M64" s="557">
        <f>+MEMORIA!AD76</f>
        <v>0</v>
      </c>
      <c r="N64" s="557"/>
      <c r="O64" s="553">
        <f>+MEMORIA!AM269</f>
        <v>0</v>
      </c>
      <c r="P64" s="553"/>
      <c r="Q64" s="553">
        <f>+MEMORIA!AM270</f>
        <v>0</v>
      </c>
      <c r="R64" s="553"/>
      <c r="S64" s="558">
        <f>+MEMORIA!AM271</f>
        <v>0</v>
      </c>
      <c r="T64" s="558"/>
      <c r="U64" s="559">
        <f>+MEMORIA!AM272</f>
        <v>0</v>
      </c>
      <c r="V64" s="560"/>
      <c r="W64" s="561"/>
      <c r="X64" s="559">
        <f>+MEMORIA!AM299</f>
        <v>0</v>
      </c>
      <c r="Y64" s="560"/>
      <c r="Z64" s="561"/>
      <c r="AA64" s="250">
        <f>+MEMORIA!I297</f>
        <v>0.8</v>
      </c>
      <c r="AB64" s="562">
        <f>+MEMORIA!AM312</f>
        <v>0</v>
      </c>
      <c r="AC64" s="562"/>
      <c r="AD64" s="562"/>
      <c r="BX64" s="203"/>
    </row>
    <row r="65" spans="1:76" s="194" customFormat="1" ht="15.75" x14ac:dyDescent="0.25">
      <c r="A65" s="202"/>
      <c r="B65" s="542"/>
      <c r="C65" s="554" t="str">
        <f>+MEMORIA!D77</f>
        <v>Estacionamiento N° …</v>
      </c>
      <c r="D65" s="555"/>
      <c r="E65" s="555"/>
      <c r="F65" s="555"/>
      <c r="G65" s="556"/>
      <c r="H65" s="249">
        <f>+MEMORIA!AO37</f>
        <v>0</v>
      </c>
      <c r="I65" s="553">
        <f>+MEMORIA!AO150</f>
        <v>0</v>
      </c>
      <c r="J65" s="553"/>
      <c r="K65" s="557">
        <f>+MEMORIA!V77</f>
        <v>0</v>
      </c>
      <c r="L65" s="557"/>
      <c r="M65" s="557">
        <f>+MEMORIA!AD77</f>
        <v>0</v>
      </c>
      <c r="N65" s="557"/>
      <c r="O65" s="553">
        <f>+MEMORIA!AM275</f>
        <v>0</v>
      </c>
      <c r="P65" s="553"/>
      <c r="Q65" s="553">
        <f>+MEMORIA!AM276</f>
        <v>0</v>
      </c>
      <c r="R65" s="553"/>
      <c r="S65" s="558">
        <f>+MEMORIA!AM277</f>
        <v>0</v>
      </c>
      <c r="T65" s="558"/>
      <c r="U65" s="559">
        <f>+MEMORIA!AM278</f>
        <v>0</v>
      </c>
      <c r="V65" s="560"/>
      <c r="W65" s="561"/>
      <c r="X65" s="559">
        <f>+MEMORIA!AM301</f>
        <v>0</v>
      </c>
      <c r="Y65" s="560"/>
      <c r="Z65" s="561"/>
      <c r="AA65" s="250">
        <f>+AA64</f>
        <v>0.8</v>
      </c>
      <c r="AB65" s="562">
        <f>+MEMORIA!AM318</f>
        <v>0</v>
      </c>
      <c r="AC65" s="562"/>
      <c r="AD65" s="562"/>
      <c r="BX65" s="203"/>
    </row>
    <row r="66" spans="1:76" s="194" customFormat="1" ht="15.75" x14ac:dyDescent="0.25">
      <c r="A66" s="202"/>
      <c r="B66" s="542"/>
      <c r="C66" s="554" t="str">
        <f>+MEMORIA!D78</f>
        <v>Depósito N°..</v>
      </c>
      <c r="D66" s="555"/>
      <c r="E66" s="555"/>
      <c r="F66" s="555"/>
      <c r="G66" s="556"/>
      <c r="H66" s="249">
        <f>+MEMORIA!AO39</f>
        <v>0</v>
      </c>
      <c r="I66" s="553">
        <f>+MEMORIA!AO153</f>
        <v>0</v>
      </c>
      <c r="J66" s="553"/>
      <c r="K66" s="557">
        <f>+MEMORIA!V78</f>
        <v>0</v>
      </c>
      <c r="L66" s="557"/>
      <c r="M66" s="557">
        <f>+MEMORIA!AD78</f>
        <v>0</v>
      </c>
      <c r="N66" s="557"/>
      <c r="O66" s="553">
        <f>+MEMORIA!AM281</f>
        <v>0</v>
      </c>
      <c r="P66" s="553"/>
      <c r="Q66" s="553">
        <f>+MEMORIA!AM282</f>
        <v>0</v>
      </c>
      <c r="R66" s="553"/>
      <c r="S66" s="558">
        <f>+MEMORIA!AM283</f>
        <v>0</v>
      </c>
      <c r="T66" s="558"/>
      <c r="U66" s="559">
        <f>+MEMORIA!AM284</f>
        <v>0</v>
      </c>
      <c r="V66" s="560"/>
      <c r="W66" s="561"/>
      <c r="X66" s="559">
        <f>+MEMORIA!AM303</f>
        <v>0</v>
      </c>
      <c r="Y66" s="560"/>
      <c r="Z66" s="561"/>
      <c r="AA66" s="250">
        <f>+MEMORIA!I299</f>
        <v>0.8</v>
      </c>
      <c r="AB66" s="562">
        <f>+MEMORIA!AM324</f>
        <v>0</v>
      </c>
      <c r="AC66" s="562"/>
      <c r="AD66" s="562"/>
      <c r="BX66" s="203"/>
    </row>
    <row r="67" spans="1:76" s="194" customFormat="1" ht="15.75" customHeight="1" x14ac:dyDescent="0.25">
      <c r="A67" s="202"/>
      <c r="B67" s="542"/>
      <c r="C67" s="574" t="s">
        <v>2282</v>
      </c>
      <c r="D67" s="575"/>
      <c r="E67" s="575"/>
      <c r="F67" s="575"/>
      <c r="G67" s="576"/>
      <c r="H67" s="238"/>
      <c r="I67" s="568"/>
      <c r="J67" s="568"/>
      <c r="K67" s="569"/>
      <c r="L67" s="569"/>
      <c r="M67" s="569"/>
      <c r="N67" s="569"/>
      <c r="O67" s="569"/>
      <c r="P67" s="569"/>
      <c r="Q67" s="593"/>
      <c r="R67" s="593"/>
      <c r="S67" s="593"/>
      <c r="T67" s="593"/>
      <c r="U67" s="594"/>
      <c r="V67" s="594"/>
      <c r="W67" s="594"/>
      <c r="X67" s="594"/>
      <c r="Y67" s="594"/>
      <c r="Z67" s="594"/>
      <c r="AA67" s="238"/>
      <c r="AB67" s="595"/>
      <c r="AC67" s="595"/>
      <c r="AD67" s="595"/>
      <c r="BX67" s="203"/>
    </row>
    <row r="68" spans="1:76" s="206" customFormat="1" ht="15.75" x14ac:dyDescent="0.2">
      <c r="A68" s="239"/>
      <c r="B68" s="542"/>
      <c r="C68" s="565" t="str">
        <f>+C64</f>
        <v>Departamento N° ….</v>
      </c>
      <c r="D68" s="566"/>
      <c r="E68" s="566"/>
      <c r="F68" s="566"/>
      <c r="G68" s="567"/>
      <c r="H68" s="327">
        <v>0</v>
      </c>
      <c r="I68" s="568">
        <v>0</v>
      </c>
      <c r="J68" s="568"/>
      <c r="K68" s="568">
        <v>0</v>
      </c>
      <c r="L68" s="569"/>
      <c r="M68" s="543">
        <v>0</v>
      </c>
      <c r="N68" s="543"/>
      <c r="O68" s="543">
        <v>0</v>
      </c>
      <c r="P68" s="543"/>
      <c r="Q68" s="543">
        <v>0</v>
      </c>
      <c r="R68" s="543"/>
      <c r="S68" s="543">
        <v>0</v>
      </c>
      <c r="T68" s="543"/>
      <c r="U68" s="545">
        <v>0</v>
      </c>
      <c r="V68" s="546"/>
      <c r="W68" s="547"/>
      <c r="X68" s="545">
        <v>0</v>
      </c>
      <c r="Y68" s="546"/>
      <c r="Z68" s="547"/>
      <c r="AA68" s="328">
        <v>0</v>
      </c>
      <c r="AB68" s="545">
        <v>0</v>
      </c>
      <c r="AC68" s="546"/>
      <c r="AD68" s="547"/>
      <c r="BX68" s="240"/>
    </row>
    <row r="69" spans="1:76" s="194" customFormat="1" ht="18" customHeight="1" x14ac:dyDescent="0.25">
      <c r="A69" s="202"/>
      <c r="B69" s="542"/>
      <c r="C69" s="548" t="s">
        <v>50</v>
      </c>
      <c r="D69" s="549"/>
      <c r="E69" s="549"/>
      <c r="F69" s="549"/>
      <c r="G69" s="550"/>
      <c r="H69" s="400">
        <f>SUM(H64:H68)</f>
        <v>0</v>
      </c>
      <c r="I69" s="578">
        <f>SUM(I64:J68)</f>
        <v>0</v>
      </c>
      <c r="J69" s="578"/>
      <c r="K69" s="579">
        <f>SUM(K64:L68)</f>
        <v>0</v>
      </c>
      <c r="L69" s="579"/>
      <c r="M69" s="579">
        <f>SUM(M64:N68)</f>
        <v>0</v>
      </c>
      <c r="N69" s="579"/>
      <c r="O69" s="580">
        <f>SUM(O64:P68)</f>
        <v>0</v>
      </c>
      <c r="P69" s="581"/>
      <c r="Q69" s="580">
        <f>SUM(Q64:R68)</f>
        <v>0</v>
      </c>
      <c r="R69" s="581"/>
      <c r="S69" s="580">
        <f>SUM(S64:T68)</f>
        <v>0</v>
      </c>
      <c r="T69" s="581"/>
      <c r="U69" s="580">
        <f>SUM(U64:W68)</f>
        <v>0</v>
      </c>
      <c r="V69" s="581"/>
      <c r="W69" s="582"/>
      <c r="X69" s="580">
        <f>SUM(X64:Z68)</f>
        <v>0</v>
      </c>
      <c r="Y69" s="581"/>
      <c r="Z69" s="582"/>
      <c r="AA69" s="237"/>
      <c r="AB69" s="580">
        <f>SUM(AB64:AD68)</f>
        <v>0</v>
      </c>
      <c r="AC69" s="581"/>
      <c r="AD69" s="582"/>
      <c r="BX69" s="203"/>
    </row>
    <row r="70" spans="1:76" s="194" customFormat="1" ht="9.75" customHeight="1" x14ac:dyDescent="0.25">
      <c r="B70" s="204"/>
      <c r="G70" s="205"/>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row>
    <row r="71" spans="1:76" s="194" customFormat="1" ht="15.75" customHeight="1" x14ac:dyDescent="0.25">
      <c r="B71" s="542" t="s">
        <v>2290</v>
      </c>
      <c r="C71" s="603" t="s">
        <v>2281</v>
      </c>
      <c r="D71" s="604"/>
      <c r="E71" s="604"/>
      <c r="F71" s="604"/>
      <c r="G71" s="605"/>
      <c r="H71" s="583" t="s">
        <v>53</v>
      </c>
      <c r="I71" s="583"/>
      <c r="J71" s="583"/>
      <c r="K71" s="583" t="s">
        <v>91</v>
      </c>
      <c r="L71" s="583"/>
      <c r="M71" s="583"/>
      <c r="N71" s="583"/>
      <c r="O71" s="583"/>
      <c r="P71" s="583"/>
      <c r="Q71" s="583" t="s">
        <v>2291</v>
      </c>
      <c r="R71" s="583"/>
      <c r="S71" s="583"/>
      <c r="T71" s="584"/>
      <c r="U71" s="585" t="s">
        <v>2292</v>
      </c>
      <c r="V71" s="585"/>
      <c r="W71" s="585"/>
      <c r="X71" s="585" t="s">
        <v>2293</v>
      </c>
      <c r="Y71" s="585"/>
      <c r="Z71" s="585"/>
      <c r="AA71" s="585" t="s">
        <v>2273</v>
      </c>
      <c r="AB71" s="585" t="s">
        <v>2294</v>
      </c>
      <c r="AC71" s="585"/>
      <c r="AD71" s="585"/>
      <c r="AE71" s="197"/>
    </row>
    <row r="72" spans="1:76" s="194" customFormat="1" ht="37.5" customHeight="1" x14ac:dyDescent="0.25">
      <c r="A72" s="202"/>
      <c r="B72" s="542"/>
      <c r="C72" s="587" t="s">
        <v>87</v>
      </c>
      <c r="D72" s="588"/>
      <c r="E72" s="588"/>
      <c r="F72" s="588"/>
      <c r="G72" s="589"/>
      <c r="H72" s="241" t="s">
        <v>2295</v>
      </c>
      <c r="I72" s="590" t="s">
        <v>2296</v>
      </c>
      <c r="J72" s="590"/>
      <c r="K72" s="590" t="s">
        <v>2297</v>
      </c>
      <c r="L72" s="590"/>
      <c r="M72" s="590" t="s">
        <v>105</v>
      </c>
      <c r="N72" s="590"/>
      <c r="O72" s="590" t="s">
        <v>2300</v>
      </c>
      <c r="P72" s="590"/>
      <c r="Q72" s="591" t="s">
        <v>2298</v>
      </c>
      <c r="R72" s="591"/>
      <c r="S72" s="592" t="s">
        <v>2299</v>
      </c>
      <c r="T72" s="592"/>
      <c r="U72" s="586"/>
      <c r="V72" s="586"/>
      <c r="W72" s="586"/>
      <c r="X72" s="586"/>
      <c r="Y72" s="586"/>
      <c r="Z72" s="586"/>
      <c r="AA72" s="586"/>
      <c r="AB72" s="586"/>
      <c r="AC72" s="586"/>
      <c r="AD72" s="586"/>
      <c r="BX72" s="203"/>
    </row>
    <row r="73" spans="1:76" s="194" customFormat="1" ht="15.75" x14ac:dyDescent="0.25">
      <c r="A73" s="202"/>
      <c r="B73" s="542"/>
      <c r="C73" s="570" t="str">
        <f>+C64</f>
        <v>Departamento N° ….</v>
      </c>
      <c r="D73" s="571"/>
      <c r="E73" s="571"/>
      <c r="F73" s="571"/>
      <c r="G73" s="572"/>
      <c r="H73" s="249">
        <f>+H64</f>
        <v>0</v>
      </c>
      <c r="I73" s="573">
        <f>+I64*H60</f>
        <v>0</v>
      </c>
      <c r="J73" s="573"/>
      <c r="K73" s="553">
        <f>+K64</f>
        <v>0</v>
      </c>
      <c r="L73" s="553"/>
      <c r="M73" s="553">
        <f>+M64</f>
        <v>0</v>
      </c>
      <c r="N73" s="553"/>
      <c r="O73" s="553">
        <f>+O64*$H$60</f>
        <v>0</v>
      </c>
      <c r="P73" s="553"/>
      <c r="Q73" s="553">
        <f>+Q64*$H$60</f>
        <v>0</v>
      </c>
      <c r="R73" s="553"/>
      <c r="S73" s="553">
        <f>+S64*$H$60</f>
        <v>0</v>
      </c>
      <c r="T73" s="553"/>
      <c r="U73" s="562">
        <f>+U64*H60</f>
        <v>0</v>
      </c>
      <c r="V73" s="562"/>
      <c r="W73" s="562"/>
      <c r="X73" s="562">
        <f>+X64*H60</f>
        <v>0</v>
      </c>
      <c r="Y73" s="562"/>
      <c r="Z73" s="562"/>
      <c r="AA73" s="250">
        <f>+AA64</f>
        <v>0.8</v>
      </c>
      <c r="AB73" s="562">
        <f>+AB64*H60</f>
        <v>0</v>
      </c>
      <c r="AC73" s="562"/>
      <c r="AD73" s="562"/>
      <c r="BX73" s="203"/>
    </row>
    <row r="74" spans="1:76" s="194" customFormat="1" ht="15.75" x14ac:dyDescent="0.25">
      <c r="A74" s="202"/>
      <c r="B74" s="542"/>
      <c r="C74" s="570" t="str">
        <f>+C65</f>
        <v>Estacionamiento N° …</v>
      </c>
      <c r="D74" s="571"/>
      <c r="E74" s="571"/>
      <c r="F74" s="571"/>
      <c r="G74" s="572"/>
      <c r="H74" s="249">
        <f>+H65</f>
        <v>0</v>
      </c>
      <c r="I74" s="573">
        <f>+I65*H60</f>
        <v>0</v>
      </c>
      <c r="J74" s="573"/>
      <c r="K74" s="553">
        <f>+K65</f>
        <v>0</v>
      </c>
      <c r="L74" s="553"/>
      <c r="M74" s="553">
        <f>+M65</f>
        <v>0</v>
      </c>
      <c r="N74" s="553"/>
      <c r="O74" s="553">
        <f>+O65*$H$60</f>
        <v>0</v>
      </c>
      <c r="P74" s="553"/>
      <c r="Q74" s="553">
        <f>+Q65*$H$60</f>
        <v>0</v>
      </c>
      <c r="R74" s="553"/>
      <c r="S74" s="553">
        <f>+S65*$H$60</f>
        <v>0</v>
      </c>
      <c r="T74" s="553"/>
      <c r="U74" s="562">
        <f>+U65*H60</f>
        <v>0</v>
      </c>
      <c r="V74" s="562"/>
      <c r="W74" s="562"/>
      <c r="X74" s="562">
        <f>+X65*H60</f>
        <v>0</v>
      </c>
      <c r="Y74" s="562"/>
      <c r="Z74" s="562"/>
      <c r="AA74" s="250">
        <f>+AA65</f>
        <v>0.8</v>
      </c>
      <c r="AB74" s="562">
        <f>+AB65*H60</f>
        <v>0</v>
      </c>
      <c r="AC74" s="562"/>
      <c r="AD74" s="562"/>
      <c r="BX74" s="203"/>
    </row>
    <row r="75" spans="1:76" s="194" customFormat="1" ht="15.75" x14ac:dyDescent="0.25">
      <c r="A75" s="202"/>
      <c r="B75" s="542"/>
      <c r="C75" s="570" t="str">
        <f>+C66</f>
        <v>Depósito N°..</v>
      </c>
      <c r="D75" s="571"/>
      <c r="E75" s="571"/>
      <c r="F75" s="571"/>
      <c r="G75" s="572"/>
      <c r="H75" s="249">
        <f>+H66</f>
        <v>0</v>
      </c>
      <c r="I75" s="573">
        <f>+I66*H60</f>
        <v>0</v>
      </c>
      <c r="J75" s="573"/>
      <c r="K75" s="553">
        <f>+K66</f>
        <v>0</v>
      </c>
      <c r="L75" s="553"/>
      <c r="M75" s="553">
        <f>+M66</f>
        <v>0</v>
      </c>
      <c r="N75" s="553"/>
      <c r="O75" s="553">
        <f>+O66*$H$60</f>
        <v>0</v>
      </c>
      <c r="P75" s="553"/>
      <c r="Q75" s="553">
        <f>+Q66*$H$60</f>
        <v>0</v>
      </c>
      <c r="R75" s="553"/>
      <c r="S75" s="553">
        <f>+S66*$H$60</f>
        <v>0</v>
      </c>
      <c r="T75" s="553"/>
      <c r="U75" s="562">
        <f>+U66*H60</f>
        <v>0</v>
      </c>
      <c r="V75" s="562"/>
      <c r="W75" s="562"/>
      <c r="X75" s="562">
        <f>+X66*H60</f>
        <v>0</v>
      </c>
      <c r="Y75" s="562"/>
      <c r="Z75" s="562"/>
      <c r="AA75" s="250">
        <f>+AA66</f>
        <v>0.8</v>
      </c>
      <c r="AB75" s="562">
        <f>+AB66*H60</f>
        <v>0</v>
      </c>
      <c r="AC75" s="562"/>
      <c r="AD75" s="562"/>
      <c r="BX75" s="203"/>
    </row>
    <row r="76" spans="1:76" s="194" customFormat="1" ht="15.75" x14ac:dyDescent="0.25">
      <c r="B76" s="542"/>
      <c r="C76" s="574" t="s">
        <v>2282</v>
      </c>
      <c r="D76" s="575"/>
      <c r="E76" s="575"/>
      <c r="F76" s="575"/>
      <c r="G76" s="576"/>
      <c r="H76" s="211"/>
      <c r="I76" s="577"/>
      <c r="J76" s="577"/>
      <c r="K76" s="577"/>
      <c r="L76" s="577"/>
      <c r="M76" s="577"/>
      <c r="N76" s="577"/>
      <c r="O76" s="577"/>
      <c r="P76" s="577"/>
      <c r="Q76" s="563"/>
      <c r="R76" s="563"/>
      <c r="S76" s="563"/>
      <c r="T76" s="563"/>
      <c r="U76" s="562"/>
      <c r="V76" s="562"/>
      <c r="W76" s="562"/>
      <c r="X76" s="564"/>
      <c r="Y76" s="564"/>
      <c r="Z76" s="564"/>
      <c r="AA76" s="211"/>
      <c r="AB76" s="564"/>
      <c r="AC76" s="564"/>
      <c r="AD76" s="564"/>
      <c r="AE76" s="197"/>
    </row>
    <row r="77" spans="1:76" s="206" customFormat="1" ht="15.75" x14ac:dyDescent="0.2">
      <c r="A77" s="239"/>
      <c r="B77" s="542"/>
      <c r="C77" s="565" t="str">
        <f>+C68</f>
        <v>Departamento N° ….</v>
      </c>
      <c r="D77" s="566"/>
      <c r="E77" s="566"/>
      <c r="F77" s="566"/>
      <c r="G77" s="567"/>
      <c r="H77" s="327">
        <f>+H68</f>
        <v>0</v>
      </c>
      <c r="I77" s="568">
        <f>+I68*H60</f>
        <v>0</v>
      </c>
      <c r="J77" s="569"/>
      <c r="K77" s="568">
        <f>+K68</f>
        <v>0</v>
      </c>
      <c r="L77" s="569"/>
      <c r="M77" s="543">
        <f>+M68</f>
        <v>0</v>
      </c>
      <c r="N77" s="569"/>
      <c r="O77" s="568">
        <v>0</v>
      </c>
      <c r="P77" s="569"/>
      <c r="Q77" s="543">
        <f>+Q68*H60</f>
        <v>0</v>
      </c>
      <c r="R77" s="543"/>
      <c r="S77" s="543">
        <f>+S68*H60</f>
        <v>0</v>
      </c>
      <c r="T77" s="543"/>
      <c r="U77" s="544">
        <f>+U68*H60</f>
        <v>0</v>
      </c>
      <c r="V77" s="544"/>
      <c r="W77" s="544"/>
      <c r="X77" s="545">
        <f>+X68*H60</f>
        <v>0</v>
      </c>
      <c r="Y77" s="546"/>
      <c r="Z77" s="547"/>
      <c r="AA77" s="328">
        <f>+AA73</f>
        <v>0.8</v>
      </c>
      <c r="AB77" s="545">
        <f>+AB68*H60</f>
        <v>0</v>
      </c>
      <c r="AC77" s="546"/>
      <c r="AD77" s="547"/>
      <c r="BX77" s="240"/>
    </row>
    <row r="78" spans="1:76" s="194" customFormat="1" ht="18.75" customHeight="1" x14ac:dyDescent="0.25">
      <c r="B78" s="542"/>
      <c r="C78" s="548" t="s">
        <v>50</v>
      </c>
      <c r="D78" s="549"/>
      <c r="E78" s="549"/>
      <c r="F78" s="549"/>
      <c r="G78" s="550"/>
      <c r="H78" s="211"/>
      <c r="I78" s="551">
        <f>SUM(I73:J77)</f>
        <v>0</v>
      </c>
      <c r="J78" s="552"/>
      <c r="K78" s="538">
        <f>SUM(K73:L77)</f>
        <v>0</v>
      </c>
      <c r="L78" s="539"/>
      <c r="M78" s="538">
        <f>SUM(M73:N77)</f>
        <v>0</v>
      </c>
      <c r="N78" s="539"/>
      <c r="O78" s="538">
        <f>SUM(O73:P77)</f>
        <v>0</v>
      </c>
      <c r="P78" s="539"/>
      <c r="Q78" s="538">
        <f>SUM(Q73:R77)</f>
        <v>0</v>
      </c>
      <c r="R78" s="539"/>
      <c r="S78" s="538">
        <f>SUM(S73:T77)</f>
        <v>0</v>
      </c>
      <c r="T78" s="539"/>
      <c r="U78" s="540">
        <f>SUM(U73:W77)</f>
        <v>0</v>
      </c>
      <c r="V78" s="541"/>
      <c r="W78" s="541"/>
      <c r="X78" s="540">
        <f>SUM(X73:Z77)</f>
        <v>0</v>
      </c>
      <c r="Y78" s="541"/>
      <c r="Z78" s="541"/>
      <c r="AA78" s="237"/>
      <c r="AB78" s="540">
        <f>SUM(AB73:AD77)</f>
        <v>0</v>
      </c>
      <c r="AC78" s="541"/>
      <c r="AD78" s="541"/>
      <c r="AE78" s="197"/>
    </row>
    <row r="79" spans="1:76" s="194" customFormat="1" ht="14.25" customHeight="1" x14ac:dyDescent="0.25">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c r="AA79" s="202"/>
      <c r="AB79" s="202"/>
      <c r="AC79" s="202"/>
      <c r="AD79" s="202"/>
      <c r="BX79" s="203"/>
    </row>
    <row r="80" spans="1:76" s="194" customFormat="1" ht="14.25" customHeight="1" x14ac:dyDescent="0.3">
      <c r="A80" s="202"/>
      <c r="B80" s="600" t="s">
        <v>2302</v>
      </c>
      <c r="C80" s="600"/>
      <c r="D80" s="600"/>
      <c r="E80" s="600"/>
      <c r="F80" s="600"/>
      <c r="G80" s="601"/>
      <c r="H80" s="531"/>
      <c r="I80" s="532"/>
      <c r="J80" s="532"/>
      <c r="K80" s="532"/>
      <c r="L80" s="532"/>
      <c r="M80" s="533"/>
      <c r="N80" s="213"/>
      <c r="O80" s="213"/>
      <c r="P80" s="202"/>
      <c r="Q80" s="202"/>
      <c r="R80" s="537" t="s">
        <v>2303</v>
      </c>
      <c r="S80" s="537"/>
      <c r="T80" s="537"/>
      <c r="U80" s="537"/>
      <c r="V80" s="537"/>
      <c r="W80" s="537"/>
      <c r="X80" s="537"/>
      <c r="Y80" s="528" t="s">
        <v>2315</v>
      </c>
      <c r="Z80" s="529"/>
      <c r="AA80" s="529"/>
      <c r="AB80" s="529"/>
      <c r="AC80" s="529"/>
      <c r="AD80" s="530"/>
      <c r="BX80" s="203"/>
    </row>
    <row r="81" spans="1:76" s="194" customFormat="1" ht="9.75" customHeight="1" x14ac:dyDescent="0.25">
      <c r="B81" s="204"/>
      <c r="G81" s="205"/>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row>
    <row r="82" spans="1:76" s="194" customFormat="1" ht="14.25" customHeight="1" x14ac:dyDescent="0.3">
      <c r="A82" s="202"/>
      <c r="B82" s="600" t="s">
        <v>2304</v>
      </c>
      <c r="C82" s="600"/>
      <c r="D82" s="600"/>
      <c r="E82" s="600"/>
      <c r="F82" s="600"/>
      <c r="G82" s="601"/>
      <c r="H82" s="531"/>
      <c r="I82" s="532"/>
      <c r="J82" s="532"/>
      <c r="K82" s="532"/>
      <c r="L82" s="532"/>
      <c r="M82" s="533"/>
      <c r="N82" s="213"/>
      <c r="O82" s="213"/>
      <c r="P82" s="534"/>
      <c r="Q82" s="535"/>
      <c r="R82" s="535"/>
      <c r="S82" s="535"/>
      <c r="T82" s="535"/>
      <c r="U82" s="535"/>
      <c r="V82" s="535"/>
      <c r="W82" s="535"/>
      <c r="X82" s="535"/>
      <c r="Y82" s="535"/>
      <c r="Z82" s="535"/>
      <c r="AA82" s="536"/>
      <c r="AB82" s="213"/>
      <c r="AC82" s="213"/>
      <c r="AD82" s="213"/>
      <c r="BX82" s="203"/>
    </row>
    <row r="83" spans="1:76" s="194" customFormat="1" ht="9.75" customHeight="1" x14ac:dyDescent="0.25">
      <c r="B83" s="204"/>
      <c r="G83" s="205"/>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row>
    <row r="84" spans="1:76" s="194" customFormat="1" ht="49.5" customHeight="1" x14ac:dyDescent="0.25">
      <c r="A84" s="202"/>
      <c r="B84" s="683" t="s">
        <v>2280</v>
      </c>
      <c r="C84" s="683"/>
      <c r="D84" s="683"/>
      <c r="E84" s="683"/>
      <c r="F84" s="683"/>
      <c r="G84" s="684"/>
      <c r="H84" s="507" t="s">
        <v>2533</v>
      </c>
      <c r="I84" s="508"/>
      <c r="J84" s="508"/>
      <c r="K84" s="508"/>
      <c r="L84" s="508"/>
      <c r="M84" s="508"/>
      <c r="N84" s="508"/>
      <c r="O84" s="508"/>
      <c r="P84" s="508"/>
      <c r="Q84" s="508"/>
      <c r="R84" s="508"/>
      <c r="S84" s="508"/>
      <c r="T84" s="508"/>
      <c r="U84" s="508"/>
      <c r="V84" s="508"/>
      <c r="W84" s="508"/>
      <c r="X84" s="508"/>
      <c r="Y84" s="508"/>
      <c r="Z84" s="508"/>
      <c r="AA84" s="508"/>
      <c r="AB84" s="508"/>
      <c r="AC84" s="508"/>
      <c r="AD84" s="509"/>
      <c r="BX84" s="203"/>
    </row>
    <row r="85" spans="1:76" s="194" customFormat="1" ht="6" customHeight="1" x14ac:dyDescent="0.25">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2"/>
      <c r="Z85" s="202"/>
      <c r="AA85" s="202"/>
      <c r="AB85" s="202"/>
      <c r="AC85" s="202"/>
      <c r="AD85" s="202"/>
      <c r="BX85" s="203"/>
    </row>
    <row r="86" spans="1:76" s="194" customFormat="1" ht="14.25" customHeight="1" x14ac:dyDescent="0.25">
      <c r="A86" s="202"/>
      <c r="B86" s="202"/>
      <c r="C86" s="202"/>
      <c r="D86" s="202"/>
      <c r="E86" s="202"/>
      <c r="F86" s="202"/>
      <c r="G86" s="202"/>
      <c r="H86" s="197"/>
      <c r="I86" s="510" t="s">
        <v>2284</v>
      </c>
      <c r="J86" s="510"/>
      <c r="K86" s="510" t="s">
        <v>2285</v>
      </c>
      <c r="L86" s="510"/>
      <c r="M86" s="202"/>
      <c r="N86" s="202"/>
      <c r="O86" s="202"/>
      <c r="P86" s="202"/>
      <c r="Q86" s="510" t="s">
        <v>2284</v>
      </c>
      <c r="R86" s="510"/>
      <c r="S86" s="510" t="s">
        <v>2285</v>
      </c>
      <c r="T86" s="510"/>
      <c r="U86" s="202"/>
      <c r="V86" s="202"/>
      <c r="W86" s="202"/>
      <c r="X86" s="202"/>
      <c r="Y86" s="202"/>
      <c r="Z86" s="202"/>
      <c r="AA86" s="510" t="s">
        <v>2284</v>
      </c>
      <c r="AB86" s="510"/>
      <c r="AC86" s="510" t="s">
        <v>2285</v>
      </c>
      <c r="AD86" s="510"/>
      <c r="BX86" s="203"/>
    </row>
    <row r="87" spans="1:76" s="194" customFormat="1" ht="21.75" customHeight="1" x14ac:dyDescent="0.25">
      <c r="B87" s="602" t="s">
        <v>2305</v>
      </c>
      <c r="C87" s="602"/>
      <c r="D87" s="602"/>
      <c r="E87" s="602"/>
      <c r="F87" s="602"/>
      <c r="G87" s="602"/>
      <c r="H87" s="216" t="s">
        <v>2286</v>
      </c>
      <c r="I87" s="511"/>
      <c r="J87" s="512"/>
      <c r="K87" s="511"/>
      <c r="L87" s="512"/>
      <c r="M87" s="443"/>
      <c r="N87" s="493"/>
      <c r="O87" s="443" t="s">
        <v>2287</v>
      </c>
      <c r="P87" s="443"/>
      <c r="Q87" s="511"/>
      <c r="R87" s="512"/>
      <c r="S87" s="511"/>
      <c r="T87" s="512"/>
      <c r="U87" s="443"/>
      <c r="V87" s="443"/>
      <c r="W87" s="443"/>
      <c r="X87" s="443"/>
      <c r="Y87" s="443" t="s">
        <v>2288</v>
      </c>
      <c r="Z87" s="443"/>
      <c r="AA87" s="511"/>
      <c r="AB87" s="512"/>
      <c r="AC87" s="511"/>
      <c r="AD87" s="512"/>
      <c r="AE87" s="443"/>
    </row>
    <row r="88" spans="1:76" s="194" customFormat="1" ht="14.25" customHeight="1" x14ac:dyDescent="0.25">
      <c r="A88" s="202"/>
      <c r="B88" s="202"/>
      <c r="C88" s="202"/>
      <c r="D88" s="202"/>
      <c r="E88" s="202"/>
      <c r="F88" s="202"/>
      <c r="G88" s="202"/>
      <c r="H88" s="202"/>
      <c r="I88" s="494"/>
      <c r="J88" s="494"/>
      <c r="K88" s="494"/>
      <c r="L88" s="494"/>
      <c r="M88" s="494"/>
      <c r="N88" s="494"/>
      <c r="O88" s="494"/>
      <c r="P88" s="494"/>
      <c r="Q88" s="494"/>
      <c r="R88" s="494"/>
      <c r="S88" s="494"/>
      <c r="T88" s="494"/>
      <c r="U88" s="494"/>
      <c r="V88" s="494"/>
      <c r="W88" s="494"/>
      <c r="X88" s="494"/>
      <c r="Y88" s="494"/>
      <c r="Z88" s="494"/>
      <c r="AA88" s="494"/>
      <c r="AB88" s="494"/>
      <c r="AC88" s="494"/>
      <c r="AD88" s="494"/>
      <c r="AE88" s="493"/>
      <c r="BX88" s="203"/>
    </row>
    <row r="89" spans="1:76" s="194" customFormat="1" ht="12.75" customHeight="1" x14ac:dyDescent="0.25">
      <c r="B89" s="204"/>
      <c r="G89" s="205"/>
      <c r="H89" s="197"/>
      <c r="I89" s="682" t="s">
        <v>2284</v>
      </c>
      <c r="J89" s="682"/>
      <c r="K89" s="682" t="s">
        <v>2285</v>
      </c>
      <c r="L89" s="682"/>
      <c r="M89" s="443"/>
      <c r="N89" s="443"/>
      <c r="O89" s="443"/>
      <c r="P89" s="443"/>
      <c r="Q89" s="443"/>
      <c r="R89" s="443"/>
      <c r="S89" s="443"/>
      <c r="T89" s="443"/>
      <c r="U89" s="443"/>
      <c r="V89" s="443"/>
      <c r="W89" s="443"/>
      <c r="X89" s="443"/>
      <c r="Y89" s="443"/>
      <c r="Z89" s="443"/>
      <c r="AA89" s="443"/>
      <c r="AB89" s="443"/>
      <c r="AC89" s="443"/>
      <c r="AD89" s="443"/>
      <c r="AE89" s="443"/>
    </row>
    <row r="90" spans="1:76" s="194" customFormat="1" ht="32.25" customHeight="1" x14ac:dyDescent="0.25">
      <c r="A90" s="202"/>
      <c r="B90" s="497" t="s">
        <v>2306</v>
      </c>
      <c r="C90" s="497"/>
      <c r="D90" s="497"/>
      <c r="E90" s="497"/>
      <c r="F90" s="497"/>
      <c r="G90" s="497"/>
      <c r="H90" s="202"/>
      <c r="I90" s="511"/>
      <c r="J90" s="512"/>
      <c r="K90" s="511"/>
      <c r="L90" s="512"/>
      <c r="M90" s="494"/>
      <c r="N90" s="494"/>
      <c r="O90" s="494"/>
      <c r="P90" s="494"/>
      <c r="Q90" s="494"/>
      <c r="R90" s="494"/>
      <c r="S90" s="494"/>
      <c r="T90" s="494"/>
      <c r="U90" s="494"/>
      <c r="V90" s="494"/>
      <c r="W90" s="494"/>
      <c r="X90" s="494"/>
      <c r="Y90" s="494"/>
      <c r="Z90" s="494"/>
      <c r="AA90" s="494"/>
      <c r="AB90" s="494"/>
      <c r="AC90" s="494"/>
      <c r="AD90" s="494"/>
      <c r="AE90" s="493"/>
      <c r="BX90" s="203"/>
    </row>
    <row r="91" spans="1:76" s="194" customFormat="1" ht="9" customHeight="1" x14ac:dyDescent="0.25">
      <c r="A91" s="202"/>
      <c r="B91" s="202"/>
      <c r="C91" s="202"/>
      <c r="D91" s="202"/>
      <c r="E91" s="202"/>
      <c r="F91" s="202"/>
      <c r="G91" s="202"/>
      <c r="H91" s="202"/>
      <c r="M91" s="202"/>
      <c r="R91" s="202"/>
      <c r="S91" s="202"/>
      <c r="T91" s="202"/>
      <c r="U91" s="202"/>
      <c r="V91" s="202"/>
      <c r="W91" s="202"/>
      <c r="X91" s="202"/>
      <c r="Y91" s="202"/>
      <c r="Z91" s="202"/>
      <c r="AA91" s="202"/>
      <c r="AB91" s="202"/>
      <c r="AC91" s="202"/>
      <c r="AD91" s="202"/>
      <c r="BX91" s="203"/>
    </row>
    <row r="92" spans="1:76" s="206" customFormat="1" ht="47.25" customHeight="1" x14ac:dyDescent="0.2">
      <c r="A92" s="239"/>
      <c r="B92" s="503" t="s">
        <v>2307</v>
      </c>
      <c r="C92" s="503"/>
      <c r="D92" s="503"/>
      <c r="E92" s="503"/>
      <c r="F92" s="503"/>
      <c r="G92" s="504"/>
      <c r="H92" s="499">
        <f>+MEMORIA!C104</f>
        <v>0</v>
      </c>
      <c r="I92" s="500"/>
      <c r="J92" s="500"/>
      <c r="K92" s="500"/>
      <c r="L92" s="500"/>
      <c r="M92" s="500"/>
      <c r="N92" s="500"/>
      <c r="O92" s="500"/>
      <c r="P92" s="500"/>
      <c r="Q92" s="500"/>
      <c r="R92" s="500"/>
      <c r="S92" s="500"/>
      <c r="T92" s="500"/>
      <c r="U92" s="500"/>
      <c r="V92" s="500"/>
      <c r="W92" s="500"/>
      <c r="X92" s="500"/>
      <c r="Y92" s="500"/>
      <c r="Z92" s="500"/>
      <c r="AA92" s="500"/>
      <c r="AB92" s="500"/>
      <c r="AC92" s="500"/>
      <c r="AD92" s="501"/>
      <c r="BX92" s="240"/>
    </row>
    <row r="93" spans="1:76" s="194" customFormat="1" ht="9.75" customHeight="1" x14ac:dyDescent="0.25">
      <c r="B93" s="204"/>
      <c r="C93" s="203"/>
      <c r="D93" s="203"/>
      <c r="E93" s="203"/>
      <c r="F93" s="203"/>
      <c r="G93" s="21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row>
    <row r="94" spans="1:76" s="194" customFormat="1" ht="18.75" x14ac:dyDescent="0.3">
      <c r="A94" s="202"/>
      <c r="B94" s="202"/>
      <c r="C94" s="194" t="s">
        <v>2313</v>
      </c>
      <c r="H94" s="518" t="s">
        <v>2316</v>
      </c>
      <c r="I94" s="519"/>
      <c r="J94" s="519"/>
      <c r="K94" s="519"/>
      <c r="L94" s="519"/>
      <c r="M94" s="519"/>
      <c r="N94" s="519"/>
      <c r="O94" s="519"/>
      <c r="P94" s="519"/>
      <c r="Q94" s="519"/>
      <c r="R94" s="519"/>
      <c r="S94" s="519"/>
      <c r="T94" s="519"/>
      <c r="U94" s="519"/>
      <c r="V94" s="519"/>
      <c r="W94" s="519"/>
      <c r="X94" s="519"/>
      <c r="Y94" s="519"/>
      <c r="Z94" s="519"/>
      <c r="AA94" s="519"/>
      <c r="AB94" s="519"/>
      <c r="AC94" s="519"/>
      <c r="AD94" s="520"/>
      <c r="BX94" s="203"/>
    </row>
    <row r="95" spans="1:76" s="194" customFormat="1" ht="32.25" customHeight="1" x14ac:dyDescent="0.25">
      <c r="A95" s="202"/>
      <c r="B95" s="202"/>
      <c r="C95" s="524" t="s">
        <v>2311</v>
      </c>
      <c r="D95" s="524"/>
      <c r="E95" s="524"/>
      <c r="F95" s="524"/>
      <c r="G95" s="524"/>
      <c r="H95" s="202"/>
      <c r="I95" s="232"/>
      <c r="J95" s="232"/>
      <c r="K95" s="232"/>
      <c r="L95" s="232"/>
      <c r="M95" s="232"/>
      <c r="N95" s="202"/>
      <c r="O95" s="202"/>
      <c r="P95" s="202"/>
      <c r="Q95" s="202"/>
      <c r="R95" s="202"/>
      <c r="S95" s="202"/>
      <c r="T95" s="202"/>
      <c r="U95" s="202"/>
      <c r="V95" s="202"/>
      <c r="W95" s="202"/>
      <c r="X95" s="202"/>
      <c r="Y95" s="202"/>
      <c r="Z95" s="202"/>
      <c r="AA95" s="202"/>
      <c r="AB95" s="202"/>
      <c r="AC95" s="202"/>
      <c r="AD95" s="202"/>
      <c r="BX95" s="203"/>
    </row>
    <row r="96" spans="1:76" s="194" customFormat="1" ht="19.5" customHeight="1" x14ac:dyDescent="0.25">
      <c r="A96" s="202"/>
      <c r="B96" s="202"/>
      <c r="C96" s="446" t="str">
        <f>+MEMORIA!D75</f>
        <v>Departamento N° ….</v>
      </c>
      <c r="D96" s="446"/>
      <c r="E96" s="446"/>
      <c r="F96" s="446"/>
      <c r="G96" s="446"/>
      <c r="H96" s="446"/>
      <c r="I96" s="446"/>
      <c r="J96" s="446"/>
      <c r="K96" s="446"/>
      <c r="L96" s="446"/>
      <c r="M96" s="446"/>
      <c r="N96" s="446"/>
      <c r="O96" s="446"/>
      <c r="P96" s="446"/>
      <c r="Q96" s="446"/>
      <c r="R96" s="446"/>
      <c r="S96" s="446"/>
      <c r="T96" s="446"/>
      <c r="U96" s="446"/>
      <c r="V96" s="446"/>
      <c r="W96" s="446"/>
      <c r="X96" s="446"/>
      <c r="Y96" s="446"/>
      <c r="Z96" s="446"/>
      <c r="AA96" s="446"/>
      <c r="AB96" s="446"/>
      <c r="AC96" s="446"/>
      <c r="AD96" s="446"/>
      <c r="BX96" s="203"/>
    </row>
    <row r="97" spans="1:76" s="194" customFormat="1" ht="18.75" x14ac:dyDescent="0.3">
      <c r="A97" s="202"/>
      <c r="B97" s="202"/>
      <c r="C97" s="497" t="s">
        <v>2339</v>
      </c>
      <c r="D97" s="497"/>
      <c r="E97" s="497"/>
      <c r="F97" s="497"/>
      <c r="G97" s="498"/>
      <c r="H97" s="499"/>
      <c r="I97" s="500"/>
      <c r="J97" s="500"/>
      <c r="K97" s="500"/>
      <c r="L97" s="500"/>
      <c r="M97" s="500"/>
      <c r="N97" s="500"/>
      <c r="O97" s="500"/>
      <c r="P97" s="500"/>
      <c r="Q97" s="500"/>
      <c r="R97" s="500"/>
      <c r="S97" s="500"/>
      <c r="T97" s="500"/>
      <c r="U97" s="500"/>
      <c r="V97" s="500"/>
      <c r="W97" s="500"/>
      <c r="X97" s="500"/>
      <c r="Y97" s="500"/>
      <c r="Z97" s="500"/>
      <c r="AA97" s="501"/>
      <c r="AB97" s="502"/>
      <c r="AC97" s="502"/>
      <c r="AD97" s="213" t="s">
        <v>2312</v>
      </c>
      <c r="BX97" s="203"/>
    </row>
    <row r="98" spans="1:76" s="194" customFormat="1" ht="9.75" customHeight="1" x14ac:dyDescent="0.25">
      <c r="B98" s="204"/>
      <c r="G98" s="205"/>
      <c r="H98" s="251"/>
      <c r="I98" s="251"/>
      <c r="J98" s="251"/>
      <c r="K98" s="251"/>
      <c r="L98" s="251"/>
      <c r="M98" s="251"/>
      <c r="N98" s="251"/>
      <c r="O98" s="251"/>
      <c r="P98" s="251"/>
      <c r="Q98" s="251"/>
      <c r="R98" s="251"/>
      <c r="S98" s="251"/>
      <c r="T98" s="251"/>
      <c r="U98" s="251"/>
      <c r="V98" s="251"/>
      <c r="W98" s="251"/>
      <c r="X98" s="251"/>
      <c r="Y98" s="251"/>
      <c r="Z98" s="251"/>
      <c r="AA98" s="251"/>
      <c r="AB98" s="319"/>
      <c r="AC98" s="319"/>
      <c r="AD98" s="197"/>
      <c r="AE98" s="197"/>
    </row>
    <row r="99" spans="1:76" s="194" customFormat="1" ht="27" customHeight="1" x14ac:dyDescent="0.3">
      <c r="A99" s="202"/>
      <c r="B99" s="202"/>
      <c r="C99" s="497" t="s">
        <v>2340</v>
      </c>
      <c r="D99" s="497"/>
      <c r="E99" s="497"/>
      <c r="F99" s="497"/>
      <c r="G99" s="498"/>
      <c r="H99" s="499"/>
      <c r="I99" s="500"/>
      <c r="J99" s="500"/>
      <c r="K99" s="500"/>
      <c r="L99" s="500"/>
      <c r="M99" s="500"/>
      <c r="N99" s="500"/>
      <c r="O99" s="500"/>
      <c r="P99" s="500"/>
      <c r="Q99" s="500"/>
      <c r="R99" s="500"/>
      <c r="S99" s="500"/>
      <c r="T99" s="500"/>
      <c r="U99" s="500"/>
      <c r="V99" s="500"/>
      <c r="W99" s="500"/>
      <c r="X99" s="500"/>
      <c r="Y99" s="500"/>
      <c r="Z99" s="500"/>
      <c r="AA99" s="501"/>
      <c r="AB99" s="502"/>
      <c r="AC99" s="502"/>
      <c r="AD99" s="213" t="s">
        <v>2312</v>
      </c>
      <c r="BX99" s="203"/>
    </row>
    <row r="100" spans="1:76" s="194" customFormat="1" ht="9.75" customHeight="1" x14ac:dyDescent="0.25">
      <c r="B100" s="204"/>
      <c r="G100" s="205"/>
      <c r="H100" s="251"/>
      <c r="I100" s="251"/>
      <c r="J100" s="251"/>
      <c r="K100" s="251"/>
      <c r="L100" s="251"/>
      <c r="M100" s="251"/>
      <c r="N100" s="251"/>
      <c r="O100" s="251"/>
      <c r="P100" s="251"/>
      <c r="Q100" s="251"/>
      <c r="R100" s="251"/>
      <c r="S100" s="251"/>
      <c r="T100" s="251"/>
      <c r="U100" s="251"/>
      <c r="V100" s="251"/>
      <c r="W100" s="251"/>
      <c r="X100" s="251"/>
      <c r="Y100" s="251"/>
      <c r="Z100" s="251"/>
      <c r="AA100" s="251"/>
      <c r="AB100" s="319"/>
      <c r="AC100" s="319"/>
      <c r="AD100" s="197"/>
      <c r="AE100" s="197"/>
    </row>
    <row r="101" spans="1:76" s="194" customFormat="1" ht="18.75" x14ac:dyDescent="0.3">
      <c r="A101" s="202"/>
      <c r="B101" s="202"/>
      <c r="C101" s="497" t="s">
        <v>2523</v>
      </c>
      <c r="D101" s="497"/>
      <c r="E101" s="497"/>
      <c r="F101" s="497"/>
      <c r="G101" s="498"/>
      <c r="H101" s="499"/>
      <c r="I101" s="500"/>
      <c r="J101" s="500"/>
      <c r="K101" s="500"/>
      <c r="L101" s="500"/>
      <c r="M101" s="500"/>
      <c r="N101" s="500"/>
      <c r="O101" s="500"/>
      <c r="P101" s="500"/>
      <c r="Q101" s="500"/>
      <c r="R101" s="500"/>
      <c r="S101" s="500"/>
      <c r="T101" s="500"/>
      <c r="U101" s="500"/>
      <c r="V101" s="500"/>
      <c r="W101" s="500"/>
      <c r="X101" s="500"/>
      <c r="Y101" s="500"/>
      <c r="Z101" s="500"/>
      <c r="AA101" s="501"/>
      <c r="AB101" s="502"/>
      <c r="AC101" s="502"/>
      <c r="AD101" s="213" t="s">
        <v>2312</v>
      </c>
      <c r="BX101" s="203"/>
    </row>
    <row r="102" spans="1:76" s="194" customFormat="1" ht="9.75" customHeight="1" x14ac:dyDescent="0.25">
      <c r="B102" s="204"/>
      <c r="G102" s="205"/>
      <c r="H102" s="251"/>
      <c r="I102" s="251"/>
      <c r="J102" s="251"/>
      <c r="K102" s="251"/>
      <c r="L102" s="251"/>
      <c r="M102" s="251"/>
      <c r="N102" s="251"/>
      <c r="O102" s="251"/>
      <c r="P102" s="251"/>
      <c r="Q102" s="251"/>
      <c r="R102" s="251"/>
      <c r="S102" s="251"/>
      <c r="T102" s="251"/>
      <c r="U102" s="251"/>
      <c r="V102" s="251"/>
      <c r="W102" s="251"/>
      <c r="X102" s="251"/>
      <c r="Y102" s="251"/>
      <c r="Z102" s="251"/>
      <c r="AA102" s="251"/>
      <c r="AB102" s="319"/>
      <c r="AC102" s="319"/>
      <c r="AD102" s="197"/>
      <c r="AE102" s="197"/>
    </row>
    <row r="103" spans="1:76" s="194" customFormat="1" ht="27" customHeight="1" x14ac:dyDescent="0.3">
      <c r="A103" s="202"/>
      <c r="B103" s="202"/>
      <c r="C103" s="497" t="s">
        <v>2341</v>
      </c>
      <c r="D103" s="497"/>
      <c r="E103" s="497"/>
      <c r="F103" s="497"/>
      <c r="G103" s="498"/>
      <c r="H103" s="499"/>
      <c r="I103" s="500"/>
      <c r="J103" s="500"/>
      <c r="K103" s="500"/>
      <c r="L103" s="500"/>
      <c r="M103" s="500"/>
      <c r="N103" s="500"/>
      <c r="O103" s="500"/>
      <c r="P103" s="500"/>
      <c r="Q103" s="500"/>
      <c r="R103" s="500"/>
      <c r="S103" s="500"/>
      <c r="T103" s="500"/>
      <c r="U103" s="500"/>
      <c r="V103" s="500"/>
      <c r="W103" s="500"/>
      <c r="X103" s="500"/>
      <c r="Y103" s="500"/>
      <c r="Z103" s="500"/>
      <c r="AA103" s="501"/>
      <c r="AB103" s="502"/>
      <c r="AC103" s="502"/>
      <c r="AD103" s="213" t="s">
        <v>2312</v>
      </c>
      <c r="BX103" s="203"/>
    </row>
    <row r="104" spans="1:76" s="205" customFormat="1" ht="29.25" customHeight="1" x14ac:dyDescent="0.3">
      <c r="A104" s="242"/>
      <c r="B104" s="242"/>
      <c r="C104" s="242" t="s">
        <v>2519</v>
      </c>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c r="AA104" s="244"/>
      <c r="AB104" s="505">
        <f>SUM(AB97:AC103)</f>
        <v>0</v>
      </c>
      <c r="AC104" s="505"/>
      <c r="AD104" s="245" t="s">
        <v>2312</v>
      </c>
      <c r="BX104" s="217"/>
    </row>
    <row r="105" spans="1:76" s="194" customFormat="1" ht="19.5" customHeight="1" x14ac:dyDescent="0.25">
      <c r="A105" s="202"/>
      <c r="B105" s="202"/>
      <c r="C105" s="446" t="str">
        <f>+MEMORIA!D77</f>
        <v>Estacionamiento N° …</v>
      </c>
      <c r="D105" s="446"/>
      <c r="E105" s="446"/>
      <c r="F105" s="446"/>
      <c r="G105" s="446"/>
      <c r="H105" s="446"/>
      <c r="I105" s="446"/>
      <c r="J105" s="446"/>
      <c r="K105" s="446"/>
      <c r="L105" s="446"/>
      <c r="M105" s="446"/>
      <c r="N105" s="446"/>
      <c r="O105" s="446"/>
      <c r="P105" s="446"/>
      <c r="Q105" s="446"/>
      <c r="R105" s="446"/>
      <c r="S105" s="446"/>
      <c r="T105" s="446"/>
      <c r="U105" s="446"/>
      <c r="V105" s="446"/>
      <c r="W105" s="446"/>
      <c r="X105" s="446"/>
      <c r="Y105" s="446"/>
      <c r="Z105" s="446"/>
      <c r="AA105" s="446"/>
      <c r="AB105" s="446"/>
      <c r="AC105" s="446"/>
      <c r="AD105" s="446"/>
      <c r="BX105" s="203"/>
    </row>
    <row r="106" spans="1:76" s="194" customFormat="1" ht="18.75" x14ac:dyDescent="0.3">
      <c r="A106" s="202"/>
      <c r="B106" s="202"/>
      <c r="C106" s="497" t="s">
        <v>2339</v>
      </c>
      <c r="D106" s="497"/>
      <c r="E106" s="497"/>
      <c r="F106" s="497"/>
      <c r="G106" s="498"/>
      <c r="H106" s="499"/>
      <c r="I106" s="500"/>
      <c r="J106" s="500"/>
      <c r="K106" s="500"/>
      <c r="L106" s="500"/>
      <c r="M106" s="500"/>
      <c r="N106" s="500"/>
      <c r="O106" s="500"/>
      <c r="P106" s="500"/>
      <c r="Q106" s="500"/>
      <c r="R106" s="500"/>
      <c r="S106" s="500"/>
      <c r="T106" s="500"/>
      <c r="U106" s="500"/>
      <c r="V106" s="500"/>
      <c r="W106" s="500"/>
      <c r="X106" s="500"/>
      <c r="Y106" s="500"/>
      <c r="Z106" s="500"/>
      <c r="AA106" s="501"/>
      <c r="AB106" s="502"/>
      <c r="AC106" s="502"/>
      <c r="AD106" s="213" t="s">
        <v>2312</v>
      </c>
      <c r="BX106" s="203"/>
    </row>
    <row r="107" spans="1:76" s="194" customFormat="1" ht="9.75" customHeight="1" x14ac:dyDescent="0.25">
      <c r="B107" s="204"/>
      <c r="G107" s="205"/>
      <c r="H107" s="251"/>
      <c r="I107" s="251"/>
      <c r="J107" s="251"/>
      <c r="K107" s="251"/>
      <c r="L107" s="251"/>
      <c r="M107" s="251"/>
      <c r="N107" s="251"/>
      <c r="O107" s="251"/>
      <c r="P107" s="251"/>
      <c r="Q107" s="251"/>
      <c r="R107" s="251"/>
      <c r="S107" s="251"/>
      <c r="T107" s="251"/>
      <c r="U107" s="251"/>
      <c r="V107" s="251"/>
      <c r="W107" s="251"/>
      <c r="X107" s="251"/>
      <c r="Y107" s="251"/>
      <c r="Z107" s="251"/>
      <c r="AA107" s="251"/>
      <c r="AB107" s="319"/>
      <c r="AC107" s="319"/>
      <c r="AD107" s="197"/>
      <c r="AE107" s="197"/>
    </row>
    <row r="108" spans="1:76" s="194" customFormat="1" ht="18.75" x14ac:dyDescent="0.3">
      <c r="A108" s="202"/>
      <c r="B108" s="202"/>
      <c r="C108" s="497" t="s">
        <v>2340</v>
      </c>
      <c r="D108" s="497"/>
      <c r="E108" s="497"/>
      <c r="F108" s="497"/>
      <c r="G108" s="498"/>
      <c r="H108" s="499"/>
      <c r="I108" s="500"/>
      <c r="J108" s="500"/>
      <c r="K108" s="500"/>
      <c r="L108" s="500"/>
      <c r="M108" s="500"/>
      <c r="N108" s="500"/>
      <c r="O108" s="500"/>
      <c r="P108" s="500"/>
      <c r="Q108" s="500"/>
      <c r="R108" s="500"/>
      <c r="S108" s="500"/>
      <c r="T108" s="500"/>
      <c r="U108" s="500"/>
      <c r="V108" s="500"/>
      <c r="W108" s="500"/>
      <c r="X108" s="500"/>
      <c r="Y108" s="500"/>
      <c r="Z108" s="500"/>
      <c r="AA108" s="501"/>
      <c r="AB108" s="502"/>
      <c r="AC108" s="502"/>
      <c r="AD108" s="213" t="s">
        <v>2312</v>
      </c>
      <c r="BX108" s="203"/>
    </row>
    <row r="109" spans="1:76" s="194" customFormat="1" ht="9.75" customHeight="1" x14ac:dyDescent="0.25">
      <c r="B109" s="204"/>
      <c r="G109" s="205"/>
      <c r="H109" s="251"/>
      <c r="I109" s="251"/>
      <c r="J109" s="251"/>
      <c r="K109" s="251"/>
      <c r="L109" s="251"/>
      <c r="M109" s="251"/>
      <c r="N109" s="251"/>
      <c r="O109" s="251"/>
      <c r="P109" s="251"/>
      <c r="Q109" s="251"/>
      <c r="R109" s="251"/>
      <c r="S109" s="251"/>
      <c r="T109" s="251"/>
      <c r="U109" s="251"/>
      <c r="V109" s="251"/>
      <c r="W109" s="251"/>
      <c r="X109" s="251"/>
      <c r="Y109" s="251"/>
      <c r="Z109" s="251"/>
      <c r="AA109" s="251"/>
      <c r="AB109" s="319"/>
      <c r="AC109" s="319"/>
      <c r="AD109" s="197"/>
      <c r="AE109" s="197"/>
    </row>
    <row r="110" spans="1:76" s="206" customFormat="1" ht="15.75" customHeight="1" x14ac:dyDescent="0.2">
      <c r="A110" s="239"/>
      <c r="B110" s="239"/>
      <c r="C110" s="503" t="s">
        <v>2523</v>
      </c>
      <c r="D110" s="503"/>
      <c r="E110" s="503"/>
      <c r="F110" s="503"/>
      <c r="G110" s="504"/>
      <c r="H110" s="499"/>
      <c r="I110" s="500"/>
      <c r="J110" s="500"/>
      <c r="K110" s="500"/>
      <c r="L110" s="500"/>
      <c r="M110" s="500"/>
      <c r="N110" s="500"/>
      <c r="O110" s="500"/>
      <c r="P110" s="500"/>
      <c r="Q110" s="500"/>
      <c r="R110" s="500"/>
      <c r="S110" s="500"/>
      <c r="T110" s="500"/>
      <c r="U110" s="500"/>
      <c r="V110" s="500"/>
      <c r="W110" s="500"/>
      <c r="X110" s="500"/>
      <c r="Y110" s="500"/>
      <c r="Z110" s="500"/>
      <c r="AA110" s="501"/>
      <c r="AB110" s="502"/>
      <c r="AC110" s="502"/>
      <c r="AD110" s="318" t="s">
        <v>2312</v>
      </c>
      <c r="BX110" s="240"/>
    </row>
    <row r="111" spans="1:76" s="194" customFormat="1" ht="9.75" customHeight="1" x14ac:dyDescent="0.25">
      <c r="B111" s="204"/>
      <c r="G111" s="205"/>
      <c r="H111" s="251"/>
      <c r="I111" s="251"/>
      <c r="J111" s="251"/>
      <c r="K111" s="251"/>
      <c r="L111" s="251"/>
      <c r="M111" s="251"/>
      <c r="N111" s="251"/>
      <c r="O111" s="251"/>
      <c r="P111" s="251"/>
      <c r="Q111" s="251"/>
      <c r="R111" s="251"/>
      <c r="S111" s="251"/>
      <c r="T111" s="251"/>
      <c r="U111" s="251"/>
      <c r="V111" s="251"/>
      <c r="W111" s="251"/>
      <c r="X111" s="251"/>
      <c r="Y111" s="251"/>
      <c r="Z111" s="251"/>
      <c r="AA111" s="251"/>
      <c r="AB111" s="319"/>
      <c r="AC111" s="319"/>
      <c r="AD111" s="197"/>
      <c r="AE111" s="197"/>
    </row>
    <row r="112" spans="1:76" s="194" customFormat="1" ht="18.75" x14ac:dyDescent="0.3">
      <c r="A112" s="202"/>
      <c r="B112" s="202"/>
      <c r="C112" s="497" t="s">
        <v>2341</v>
      </c>
      <c r="D112" s="497"/>
      <c r="E112" s="497"/>
      <c r="F112" s="497"/>
      <c r="G112" s="498"/>
      <c r="H112" s="499"/>
      <c r="I112" s="500"/>
      <c r="J112" s="500"/>
      <c r="K112" s="500"/>
      <c r="L112" s="500"/>
      <c r="M112" s="500"/>
      <c r="N112" s="500"/>
      <c r="O112" s="500"/>
      <c r="P112" s="500"/>
      <c r="Q112" s="500"/>
      <c r="R112" s="500"/>
      <c r="S112" s="500"/>
      <c r="T112" s="500"/>
      <c r="U112" s="500"/>
      <c r="V112" s="500"/>
      <c r="W112" s="500"/>
      <c r="X112" s="500"/>
      <c r="Y112" s="500"/>
      <c r="Z112" s="500"/>
      <c r="AA112" s="501"/>
      <c r="AB112" s="502"/>
      <c r="AC112" s="502"/>
      <c r="AD112" s="213" t="s">
        <v>2312</v>
      </c>
      <c r="BX112" s="203"/>
    </row>
    <row r="113" spans="1:76" s="205" customFormat="1" ht="29.25" customHeight="1" x14ac:dyDescent="0.3">
      <c r="A113" s="242"/>
      <c r="B113" s="242"/>
      <c r="C113" s="242" t="s">
        <v>2519</v>
      </c>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c r="AA113" s="244"/>
      <c r="AB113" s="505">
        <f>SUM(AB106:AC112)</f>
        <v>0</v>
      </c>
      <c r="AC113" s="505"/>
      <c r="AD113" s="245" t="s">
        <v>2312</v>
      </c>
      <c r="BX113" s="217"/>
    </row>
    <row r="114" spans="1:76" s="194" customFormat="1" ht="19.5" customHeight="1" x14ac:dyDescent="0.25">
      <c r="A114" s="202"/>
      <c r="B114" s="202"/>
      <c r="C114" s="446" t="str">
        <f>+MEMORIA!D78</f>
        <v>Depósito N°..</v>
      </c>
      <c r="D114" s="446"/>
      <c r="E114" s="446"/>
      <c r="F114" s="446"/>
      <c r="G114" s="446"/>
      <c r="H114" s="446"/>
      <c r="I114" s="446"/>
      <c r="J114" s="446"/>
      <c r="K114" s="446"/>
      <c r="L114" s="446"/>
      <c r="M114" s="446"/>
      <c r="N114" s="446"/>
      <c r="O114" s="446"/>
      <c r="P114" s="446"/>
      <c r="Q114" s="446"/>
      <c r="R114" s="446"/>
      <c r="S114" s="446"/>
      <c r="T114" s="446"/>
      <c r="U114" s="446"/>
      <c r="V114" s="446"/>
      <c r="W114" s="446"/>
      <c r="X114" s="446"/>
      <c r="Y114" s="446"/>
      <c r="Z114" s="446"/>
      <c r="AA114" s="446"/>
      <c r="AB114" s="446"/>
      <c r="AC114" s="446"/>
      <c r="AD114" s="446"/>
      <c r="BX114" s="203"/>
    </row>
    <row r="115" spans="1:76" s="206" customFormat="1" ht="25.5" customHeight="1" x14ac:dyDescent="0.2">
      <c r="A115" s="239"/>
      <c r="B115" s="239"/>
      <c r="C115" s="503" t="s">
        <v>2339</v>
      </c>
      <c r="D115" s="503"/>
      <c r="E115" s="503"/>
      <c r="F115" s="503"/>
      <c r="G115" s="504"/>
      <c r="H115" s="499"/>
      <c r="I115" s="500"/>
      <c r="J115" s="500"/>
      <c r="K115" s="500"/>
      <c r="L115" s="500"/>
      <c r="M115" s="500"/>
      <c r="N115" s="500"/>
      <c r="O115" s="500"/>
      <c r="P115" s="500"/>
      <c r="Q115" s="500"/>
      <c r="R115" s="500"/>
      <c r="S115" s="500"/>
      <c r="T115" s="500"/>
      <c r="U115" s="500"/>
      <c r="V115" s="500"/>
      <c r="W115" s="500"/>
      <c r="X115" s="500"/>
      <c r="Y115" s="500"/>
      <c r="Z115" s="500"/>
      <c r="AA115" s="501"/>
      <c r="AB115" s="506"/>
      <c r="AC115" s="506"/>
      <c r="AD115" s="318" t="s">
        <v>2312</v>
      </c>
      <c r="BX115" s="240"/>
    </row>
    <row r="116" spans="1:76" s="206" customFormat="1" ht="9.75" customHeight="1" x14ac:dyDescent="0.2">
      <c r="B116" s="466"/>
      <c r="G116" s="221"/>
      <c r="H116" s="467"/>
      <c r="I116" s="467"/>
      <c r="J116" s="467"/>
      <c r="K116" s="467"/>
      <c r="L116" s="467"/>
      <c r="M116" s="467"/>
      <c r="N116" s="467"/>
      <c r="O116" s="467"/>
      <c r="P116" s="467"/>
      <c r="Q116" s="467"/>
      <c r="R116" s="467"/>
      <c r="S116" s="467"/>
      <c r="T116" s="467"/>
      <c r="U116" s="467"/>
      <c r="V116" s="467"/>
      <c r="W116" s="467"/>
      <c r="X116" s="467"/>
      <c r="Y116" s="467"/>
      <c r="Z116" s="467"/>
      <c r="AA116" s="467"/>
      <c r="AB116" s="468"/>
      <c r="AC116" s="468"/>
      <c r="AD116" s="207"/>
      <c r="AE116" s="207"/>
    </row>
    <row r="117" spans="1:76" s="206" customFormat="1" ht="18.75" x14ac:dyDescent="0.2">
      <c r="A117" s="239"/>
      <c r="B117" s="239"/>
      <c r="C117" s="503" t="s">
        <v>2340</v>
      </c>
      <c r="D117" s="503"/>
      <c r="E117" s="503"/>
      <c r="F117" s="503"/>
      <c r="G117" s="504"/>
      <c r="H117" s="499"/>
      <c r="I117" s="500"/>
      <c r="J117" s="500"/>
      <c r="K117" s="500"/>
      <c r="L117" s="500"/>
      <c r="M117" s="500"/>
      <c r="N117" s="500"/>
      <c r="O117" s="500"/>
      <c r="P117" s="500"/>
      <c r="Q117" s="500"/>
      <c r="R117" s="500"/>
      <c r="S117" s="500"/>
      <c r="T117" s="500"/>
      <c r="U117" s="500"/>
      <c r="V117" s="500"/>
      <c r="W117" s="500"/>
      <c r="X117" s="500"/>
      <c r="Y117" s="500"/>
      <c r="Z117" s="500"/>
      <c r="AA117" s="501"/>
      <c r="AB117" s="506"/>
      <c r="AC117" s="506"/>
      <c r="AD117" s="318" t="s">
        <v>2312</v>
      </c>
      <c r="BX117" s="240"/>
    </row>
    <row r="118" spans="1:76" s="206" customFormat="1" ht="9.75" customHeight="1" x14ac:dyDescent="0.2">
      <c r="B118" s="466"/>
      <c r="G118" s="221"/>
      <c r="H118" s="467"/>
      <c r="I118" s="467"/>
      <c r="J118" s="467"/>
      <c r="K118" s="467"/>
      <c r="L118" s="467"/>
      <c r="M118" s="467"/>
      <c r="N118" s="467"/>
      <c r="O118" s="467"/>
      <c r="P118" s="467"/>
      <c r="Q118" s="467"/>
      <c r="R118" s="467"/>
      <c r="S118" s="467"/>
      <c r="T118" s="467"/>
      <c r="U118" s="467"/>
      <c r="V118" s="467"/>
      <c r="W118" s="467"/>
      <c r="X118" s="467"/>
      <c r="Y118" s="467"/>
      <c r="Z118" s="467"/>
      <c r="AA118" s="467"/>
      <c r="AB118" s="468"/>
      <c r="AC118" s="468"/>
      <c r="AD118" s="207"/>
      <c r="AE118" s="207"/>
    </row>
    <row r="119" spans="1:76" s="206" customFormat="1" ht="18.75" customHeight="1" x14ac:dyDescent="0.2">
      <c r="A119" s="239"/>
      <c r="B119" s="239"/>
      <c r="C119" s="503" t="s">
        <v>2523</v>
      </c>
      <c r="D119" s="503"/>
      <c r="E119" s="503"/>
      <c r="F119" s="503"/>
      <c r="G119" s="504"/>
      <c r="H119" s="499"/>
      <c r="I119" s="500"/>
      <c r="J119" s="500"/>
      <c r="K119" s="500"/>
      <c r="L119" s="500"/>
      <c r="M119" s="500"/>
      <c r="N119" s="500"/>
      <c r="O119" s="500"/>
      <c r="P119" s="500"/>
      <c r="Q119" s="500"/>
      <c r="R119" s="500"/>
      <c r="S119" s="500"/>
      <c r="T119" s="500"/>
      <c r="U119" s="500"/>
      <c r="V119" s="500"/>
      <c r="W119" s="500"/>
      <c r="X119" s="500"/>
      <c r="Y119" s="500"/>
      <c r="Z119" s="500"/>
      <c r="AA119" s="501"/>
      <c r="AB119" s="506"/>
      <c r="AC119" s="506"/>
      <c r="AD119" s="318" t="s">
        <v>2312</v>
      </c>
      <c r="BX119" s="240"/>
    </row>
    <row r="120" spans="1:76" s="206" customFormat="1" ht="9.75" customHeight="1" x14ac:dyDescent="0.2">
      <c r="B120" s="466"/>
      <c r="G120" s="221"/>
      <c r="H120" s="467"/>
      <c r="I120" s="467"/>
      <c r="J120" s="467"/>
      <c r="K120" s="467"/>
      <c r="L120" s="467"/>
      <c r="M120" s="467"/>
      <c r="N120" s="467"/>
      <c r="O120" s="467"/>
      <c r="P120" s="467"/>
      <c r="Q120" s="467"/>
      <c r="R120" s="467"/>
      <c r="S120" s="467"/>
      <c r="T120" s="467"/>
      <c r="U120" s="467"/>
      <c r="V120" s="467"/>
      <c r="W120" s="467"/>
      <c r="X120" s="467"/>
      <c r="Y120" s="467"/>
      <c r="Z120" s="467"/>
      <c r="AA120" s="467"/>
      <c r="AB120" s="468"/>
      <c r="AC120" s="468"/>
      <c r="AD120" s="207"/>
      <c r="AE120" s="207"/>
    </row>
    <row r="121" spans="1:76" s="206" customFormat="1" ht="18.75" x14ac:dyDescent="0.2">
      <c r="A121" s="239"/>
      <c r="B121" s="239"/>
      <c r="C121" s="503" t="s">
        <v>2341</v>
      </c>
      <c r="D121" s="503"/>
      <c r="E121" s="503"/>
      <c r="F121" s="503"/>
      <c r="G121" s="504"/>
      <c r="H121" s="499"/>
      <c r="I121" s="500"/>
      <c r="J121" s="500"/>
      <c r="K121" s="500"/>
      <c r="L121" s="500"/>
      <c r="M121" s="500"/>
      <c r="N121" s="500"/>
      <c r="O121" s="500"/>
      <c r="P121" s="500"/>
      <c r="Q121" s="500"/>
      <c r="R121" s="500"/>
      <c r="S121" s="500"/>
      <c r="T121" s="500"/>
      <c r="U121" s="500"/>
      <c r="V121" s="500"/>
      <c r="W121" s="500"/>
      <c r="X121" s="500"/>
      <c r="Y121" s="500"/>
      <c r="Z121" s="500"/>
      <c r="AA121" s="501"/>
      <c r="AB121" s="506"/>
      <c r="AC121" s="506"/>
      <c r="AD121" s="318" t="s">
        <v>2312</v>
      </c>
      <c r="BX121" s="240"/>
    </row>
    <row r="122" spans="1:76" s="205" customFormat="1" ht="29.25" customHeight="1" x14ac:dyDescent="0.3">
      <c r="A122" s="242"/>
      <c r="B122" s="242"/>
      <c r="C122" s="242" t="s">
        <v>2519</v>
      </c>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44"/>
      <c r="AB122" s="505">
        <f>SUM(AB115:AC121)</f>
        <v>0</v>
      </c>
      <c r="AC122" s="505"/>
      <c r="AD122" s="245" t="s">
        <v>2312</v>
      </c>
      <c r="BX122" s="217"/>
    </row>
    <row r="123" spans="1:76" s="215" customFormat="1" ht="24.75" customHeight="1" x14ac:dyDescent="0.2"/>
    <row r="124" spans="1:76" s="194" customFormat="1" ht="68.25" customHeight="1" x14ac:dyDescent="0.25">
      <c r="B124" s="204"/>
      <c r="G124" s="205"/>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row>
    <row r="125" spans="1:76" s="194" customFormat="1" ht="17.25" customHeight="1" x14ac:dyDescent="0.25">
      <c r="B125" s="197"/>
      <c r="C125" s="197"/>
      <c r="D125" s="197"/>
      <c r="E125" s="197"/>
      <c r="F125" s="197"/>
      <c r="G125" s="194" t="s">
        <v>2310</v>
      </c>
      <c r="M125" s="197"/>
      <c r="R125" s="197"/>
      <c r="S125" s="197"/>
      <c r="W125" s="194" t="s">
        <v>2310</v>
      </c>
      <c r="X125" s="214"/>
      <c r="Y125" s="197"/>
      <c r="Z125" s="197"/>
      <c r="AA125" s="197"/>
      <c r="AB125" s="197"/>
      <c r="AC125" s="197"/>
      <c r="AD125" s="197"/>
    </row>
    <row r="126" spans="1:76" s="215" customFormat="1" ht="14.25" customHeight="1" x14ac:dyDescent="0.25">
      <c r="C126" s="525" t="s">
        <v>2308</v>
      </c>
      <c r="D126" s="526"/>
      <c r="E126" s="526"/>
      <c r="F126" s="526"/>
      <c r="G126" s="495" t="s">
        <v>2327</v>
      </c>
      <c r="H126" s="495"/>
      <c r="I126" s="495"/>
      <c r="J126" s="495"/>
      <c r="K126" s="495"/>
      <c r="L126" s="495"/>
      <c r="M126" s="496"/>
      <c r="R126" s="515" t="s">
        <v>2308</v>
      </c>
      <c r="S126" s="516"/>
      <c r="T126" s="516"/>
      <c r="U126" s="516"/>
      <c r="V126" s="517"/>
      <c r="W126" s="521" t="s">
        <v>2520</v>
      </c>
      <c r="X126" s="522"/>
      <c r="Y126" s="522"/>
      <c r="Z126" s="522"/>
      <c r="AA126" s="522"/>
      <c r="AB126" s="522"/>
      <c r="AC126" s="522"/>
      <c r="AD126" s="523"/>
    </row>
    <row r="127" spans="1:76" s="215" customFormat="1" ht="14.25" customHeight="1" x14ac:dyDescent="0.25">
      <c r="C127" s="525" t="s">
        <v>2309</v>
      </c>
      <c r="D127" s="526"/>
      <c r="E127" s="526"/>
      <c r="F127" s="526"/>
      <c r="G127" s="513" t="s">
        <v>2328</v>
      </c>
      <c r="H127" s="513"/>
      <c r="I127" s="513"/>
      <c r="J127" s="513"/>
      <c r="K127" s="513"/>
      <c r="L127" s="513"/>
      <c r="M127" s="514"/>
      <c r="R127" s="525" t="s">
        <v>2309</v>
      </c>
      <c r="S127" s="526"/>
      <c r="T127" s="526"/>
      <c r="U127" s="526"/>
      <c r="V127" s="527"/>
      <c r="W127" s="495"/>
      <c r="X127" s="495"/>
      <c r="Y127" s="495"/>
      <c r="Z127" s="495"/>
      <c r="AA127" s="495"/>
      <c r="AB127" s="495"/>
      <c r="AC127" s="495"/>
      <c r="AD127" s="496"/>
    </row>
    <row r="128" spans="1:76" s="215" customFormat="1" ht="13.5" customHeight="1" x14ac:dyDescent="0.2"/>
    <row r="129" spans="2:30" ht="15" x14ac:dyDescent="0.2">
      <c r="B129" s="200"/>
      <c r="C129" s="200"/>
      <c r="D129" s="201"/>
      <c r="E129" s="201"/>
      <c r="F129" s="201"/>
      <c r="G129" s="201"/>
      <c r="H129" s="201"/>
      <c r="I129" s="201"/>
      <c r="J129" s="201"/>
      <c r="K129" s="198"/>
      <c r="L129" s="198"/>
      <c r="M129" s="198"/>
      <c r="N129" s="198"/>
      <c r="O129" s="198"/>
      <c r="P129" s="200"/>
      <c r="Q129" s="200"/>
      <c r="R129" s="201"/>
      <c r="S129" s="201"/>
      <c r="T129" s="201"/>
      <c r="U129" s="201"/>
      <c r="V129" s="201"/>
      <c r="W129" s="201"/>
      <c r="X129" s="201"/>
      <c r="Y129" s="201"/>
      <c r="Z129" s="201"/>
      <c r="AA129" s="201"/>
      <c r="AB129" s="201"/>
      <c r="AC129" s="201"/>
      <c r="AD129" s="201"/>
    </row>
    <row r="130" spans="2:30" x14ac:dyDescent="0.2">
      <c r="B130" s="199" t="s">
        <v>2289</v>
      </c>
    </row>
    <row r="131" spans="2:30" ht="8.25" customHeight="1" x14ac:dyDescent="0.2"/>
  </sheetData>
  <mergeCells count="302">
    <mergeCell ref="C101:G101"/>
    <mergeCell ref="C103:G103"/>
    <mergeCell ref="H56:M56"/>
    <mergeCell ref="B53:F53"/>
    <mergeCell ref="H53:M53"/>
    <mergeCell ref="N53:O53"/>
    <mergeCell ref="H50:AD50"/>
    <mergeCell ref="B58:F58"/>
    <mergeCell ref="N58:S58"/>
    <mergeCell ref="C62:G62"/>
    <mergeCell ref="H62:J62"/>
    <mergeCell ref="C64:G64"/>
    <mergeCell ref="I89:J89"/>
    <mergeCell ref="K89:L89"/>
    <mergeCell ref="I86:J86"/>
    <mergeCell ref="B90:G90"/>
    <mergeCell ref="B84:G84"/>
    <mergeCell ref="B82:G82"/>
    <mergeCell ref="H54:M54"/>
    <mergeCell ref="N54:O54"/>
    <mergeCell ref="Z54:AD54"/>
    <mergeCell ref="B56:F56"/>
    <mergeCell ref="S54:Y54"/>
    <mergeCell ref="B60:F60"/>
    <mergeCell ref="B48:F48"/>
    <mergeCell ref="H48:AD48"/>
    <mergeCell ref="V44:AD44"/>
    <mergeCell ref="B52:F52"/>
    <mergeCell ref="H52:M52"/>
    <mergeCell ref="N52:O52"/>
    <mergeCell ref="Z52:AD52"/>
    <mergeCell ref="Z53:AD53"/>
    <mergeCell ref="H44:L44"/>
    <mergeCell ref="H46:AD46"/>
    <mergeCell ref="B46:F46"/>
    <mergeCell ref="B50:F50"/>
    <mergeCell ref="S52:Y52"/>
    <mergeCell ref="S53:Y53"/>
    <mergeCell ref="AA15:AD15"/>
    <mergeCell ref="B14:D15"/>
    <mergeCell ref="V15:Z15"/>
    <mergeCell ref="B40:F40"/>
    <mergeCell ref="H40:AD40"/>
    <mergeCell ref="B42:F42"/>
    <mergeCell ref="B38:F38"/>
    <mergeCell ref="T38:U38"/>
    <mergeCell ref="B16:AD16"/>
    <mergeCell ref="Q1:U1"/>
    <mergeCell ref="W1:AD1"/>
    <mergeCell ref="Q2:U2"/>
    <mergeCell ref="W2:AD2"/>
    <mergeCell ref="Q3:U3"/>
    <mergeCell ref="W3:AD3"/>
    <mergeCell ref="Q4:U4"/>
    <mergeCell ref="W4:AD4"/>
    <mergeCell ref="Q5:U5"/>
    <mergeCell ref="W5:AD5"/>
    <mergeCell ref="Q6:U6"/>
    <mergeCell ref="W6:AD6"/>
    <mergeCell ref="Q7:U7"/>
    <mergeCell ref="W7:AD7"/>
    <mergeCell ref="Q8:U8"/>
    <mergeCell ref="W8:AD8"/>
    <mergeCell ref="Q9:U9"/>
    <mergeCell ref="W9:AD9"/>
    <mergeCell ref="H42:AD42"/>
    <mergeCell ref="Q10:U10"/>
    <mergeCell ref="W10:AD10"/>
    <mergeCell ref="W11:AD11"/>
    <mergeCell ref="V12:Z12"/>
    <mergeCell ref="V13:Z13"/>
    <mergeCell ref="V14:Z14"/>
    <mergeCell ref="H38:L38"/>
    <mergeCell ref="O38:S38"/>
    <mergeCell ref="B17:AD17"/>
    <mergeCell ref="B19:L36"/>
    <mergeCell ref="M19:AD36"/>
    <mergeCell ref="V38:AD38"/>
    <mergeCell ref="AA12:AD12"/>
    <mergeCell ref="AA13:AD13"/>
    <mergeCell ref="AA14:AD14"/>
    <mergeCell ref="H60:J60"/>
    <mergeCell ref="L60:N60"/>
    <mergeCell ref="S86:T86"/>
    <mergeCell ref="I87:J87"/>
    <mergeCell ref="K87:L87"/>
    <mergeCell ref="Q87:R87"/>
    <mergeCell ref="S87:T87"/>
    <mergeCell ref="C63:G63"/>
    <mergeCell ref="B80:G80"/>
    <mergeCell ref="I63:J63"/>
    <mergeCell ref="K63:L63"/>
    <mergeCell ref="M63:N63"/>
    <mergeCell ref="O63:P63"/>
    <mergeCell ref="Q63:R63"/>
    <mergeCell ref="Q62:T62"/>
    <mergeCell ref="S63:T63"/>
    <mergeCell ref="C68:G68"/>
    <mergeCell ref="I68:J68"/>
    <mergeCell ref="K68:L68"/>
    <mergeCell ref="M68:N68"/>
    <mergeCell ref="O68:P68"/>
    <mergeCell ref="B87:G87"/>
    <mergeCell ref="C71:G71"/>
    <mergeCell ref="H71:J71"/>
    <mergeCell ref="U62:W63"/>
    <mergeCell ref="X62:Z63"/>
    <mergeCell ref="AA62:AA63"/>
    <mergeCell ref="AB62:AD63"/>
    <mergeCell ref="K62:P62"/>
    <mergeCell ref="C67:G67"/>
    <mergeCell ref="I64:J64"/>
    <mergeCell ref="K64:L64"/>
    <mergeCell ref="M64:N64"/>
    <mergeCell ref="O64:P64"/>
    <mergeCell ref="Q64:R64"/>
    <mergeCell ref="S64:T64"/>
    <mergeCell ref="U64:W64"/>
    <mergeCell ref="X64:Z64"/>
    <mergeCell ref="AB64:AD64"/>
    <mergeCell ref="K66:L66"/>
    <mergeCell ref="M66:N66"/>
    <mergeCell ref="O66:P66"/>
    <mergeCell ref="S66:T66"/>
    <mergeCell ref="U66:W66"/>
    <mergeCell ref="X66:Z66"/>
    <mergeCell ref="AB66:AD66"/>
    <mergeCell ref="X69:Z69"/>
    <mergeCell ref="Q68:R68"/>
    <mergeCell ref="S68:T68"/>
    <mergeCell ref="U68:W68"/>
    <mergeCell ref="X68:Z68"/>
    <mergeCell ref="AB68:AD68"/>
    <mergeCell ref="I67:J67"/>
    <mergeCell ref="K67:L67"/>
    <mergeCell ref="M67:N67"/>
    <mergeCell ref="O67:P67"/>
    <mergeCell ref="Q67:R67"/>
    <mergeCell ref="S67:T67"/>
    <mergeCell ref="U67:W67"/>
    <mergeCell ref="X67:Z67"/>
    <mergeCell ref="AB67:AD67"/>
    <mergeCell ref="AB69:AD69"/>
    <mergeCell ref="X71:Z72"/>
    <mergeCell ref="AA71:AA72"/>
    <mergeCell ref="AB71:AD72"/>
    <mergeCell ref="C72:G72"/>
    <mergeCell ref="I72:J72"/>
    <mergeCell ref="K72:L72"/>
    <mergeCell ref="M72:N72"/>
    <mergeCell ref="O72:P72"/>
    <mergeCell ref="Q72:R72"/>
    <mergeCell ref="S72:T72"/>
    <mergeCell ref="C69:G69"/>
    <mergeCell ref="I69:J69"/>
    <mergeCell ref="K69:L69"/>
    <mergeCell ref="M69:N69"/>
    <mergeCell ref="O69:P69"/>
    <mergeCell ref="Q69:R69"/>
    <mergeCell ref="S69:T69"/>
    <mergeCell ref="U69:W69"/>
    <mergeCell ref="C73:G73"/>
    <mergeCell ref="I73:J73"/>
    <mergeCell ref="K73:L73"/>
    <mergeCell ref="M73:N73"/>
    <mergeCell ref="O73:P73"/>
    <mergeCell ref="Q73:R73"/>
    <mergeCell ref="K71:P71"/>
    <mergeCell ref="Q71:T71"/>
    <mergeCell ref="U71:W72"/>
    <mergeCell ref="S73:T73"/>
    <mergeCell ref="U73:W73"/>
    <mergeCell ref="X73:Z73"/>
    <mergeCell ref="AB73:AD73"/>
    <mergeCell ref="C76:G76"/>
    <mergeCell ref="I76:J76"/>
    <mergeCell ref="K76:L76"/>
    <mergeCell ref="M76:N76"/>
    <mergeCell ref="O76:P76"/>
    <mergeCell ref="X75:Z75"/>
    <mergeCell ref="C74:G74"/>
    <mergeCell ref="I74:J74"/>
    <mergeCell ref="K74:L74"/>
    <mergeCell ref="M74:N74"/>
    <mergeCell ref="O74:P74"/>
    <mergeCell ref="AB75:AD75"/>
    <mergeCell ref="S74:T74"/>
    <mergeCell ref="U74:W74"/>
    <mergeCell ref="X74:Z74"/>
    <mergeCell ref="AB74:AD74"/>
    <mergeCell ref="M75:N75"/>
    <mergeCell ref="O75:P75"/>
    <mergeCell ref="Q75:R75"/>
    <mergeCell ref="Q76:R76"/>
    <mergeCell ref="S76:T76"/>
    <mergeCell ref="U76:W76"/>
    <mergeCell ref="X76:Z76"/>
    <mergeCell ref="AB76:AD76"/>
    <mergeCell ref="C77:G77"/>
    <mergeCell ref="I77:J77"/>
    <mergeCell ref="K77:L77"/>
    <mergeCell ref="M77:N77"/>
    <mergeCell ref="O77:P77"/>
    <mergeCell ref="Q77:R77"/>
    <mergeCell ref="S75:T75"/>
    <mergeCell ref="U75:W75"/>
    <mergeCell ref="C75:G75"/>
    <mergeCell ref="I75:J75"/>
    <mergeCell ref="K75:L75"/>
    <mergeCell ref="B71:B78"/>
    <mergeCell ref="B62:B69"/>
    <mergeCell ref="S77:T77"/>
    <mergeCell ref="U77:W77"/>
    <mergeCell ref="X77:Z77"/>
    <mergeCell ref="AB77:AD77"/>
    <mergeCell ref="C78:G78"/>
    <mergeCell ref="I78:J78"/>
    <mergeCell ref="K78:L78"/>
    <mergeCell ref="M78:N78"/>
    <mergeCell ref="Q66:R66"/>
    <mergeCell ref="C65:G65"/>
    <mergeCell ref="I65:J65"/>
    <mergeCell ref="K65:L65"/>
    <mergeCell ref="M65:N65"/>
    <mergeCell ref="O65:P65"/>
    <mergeCell ref="Q65:R65"/>
    <mergeCell ref="Q74:R74"/>
    <mergeCell ref="S65:T65"/>
    <mergeCell ref="U65:W65"/>
    <mergeCell ref="X65:Z65"/>
    <mergeCell ref="AB65:AD65"/>
    <mergeCell ref="C66:G66"/>
    <mergeCell ref="I66:J66"/>
    <mergeCell ref="AB103:AC103"/>
    <mergeCell ref="Y80:AD80"/>
    <mergeCell ref="H82:M82"/>
    <mergeCell ref="P82:AA82"/>
    <mergeCell ref="R80:X80"/>
    <mergeCell ref="H80:M80"/>
    <mergeCell ref="S78:T78"/>
    <mergeCell ref="U78:W78"/>
    <mergeCell ref="X78:Z78"/>
    <mergeCell ref="AB78:AD78"/>
    <mergeCell ref="O78:P78"/>
    <mergeCell ref="Q78:R78"/>
    <mergeCell ref="AB104:AC104"/>
    <mergeCell ref="G127:M127"/>
    <mergeCell ref="R126:V126"/>
    <mergeCell ref="H92:AD92"/>
    <mergeCell ref="H94:AD94"/>
    <mergeCell ref="C97:G97"/>
    <mergeCell ref="W126:AD126"/>
    <mergeCell ref="C95:G95"/>
    <mergeCell ref="C99:G99"/>
    <mergeCell ref="H101:AA101"/>
    <mergeCell ref="AB101:AC101"/>
    <mergeCell ref="C106:G106"/>
    <mergeCell ref="H106:AA106"/>
    <mergeCell ref="AB106:AC106"/>
    <mergeCell ref="R127:V127"/>
    <mergeCell ref="W127:AD127"/>
    <mergeCell ref="C126:F126"/>
    <mergeCell ref="C127:F127"/>
    <mergeCell ref="AB97:AC97"/>
    <mergeCell ref="H97:AA97"/>
    <mergeCell ref="H99:AA99"/>
    <mergeCell ref="AB99:AC99"/>
    <mergeCell ref="B92:G92"/>
    <mergeCell ref="H103:AA103"/>
    <mergeCell ref="H84:AD84"/>
    <mergeCell ref="AA86:AB86"/>
    <mergeCell ref="AC86:AD86"/>
    <mergeCell ref="AA87:AB87"/>
    <mergeCell ref="AC87:AD87"/>
    <mergeCell ref="I90:J90"/>
    <mergeCell ref="K90:L90"/>
    <mergeCell ref="K86:L86"/>
    <mergeCell ref="Q86:R86"/>
    <mergeCell ref="G126:M126"/>
    <mergeCell ref="C108:G108"/>
    <mergeCell ref="H108:AA108"/>
    <mergeCell ref="AB108:AC108"/>
    <mergeCell ref="C110:G110"/>
    <mergeCell ref="H110:AA110"/>
    <mergeCell ref="AB110:AC110"/>
    <mergeCell ref="C112:G112"/>
    <mergeCell ref="H112:AA112"/>
    <mergeCell ref="AB112:AC112"/>
    <mergeCell ref="AB113:AC113"/>
    <mergeCell ref="C115:G115"/>
    <mergeCell ref="H115:AA115"/>
    <mergeCell ref="AB115:AC115"/>
    <mergeCell ref="C121:G121"/>
    <mergeCell ref="H121:AA121"/>
    <mergeCell ref="AB121:AC121"/>
    <mergeCell ref="AB122:AC122"/>
    <mergeCell ref="C117:G117"/>
    <mergeCell ref="H117:AA117"/>
    <mergeCell ref="AB117:AC117"/>
    <mergeCell ref="C119:G119"/>
    <mergeCell ref="H119:AA119"/>
    <mergeCell ref="AB119:AC119"/>
  </mergeCells>
  <conditionalFormatting sqref="H40">
    <cfRule type="expression" dxfId="5" priority="12">
      <formula>NOT(ISBLANK(#REF!))</formula>
    </cfRule>
  </conditionalFormatting>
  <conditionalFormatting sqref="H42">
    <cfRule type="expression" dxfId="4" priority="9">
      <formula>NOT(ISBLANK(#REF!))</formula>
    </cfRule>
  </conditionalFormatting>
  <conditionalFormatting sqref="H46">
    <cfRule type="expression" dxfId="3" priority="7">
      <formula>NOT(ISBLANK(#REF!))</formula>
    </cfRule>
  </conditionalFormatting>
  <conditionalFormatting sqref="H48">
    <cfRule type="expression" dxfId="2" priority="5">
      <formula>NOT(ISBLANK(#REF!))</formula>
    </cfRule>
  </conditionalFormatting>
  <conditionalFormatting sqref="H50">
    <cfRule type="expression" dxfId="1" priority="3">
      <formula>NOT(ISBLANK(#REF!))</formula>
    </cfRule>
  </conditionalFormatting>
  <conditionalFormatting sqref="AA12:AA13">
    <cfRule type="containsBlanks" dxfId="0" priority="10">
      <formula>LEN(TRIM(AA12))=0</formula>
    </cfRule>
  </conditionalFormatting>
  <dataValidations count="9">
    <dataValidation allowBlank="1" showInputMessage="1" showErrorMessage="1" errorTitle="PORCENTAJE INCORRECTO" error="El porcentaje debe estar entre 0% y 100%" promptTitle="PORCENTAJE" prompt="El porcentaje debe estar entre 0% y 100%" sqref="V56" xr:uid="{9470B2AC-DB8D-4C89-A209-71C747E5F03D}"/>
    <dataValidation allowBlank="1" showInputMessage="1" showErrorMessage="1" errorTitle="FECHA INCORRECTA" error="La fecha debe tener una antigüedad menor a 02 meses." promptTitle="FECHA DE INSPECCIÓN" prompt="La fecha debe tener una antigüedad menor a 02 meses." sqref="H44:L44" xr:uid="{CDE99F3B-C4DB-405A-9A8D-26657B4F4B07}"/>
    <dataValidation type="decimal" allowBlank="1" showInputMessage="1" showErrorMessage="1" errorTitle="PORCENTAJE INCORRECTO" error="El porcentaje debe estar entre 0% y 100%" promptTitle="PORCENTAJE" prompt="El porcentaje debe estar entre 0% y 100%" sqref="N53:N54 Z53:AC54" xr:uid="{B6983CE1-65BE-4552-BB7B-98E2B59A03D7}">
      <formula1>0</formula1>
      <formula2>1</formula2>
    </dataValidation>
    <dataValidation type="list" allowBlank="1" showInputMessage="1" showErrorMessage="1" sqref="B17" xr:uid="{8EF7E29B-70CF-4E68-A2CF-FA37216296E1}">
      <formula1>Producto1</formula1>
    </dataValidation>
    <dataValidation type="custom" allowBlank="1" showInputMessage="1" showErrorMessage="1" errorTitle="FÓRMULA PROTEGIDA" error="Esta fórmula no se puede editar._x000a__x000a_¡NO INSISTA!" promptTitle="FÓRMULA PROTEGIDA" prompt="Esta fórmula no se puede editar." sqref="AE1:AE3 AE5:AE7 AE9:AE14 W1:X11" xr:uid="{11B76D73-8377-4C5D-A71E-B8F6AAE2AC4C}">
      <formula1>FALSE()</formula1>
    </dataValidation>
    <dataValidation type="list" allowBlank="1" showInputMessage="1" showErrorMessage="1" sqref="I58 Z58 V58 L58" xr:uid="{C84406D4-9AF2-4707-AC8A-8882DC708CE9}">
      <formula1>"X"</formula1>
    </dataValidation>
    <dataValidation allowBlank="1" showInputMessage="1" showErrorMessage="1" errorTitle="FÓRMULA PROTEGIDA" error="Esta fórmula no se puede editar._x000a__x000a_¡NO INSISTA!" promptTitle="FÓRMULA PROTEGIDA" prompt="Esta fórmula no se puede editar." sqref="H46:AD50" xr:uid="{6AC297AB-6849-4175-8E8F-14278A4207BF}"/>
    <dataValidation allowBlank="1" showInputMessage="1" showErrorMessage="1" promptTitle="NOTA:" sqref="H42:AD42 H40:AD40" xr:uid="{6998A74B-A0D1-4A52-B134-7B02A4AC5C50}"/>
    <dataValidation type="date" allowBlank="1" showInputMessage="1" showErrorMessage="1" promptTitle="FECHA DE EXPEDICIÓN" prompt="La fecha debe ser menor a 02 meses antes." sqref="AA14" xr:uid="{DCCC6D62-6874-46CC-A002-DDA7F1974FC9}">
      <formula1>TODAY()-61</formula1>
      <formula2>TODAY()</formula2>
    </dataValidation>
  </dataValidations>
  <hyperlinks>
    <hyperlink ref="H46" location="DirecRegistral" display="DirecRegistral" xr:uid="{24F8B81C-BA9A-4F4C-8235-0FABDECBC0B6}"/>
  </hyperlinks>
  <printOptions horizontalCentered="1"/>
  <pageMargins left="0.70866141732283472" right="0.70866141732283472" top="0.74803149606299213" bottom="0.74803149606299213" header="0.31496062992125984" footer="0.31496062992125984"/>
  <pageSetup paperSize="9" scale="54" fitToHeight="0" orientation="portrait" r:id="rId1"/>
  <headerFooter>
    <oddFooter>&amp;L&amp;G&amp;R&amp;G
&amp;P</oddFooter>
  </headerFooter>
  <rowBreaks count="1" manualBreakCount="1">
    <brk id="79" max="29"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88BC-D264-47A8-833C-2326FBC572AA}">
  <sheetPr codeName="Hoja1"/>
  <dimension ref="A1:AW2709"/>
  <sheetViews>
    <sheetView view="pageBreakPreview" topLeftCell="A317" zoomScale="130" zoomScaleNormal="130" zoomScaleSheetLayoutView="130" workbookViewId="0">
      <selection activeCell="AM311" sqref="AM311:AU311"/>
    </sheetView>
  </sheetViews>
  <sheetFormatPr baseColWidth="10" defaultColWidth="0" defaultRowHeight="12.75" zeroHeight="1" x14ac:dyDescent="0.2"/>
  <cols>
    <col min="1" max="2" width="2" style="15" customWidth="1"/>
    <col min="3" max="3" width="1.85546875" style="15" customWidth="1"/>
    <col min="4" max="6" width="1.42578125" style="15" customWidth="1"/>
    <col min="7" max="7" width="2" style="15" customWidth="1"/>
    <col min="8" max="10" width="1.42578125" style="15" customWidth="1"/>
    <col min="11" max="12" width="2.42578125" style="15" customWidth="1"/>
    <col min="13" max="13" width="1.42578125" style="15" customWidth="1"/>
    <col min="14" max="14" width="2.42578125" style="15" customWidth="1"/>
    <col min="15" max="15" width="2.140625" style="15" customWidth="1"/>
    <col min="16" max="16" width="1.42578125" style="15" customWidth="1"/>
    <col min="17" max="18" width="2.28515625" style="15" customWidth="1"/>
    <col min="19" max="24" width="1.42578125" style="15" customWidth="1"/>
    <col min="25" max="25" width="2.140625" style="15" customWidth="1"/>
    <col min="26" max="27" width="1.42578125" style="15" customWidth="1"/>
    <col min="28" max="28" width="2.42578125" style="15" customWidth="1"/>
    <col min="29" max="30" width="2.140625" style="15" customWidth="1"/>
    <col min="31" max="31" width="1.85546875" style="15" customWidth="1"/>
    <col min="32" max="33" width="1.42578125" style="15" customWidth="1"/>
    <col min="34" max="34" width="3.42578125" style="15" customWidth="1"/>
    <col min="35" max="36" width="1.42578125" style="15" customWidth="1"/>
    <col min="37" max="37" width="1.85546875" style="15" customWidth="1"/>
    <col min="38" max="40" width="1.42578125" style="15" customWidth="1"/>
    <col min="41" max="41" width="1.7109375" style="15" customWidth="1"/>
    <col min="42" max="42" width="1.42578125" style="15" customWidth="1"/>
    <col min="43" max="43" width="3" style="15" customWidth="1"/>
    <col min="44" max="44" width="2.42578125" style="15" customWidth="1"/>
    <col min="45" max="45" width="2.140625" style="15" customWidth="1"/>
    <col min="46" max="46" width="1.42578125" style="15" customWidth="1"/>
    <col min="47" max="47" width="2.42578125" style="15" customWidth="1"/>
    <col min="48" max="48" width="1.42578125" style="15" customWidth="1"/>
    <col min="49" max="49" width="5.42578125" style="15" customWidth="1"/>
    <col min="50" max="16384" width="1.42578125" style="15" hidden="1"/>
  </cols>
  <sheetData>
    <row r="1" spans="1:48" x14ac:dyDescent="0.2"/>
    <row r="2" spans="1:48" x14ac:dyDescent="0.2"/>
    <row r="3" spans="1:48" x14ac:dyDescent="0.2"/>
    <row r="4" spans="1:48" x14ac:dyDescent="0.2"/>
    <row r="5" spans="1:48" x14ac:dyDescent="0.2"/>
    <row r="6" spans="1:48" x14ac:dyDescent="0.2"/>
    <row r="7" spans="1:48" x14ac:dyDescent="0.2"/>
    <row r="8" spans="1:48" x14ac:dyDescent="0.2"/>
    <row r="9" spans="1:48" x14ac:dyDescent="0.2"/>
    <row r="10" spans="1:48" ht="1.5" customHeight="1" x14ac:dyDescent="0.2"/>
    <row r="11" spans="1:48" ht="12.95" customHeight="1" x14ac:dyDescent="0.2">
      <c r="C11" s="25"/>
      <c r="D11" s="25"/>
      <c r="H11" s="26"/>
      <c r="J11" s="27"/>
      <c r="Q11" s="27" t="s">
        <v>2530</v>
      </c>
      <c r="U11" s="28"/>
      <c r="V11" s="29"/>
      <c r="AB11" s="786"/>
      <c r="AC11" s="787"/>
      <c r="AD11" s="787"/>
      <c r="AE11" s="787"/>
      <c r="AF11" s="787"/>
    </row>
    <row r="12" spans="1:48" s="17" customFormat="1" ht="12.95" customHeight="1" x14ac:dyDescent="0.2">
      <c r="A12" s="776" t="s">
        <v>2537</v>
      </c>
      <c r="B12" s="776"/>
      <c r="C12" s="921"/>
      <c r="D12" s="921"/>
      <c r="E12" s="921"/>
      <c r="F12" s="921"/>
      <c r="G12" s="921"/>
      <c r="H12" s="921"/>
      <c r="I12" s="921"/>
      <c r="J12" s="921"/>
      <c r="K12" s="921"/>
      <c r="L12" s="921"/>
      <c r="M12" s="921"/>
      <c r="N12" s="921"/>
      <c r="O12" s="921"/>
      <c r="P12" s="921"/>
      <c r="Q12" s="921"/>
      <c r="R12" s="921"/>
      <c r="S12" s="921"/>
      <c r="T12" s="921"/>
      <c r="U12" s="921"/>
      <c r="V12" s="921"/>
      <c r="W12" s="921"/>
      <c r="X12" s="921"/>
      <c r="Y12" s="921"/>
      <c r="Z12" s="921"/>
      <c r="AA12" s="921"/>
      <c r="AB12" s="921"/>
      <c r="AC12" s="921"/>
      <c r="AD12" s="921"/>
      <c r="AE12" s="921"/>
      <c r="AF12" s="921"/>
      <c r="AG12" s="921"/>
      <c r="AH12" s="921"/>
      <c r="AI12" s="921"/>
      <c r="AJ12" s="921"/>
      <c r="AK12" s="921"/>
      <c r="AL12" s="921"/>
      <c r="AM12" s="921"/>
      <c r="AN12" s="921"/>
      <c r="AO12" s="921"/>
      <c r="AP12" s="921"/>
      <c r="AQ12" s="921"/>
      <c r="AR12" s="921"/>
      <c r="AS12" s="921"/>
      <c r="AT12" s="921"/>
      <c r="AU12" s="921"/>
      <c r="AV12" s="921"/>
    </row>
    <row r="13" spans="1:48" ht="11.25" customHeight="1" x14ac:dyDescent="0.2"/>
    <row r="14" spans="1:48" s="19" customFormat="1" ht="18.75" customHeight="1" x14ac:dyDescent="0.2">
      <c r="A14" s="30" t="s">
        <v>118</v>
      </c>
      <c r="B14" s="31"/>
      <c r="C14" s="31"/>
      <c r="D14" s="31"/>
      <c r="E14" s="31"/>
      <c r="F14" s="31"/>
      <c r="G14" s="31"/>
      <c r="H14" s="31"/>
      <c r="I14" s="31"/>
      <c r="J14" s="31"/>
      <c r="K14" s="31"/>
      <c r="L14" s="31"/>
      <c r="M14" s="31"/>
      <c r="N14" s="31"/>
      <c r="O14" s="31"/>
      <c r="P14" s="31"/>
      <c r="Q14" s="32" t="s">
        <v>0</v>
      </c>
      <c r="S14" s="824"/>
      <c r="T14" s="824"/>
      <c r="U14" s="824"/>
      <c r="V14" s="824"/>
      <c r="W14" s="824"/>
      <c r="X14" s="824"/>
      <c r="Y14" s="824"/>
      <c r="Z14" s="824"/>
      <c r="AA14" s="824"/>
      <c r="AB14" s="824"/>
      <c r="AC14" s="824"/>
      <c r="AD14" s="824"/>
      <c r="AE14" s="824"/>
      <c r="AF14" s="824"/>
      <c r="AG14" s="824"/>
      <c r="AH14" s="824"/>
      <c r="AI14" s="824"/>
      <c r="AJ14" s="824"/>
      <c r="AK14" s="824"/>
      <c r="AL14" s="824"/>
      <c r="AM14" s="824"/>
      <c r="AN14" s="824"/>
      <c r="AO14" s="824"/>
      <c r="AP14" s="824"/>
      <c r="AQ14" s="824"/>
      <c r="AR14" s="824"/>
      <c r="AS14" s="824"/>
      <c r="AT14" s="824"/>
      <c r="AU14" s="824"/>
      <c r="AV14" s="824"/>
    </row>
    <row r="15" spans="1:48" s="19" customFormat="1" ht="31.5" customHeight="1" x14ac:dyDescent="0.2">
      <c r="A15" s="30" t="s">
        <v>44</v>
      </c>
      <c r="B15" s="31"/>
      <c r="C15" s="31"/>
      <c r="D15" s="31"/>
      <c r="E15" s="31"/>
      <c r="F15" s="31"/>
      <c r="G15" s="31"/>
      <c r="H15" s="31"/>
      <c r="I15" s="31"/>
      <c r="J15" s="31"/>
      <c r="K15" s="31"/>
      <c r="L15" s="31"/>
      <c r="M15" s="31"/>
      <c r="N15" s="31"/>
      <c r="O15" s="31"/>
      <c r="P15" s="31"/>
      <c r="Q15" s="31"/>
      <c r="R15" s="32" t="s">
        <v>0</v>
      </c>
      <c r="S15" s="824"/>
      <c r="T15" s="824"/>
      <c r="U15" s="824"/>
      <c r="V15" s="824"/>
      <c r="W15" s="824"/>
      <c r="X15" s="824"/>
      <c r="Y15" s="824"/>
      <c r="Z15" s="824"/>
      <c r="AA15" s="824"/>
      <c r="AB15" s="824"/>
      <c r="AC15" s="824"/>
      <c r="AD15" s="824"/>
      <c r="AE15" s="824"/>
      <c r="AF15" s="824"/>
      <c r="AG15" s="824"/>
      <c r="AH15" s="824"/>
      <c r="AI15" s="824"/>
      <c r="AJ15" s="824"/>
      <c r="AK15" s="824"/>
      <c r="AL15" s="824"/>
      <c r="AM15" s="824"/>
      <c r="AN15" s="824"/>
      <c r="AO15" s="824"/>
      <c r="AP15" s="824"/>
      <c r="AQ15" s="824"/>
      <c r="AR15" s="824"/>
      <c r="AS15" s="824"/>
      <c r="AT15" s="824"/>
      <c r="AU15" s="824"/>
      <c r="AV15" s="824"/>
    </row>
    <row r="16" spans="1:48" s="19" customFormat="1" ht="15" customHeight="1" x14ac:dyDescent="0.2">
      <c r="A16" s="33" t="s">
        <v>23</v>
      </c>
      <c r="B16" s="33"/>
      <c r="C16" s="33"/>
      <c r="D16" s="33"/>
      <c r="Q16" s="34"/>
      <c r="R16" s="32" t="s">
        <v>0</v>
      </c>
      <c r="S16" s="34" t="s">
        <v>8</v>
      </c>
      <c r="T16" s="34"/>
      <c r="U16" s="34"/>
      <c r="V16" s="828"/>
      <c r="W16" s="829"/>
      <c r="X16" s="829"/>
      <c r="Y16" s="829"/>
      <c r="Z16" s="829"/>
      <c r="AA16" s="829"/>
      <c r="AB16" s="829"/>
      <c r="AC16" s="829"/>
      <c r="AD16" s="829"/>
      <c r="AE16" s="829"/>
      <c r="AF16" s="829"/>
      <c r="AG16" s="829"/>
      <c r="AH16" s="829"/>
      <c r="AI16" s="829"/>
      <c r="AJ16" s="829"/>
      <c r="AK16" s="829"/>
      <c r="AL16" s="829"/>
      <c r="AM16" s="829"/>
      <c r="AN16" s="829"/>
      <c r="AO16" s="829"/>
      <c r="AP16" s="829"/>
      <c r="AQ16" s="829"/>
      <c r="AR16" s="829"/>
      <c r="AS16" s="829"/>
      <c r="AT16" s="829"/>
      <c r="AU16" s="829"/>
      <c r="AV16" s="829"/>
    </row>
    <row r="17" spans="1:48" ht="3.95" customHeight="1" x14ac:dyDescent="0.2">
      <c r="A17" s="35"/>
      <c r="B17" s="35"/>
      <c r="C17" s="35"/>
      <c r="D17" s="35"/>
      <c r="E17" s="36"/>
      <c r="F17" s="36"/>
      <c r="G17" s="36"/>
      <c r="H17" s="36"/>
      <c r="I17" s="37"/>
      <c r="J17" s="37"/>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row>
    <row r="18" spans="1:48" s="21" customFormat="1" ht="20.25" customHeight="1" x14ac:dyDescent="0.2">
      <c r="A18" s="27" t="s">
        <v>29</v>
      </c>
      <c r="B18" s="27"/>
      <c r="C18" s="38" t="s">
        <v>93</v>
      </c>
      <c r="I18" s="39"/>
      <c r="J18" s="39"/>
    </row>
    <row r="19" spans="1:48" s="21" customFormat="1" ht="30.75" customHeight="1" x14ac:dyDescent="0.2">
      <c r="C19" s="937" t="s">
        <v>94</v>
      </c>
      <c r="D19" s="938"/>
      <c r="E19" s="938"/>
      <c r="F19" s="938"/>
      <c r="G19" s="938"/>
      <c r="H19" s="938"/>
      <c r="I19" s="938"/>
      <c r="J19" s="938"/>
      <c r="K19" s="938"/>
      <c r="L19" s="938"/>
      <c r="M19" s="938"/>
      <c r="N19" s="938"/>
      <c r="O19" s="938"/>
      <c r="P19" s="938"/>
      <c r="Q19" s="938"/>
      <c r="R19" s="938"/>
      <c r="S19" s="938"/>
      <c r="T19" s="938"/>
      <c r="U19" s="938"/>
      <c r="V19" s="938"/>
      <c r="W19" s="938"/>
      <c r="X19" s="938"/>
      <c r="Y19" s="938"/>
      <c r="Z19" s="938"/>
      <c r="AA19" s="938"/>
      <c r="AB19" s="938"/>
      <c r="AC19" s="938"/>
      <c r="AD19" s="938"/>
      <c r="AE19" s="938"/>
      <c r="AF19" s="938"/>
      <c r="AG19" s="938"/>
      <c r="AH19" s="938"/>
      <c r="AI19" s="938"/>
      <c r="AJ19" s="938"/>
      <c r="AK19" s="938"/>
      <c r="AL19" s="938"/>
      <c r="AM19" s="938"/>
      <c r="AN19" s="938"/>
      <c r="AO19" s="938"/>
      <c r="AP19" s="938"/>
      <c r="AQ19" s="938"/>
      <c r="AR19" s="938"/>
      <c r="AS19" s="938"/>
      <c r="AT19" s="938"/>
      <c r="AU19" s="938"/>
      <c r="AV19" s="938"/>
    </row>
    <row r="20" spans="1:48" s="41" customFormat="1" ht="28.5" customHeight="1" x14ac:dyDescent="0.2">
      <c r="B20" s="42"/>
      <c r="C20" s="821" t="s">
        <v>2531</v>
      </c>
      <c r="D20" s="793"/>
      <c r="E20" s="793"/>
      <c r="F20" s="793"/>
      <c r="G20" s="793"/>
      <c r="H20" s="793"/>
      <c r="I20" s="793"/>
      <c r="J20" s="793"/>
      <c r="K20" s="793"/>
      <c r="L20" s="793"/>
      <c r="M20" s="793"/>
      <c r="N20" s="793"/>
      <c r="O20" s="793"/>
      <c r="P20" s="793"/>
      <c r="Q20" s="793"/>
      <c r="R20" s="793"/>
      <c r="S20" s="793"/>
      <c r="T20" s="793"/>
      <c r="U20" s="793"/>
      <c r="V20" s="793"/>
      <c r="W20" s="793"/>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row>
    <row r="21" spans="1:48" s="41" customFormat="1" ht="14.25" customHeight="1" x14ac:dyDescent="0.2">
      <c r="B21" s="42"/>
      <c r="C21" s="922" t="s">
        <v>2494</v>
      </c>
      <c r="D21" s="842"/>
      <c r="E21" s="842"/>
      <c r="F21" s="842"/>
      <c r="G21" s="842"/>
      <c r="H21" s="842"/>
      <c r="I21" s="842"/>
      <c r="J21" s="842"/>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row>
    <row r="22" spans="1:48" s="41" customFormat="1" ht="30" customHeight="1" x14ac:dyDescent="0.2">
      <c r="B22" s="42"/>
      <c r="C22" s="847" t="s">
        <v>95</v>
      </c>
      <c r="D22" s="848"/>
      <c r="E22" s="848"/>
      <c r="F22" s="848"/>
      <c r="G22" s="848"/>
      <c r="H22" s="848"/>
      <c r="I22" s="848"/>
      <c r="J22" s="848"/>
      <c r="K22" s="848"/>
      <c r="L22" s="848"/>
      <c r="M22" s="848"/>
      <c r="N22" s="848"/>
      <c r="O22" s="848"/>
      <c r="P22" s="848"/>
      <c r="Q22" s="848"/>
      <c r="R22" s="848"/>
      <c r="S22" s="848"/>
      <c r="T22" s="848"/>
      <c r="U22" s="848"/>
      <c r="V22" s="848"/>
      <c r="W22" s="848"/>
      <c r="X22" s="848"/>
      <c r="Y22" s="848"/>
      <c r="Z22" s="848"/>
      <c r="AA22" s="848"/>
      <c r="AB22" s="848"/>
      <c r="AC22" s="848"/>
      <c r="AD22" s="848"/>
      <c r="AE22" s="848"/>
      <c r="AF22" s="848"/>
      <c r="AG22" s="848"/>
      <c r="AH22" s="848"/>
      <c r="AI22" s="848"/>
      <c r="AJ22" s="848"/>
      <c r="AK22" s="848"/>
      <c r="AL22" s="848"/>
      <c r="AM22" s="848"/>
      <c r="AN22" s="848"/>
      <c r="AO22" s="848"/>
      <c r="AP22" s="848"/>
      <c r="AQ22" s="848"/>
      <c r="AR22" s="848"/>
      <c r="AS22" s="848"/>
      <c r="AT22" s="848"/>
      <c r="AU22" s="848"/>
      <c r="AV22" s="848"/>
    </row>
    <row r="23" spans="1:48" s="21" customFormat="1" ht="22.5" customHeight="1" x14ac:dyDescent="0.2">
      <c r="A23" s="21" t="s">
        <v>30</v>
      </c>
      <c r="C23" s="960" t="s">
        <v>3</v>
      </c>
      <c r="D23" s="960"/>
      <c r="E23" s="960"/>
      <c r="F23" s="960"/>
      <c r="G23" s="960"/>
      <c r="H23" s="960"/>
      <c r="I23" s="960"/>
      <c r="J23" s="960"/>
      <c r="K23" s="960"/>
      <c r="L23" s="960"/>
      <c r="M23" s="960"/>
      <c r="N23" s="960"/>
      <c r="O23" s="960"/>
      <c r="P23" s="960"/>
      <c r="Q23" s="960"/>
      <c r="R23" s="960"/>
      <c r="S23" s="960"/>
      <c r="T23" s="960"/>
      <c r="U23" s="960"/>
      <c r="V23" s="960"/>
      <c r="W23" s="960"/>
      <c r="X23" s="960"/>
      <c r="Y23" s="960"/>
      <c r="Z23" s="960"/>
      <c r="AA23" s="960"/>
      <c r="AB23" s="960"/>
      <c r="AC23" s="960"/>
      <c r="AD23" s="960"/>
      <c r="AE23" s="960"/>
      <c r="AF23" s="960"/>
      <c r="AG23" s="960"/>
      <c r="AH23" s="960"/>
      <c r="AI23" s="960"/>
      <c r="AJ23" s="960"/>
      <c r="AK23" s="960"/>
      <c r="AL23" s="960"/>
      <c r="AM23" s="960"/>
      <c r="AN23" s="960"/>
      <c r="AO23" s="960"/>
      <c r="AP23" s="960"/>
      <c r="AQ23" s="960"/>
      <c r="AR23" s="960"/>
      <c r="AS23" s="960"/>
      <c r="AT23" s="960"/>
      <c r="AU23" s="960"/>
      <c r="AV23" s="960"/>
    </row>
    <row r="24" spans="1:48" ht="24" customHeight="1" x14ac:dyDescent="0.2">
      <c r="A24" s="749">
        <v>1</v>
      </c>
      <c r="B24" s="820"/>
      <c r="C24" s="38" t="s">
        <v>14</v>
      </c>
      <c r="D24" s="38"/>
    </row>
    <row r="25" spans="1:48" ht="18" customHeight="1" x14ac:dyDescent="0.2">
      <c r="C25" s="15" t="s">
        <v>55</v>
      </c>
    </row>
    <row r="26" spans="1:48" ht="18" customHeight="1" x14ac:dyDescent="0.2">
      <c r="C26" s="45" t="s">
        <v>101</v>
      </c>
    </row>
    <row r="27" spans="1:48" ht="33" customHeight="1" x14ac:dyDescent="0.2">
      <c r="C27" s="793"/>
      <c r="D27" s="793"/>
      <c r="E27" s="793"/>
      <c r="F27" s="793"/>
      <c r="G27" s="793"/>
      <c r="H27" s="793"/>
      <c r="I27" s="793"/>
      <c r="J27" s="793"/>
      <c r="K27" s="793"/>
      <c r="L27" s="793"/>
      <c r="M27" s="793"/>
      <c r="N27" s="793"/>
      <c r="O27" s="793"/>
      <c r="P27" s="793"/>
      <c r="Q27" s="793"/>
      <c r="R27" s="793"/>
      <c r="S27" s="793"/>
      <c r="T27" s="793"/>
      <c r="U27" s="746"/>
      <c r="V27" s="746"/>
      <c r="W27" s="746"/>
      <c r="X27" s="746"/>
      <c r="Y27" s="746"/>
      <c r="Z27" s="746"/>
      <c r="AA27" s="746"/>
      <c r="AB27" s="746"/>
      <c r="AC27" s="746"/>
      <c r="AD27" s="746"/>
      <c r="AE27" s="746"/>
      <c r="AF27" s="746"/>
      <c r="AG27" s="746"/>
      <c r="AH27" s="746"/>
      <c r="AI27" s="746"/>
      <c r="AJ27" s="746"/>
      <c r="AK27" s="746"/>
      <c r="AL27" s="746"/>
      <c r="AM27" s="746"/>
      <c r="AN27" s="746"/>
      <c r="AO27" s="746"/>
      <c r="AP27" s="746"/>
      <c r="AQ27" s="746"/>
      <c r="AR27" s="746"/>
      <c r="AS27" s="746"/>
      <c r="AT27" s="746"/>
      <c r="AU27" s="746"/>
      <c r="AV27" s="746"/>
    </row>
    <row r="28" spans="1:48" ht="17.25" customHeight="1" x14ac:dyDescent="0.2">
      <c r="C28" s="45" t="s">
        <v>102</v>
      </c>
      <c r="D28" s="322"/>
      <c r="E28" s="322"/>
      <c r="F28" s="322"/>
      <c r="G28" s="322"/>
      <c r="H28" s="322"/>
      <c r="I28" s="322"/>
      <c r="J28" s="322"/>
      <c r="K28" s="322"/>
      <c r="L28" s="322"/>
      <c r="M28" s="322"/>
      <c r="N28" s="322"/>
      <c r="O28" s="322"/>
      <c r="P28" s="322"/>
      <c r="Q28" s="322"/>
      <c r="R28" s="322"/>
      <c r="S28" s="322"/>
      <c r="T28" s="322"/>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row>
    <row r="29" spans="1:48" ht="33" customHeight="1" x14ac:dyDescent="0.2">
      <c r="C29" s="793"/>
      <c r="D29" s="793"/>
      <c r="E29" s="793"/>
      <c r="F29" s="793"/>
      <c r="G29" s="793"/>
      <c r="H29" s="793"/>
      <c r="I29" s="793"/>
      <c r="J29" s="793"/>
      <c r="K29" s="793"/>
      <c r="L29" s="793"/>
      <c r="M29" s="793"/>
      <c r="N29" s="793"/>
      <c r="O29" s="793"/>
      <c r="P29" s="793"/>
      <c r="Q29" s="793"/>
      <c r="R29" s="793"/>
      <c r="S29" s="793"/>
      <c r="T29" s="793"/>
      <c r="U29" s="746"/>
      <c r="V29" s="746"/>
      <c r="W29" s="746"/>
      <c r="X29" s="746"/>
      <c r="Y29" s="746"/>
      <c r="Z29" s="746"/>
      <c r="AA29" s="746"/>
      <c r="AB29" s="746"/>
      <c r="AC29" s="746"/>
      <c r="AD29" s="746"/>
      <c r="AE29" s="746"/>
      <c r="AF29" s="746"/>
      <c r="AG29" s="746"/>
      <c r="AH29" s="746"/>
      <c r="AI29" s="746"/>
      <c r="AJ29" s="746"/>
      <c r="AK29" s="746"/>
      <c r="AL29" s="746"/>
      <c r="AM29" s="746"/>
      <c r="AN29" s="746"/>
      <c r="AO29" s="746"/>
      <c r="AP29" s="746"/>
      <c r="AQ29" s="746"/>
      <c r="AR29" s="746"/>
      <c r="AS29" s="746"/>
      <c r="AT29" s="746"/>
      <c r="AU29" s="746"/>
      <c r="AV29" s="746"/>
    </row>
    <row r="30" spans="1:48" ht="17.25" customHeight="1" x14ac:dyDescent="0.2">
      <c r="C30" s="45" t="s">
        <v>96</v>
      </c>
      <c r="D30" s="322"/>
      <c r="E30" s="322"/>
      <c r="F30" s="322"/>
      <c r="G30" s="322"/>
      <c r="H30" s="322"/>
      <c r="I30" s="322"/>
      <c r="J30" s="322"/>
      <c r="K30" s="322"/>
      <c r="L30" s="322"/>
      <c r="M30" s="322"/>
      <c r="N30" s="322"/>
      <c r="O30" s="322"/>
      <c r="P30" s="322"/>
      <c r="Q30" s="322"/>
      <c r="R30" s="322"/>
      <c r="S30" s="322"/>
      <c r="T30" s="322"/>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row>
    <row r="31" spans="1:48" ht="41.25" customHeight="1" x14ac:dyDescent="0.2">
      <c r="C31" s="793"/>
      <c r="D31" s="793"/>
      <c r="E31" s="793"/>
      <c r="F31" s="793"/>
      <c r="G31" s="793"/>
      <c r="H31" s="793"/>
      <c r="I31" s="793"/>
      <c r="J31" s="793"/>
      <c r="K31" s="793"/>
      <c r="L31" s="793"/>
      <c r="M31" s="793"/>
      <c r="N31" s="793"/>
      <c r="O31" s="793"/>
      <c r="P31" s="793"/>
      <c r="Q31" s="793"/>
      <c r="R31" s="793"/>
      <c r="S31" s="793"/>
      <c r="T31" s="793"/>
      <c r="U31" s="746"/>
      <c r="V31" s="746"/>
      <c r="W31" s="746"/>
      <c r="X31" s="746"/>
      <c r="Y31" s="746"/>
      <c r="Z31" s="746"/>
      <c r="AA31" s="746"/>
      <c r="AB31" s="746"/>
      <c r="AC31" s="746"/>
      <c r="AD31" s="746"/>
      <c r="AE31" s="746"/>
      <c r="AF31" s="746"/>
      <c r="AG31" s="746"/>
      <c r="AH31" s="746"/>
      <c r="AI31" s="746"/>
      <c r="AJ31" s="746"/>
      <c r="AK31" s="746"/>
      <c r="AL31" s="746"/>
      <c r="AM31" s="746"/>
      <c r="AN31" s="746"/>
      <c r="AO31" s="746"/>
      <c r="AP31" s="746"/>
      <c r="AQ31" s="746"/>
      <c r="AR31" s="746"/>
      <c r="AS31" s="746"/>
      <c r="AT31" s="746"/>
      <c r="AU31" s="746"/>
      <c r="AV31" s="746"/>
    </row>
    <row r="32" spans="1:48" ht="24" customHeight="1" x14ac:dyDescent="0.2">
      <c r="A32" s="749">
        <f>1+A24</f>
        <v>2</v>
      </c>
      <c r="B32" s="820"/>
      <c r="C32" s="38" t="s">
        <v>111</v>
      </c>
      <c r="D32" s="38"/>
      <c r="F32" s="48"/>
      <c r="O32" s="90" t="s">
        <v>2495</v>
      </c>
    </row>
    <row r="33" spans="1:48" ht="15" customHeight="1" x14ac:dyDescent="0.2">
      <c r="A33" s="43"/>
      <c r="B33" s="44"/>
      <c r="C33" s="15" t="s">
        <v>108</v>
      </c>
      <c r="D33" s="38"/>
      <c r="F33" s="48"/>
      <c r="AO33" s="822"/>
      <c r="AP33" s="823"/>
      <c r="AQ33" s="823"/>
      <c r="AR33" s="823"/>
      <c r="AS33" s="823"/>
      <c r="AT33" s="19" t="s">
        <v>112</v>
      </c>
    </row>
    <row r="34" spans="1:48" s="404" customFormat="1" ht="15" customHeight="1" x14ac:dyDescent="0.2">
      <c r="A34" s="402"/>
      <c r="B34" s="402"/>
      <c r="C34" s="403" t="s">
        <v>2496</v>
      </c>
      <c r="F34" s="405"/>
      <c r="Q34" s="403"/>
      <c r="U34" s="406"/>
      <c r="V34" s="406"/>
      <c r="AO34" s="962"/>
      <c r="AP34" s="963"/>
      <c r="AQ34" s="963"/>
      <c r="AR34" s="963"/>
      <c r="AS34" s="963"/>
      <c r="AT34" s="963"/>
    </row>
    <row r="35" spans="1:48" s="50" customFormat="1" ht="15" customHeight="1" x14ac:dyDescent="0.2">
      <c r="A35" s="20"/>
      <c r="B35" s="20"/>
      <c r="C35" s="483" t="s">
        <v>2504</v>
      </c>
      <c r="D35" s="484"/>
      <c r="E35" s="484"/>
      <c r="F35" s="485"/>
      <c r="G35" s="484"/>
      <c r="H35" s="484"/>
      <c r="I35" s="484"/>
      <c r="J35" s="484"/>
      <c r="K35" s="484"/>
      <c r="L35" s="484"/>
      <c r="M35" s="140"/>
      <c r="N35" s="140"/>
      <c r="O35" s="140"/>
      <c r="P35" s="140"/>
      <c r="Q35" s="140"/>
      <c r="R35" s="140"/>
      <c r="S35" s="140"/>
      <c r="T35" s="140"/>
      <c r="U35" s="140"/>
      <c r="V35" s="140"/>
      <c r="W35" s="140"/>
      <c r="X35" s="140"/>
      <c r="Y35" s="140"/>
      <c r="Z35" s="140"/>
      <c r="AA35" s="140"/>
      <c r="AB35" s="140"/>
      <c r="AC35" s="140"/>
      <c r="AD35" s="253"/>
      <c r="AE35" s="140"/>
      <c r="AF35" s="140"/>
      <c r="AG35" s="140"/>
      <c r="AH35" s="140"/>
      <c r="AI35" s="140"/>
      <c r="AJ35" s="140"/>
      <c r="AK35" s="140"/>
      <c r="AL35" s="140"/>
      <c r="AM35" s="140"/>
      <c r="AN35" s="140"/>
      <c r="AO35" s="830"/>
      <c r="AP35" s="831"/>
      <c r="AQ35" s="832"/>
      <c r="AR35" s="832"/>
      <c r="AS35" s="832"/>
      <c r="AT35" s="140" t="s">
        <v>113</v>
      </c>
      <c r="AU35" s="254"/>
    </row>
    <row r="36" spans="1:48" s="136" customFormat="1" ht="15" customHeight="1" x14ac:dyDescent="0.2">
      <c r="A36" s="90"/>
      <c r="B36" s="90"/>
      <c r="C36" s="136" t="s">
        <v>2497</v>
      </c>
      <c r="F36" s="340"/>
      <c r="U36" s="50"/>
      <c r="V36" s="50"/>
      <c r="AO36" s="961"/>
      <c r="AP36" s="961"/>
      <c r="AQ36" s="961"/>
      <c r="AR36" s="961"/>
      <c r="AS36" s="961"/>
      <c r="AT36" s="961"/>
    </row>
    <row r="37" spans="1:48" s="50" customFormat="1" ht="15" customHeight="1" x14ac:dyDescent="0.2">
      <c r="A37" s="90"/>
      <c r="B37" s="90"/>
      <c r="C37" s="186" t="s">
        <v>2505</v>
      </c>
      <c r="D37" s="140"/>
      <c r="E37" s="140"/>
      <c r="F37" s="187"/>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324"/>
      <c r="AE37" s="140"/>
      <c r="AF37" s="140"/>
      <c r="AG37" s="140"/>
      <c r="AH37" s="140"/>
      <c r="AI37" s="140"/>
      <c r="AJ37" s="140"/>
      <c r="AK37" s="140"/>
      <c r="AL37" s="140"/>
      <c r="AM37" s="140"/>
      <c r="AN37" s="140"/>
      <c r="AO37" s="830"/>
      <c r="AP37" s="831"/>
      <c r="AQ37" s="832"/>
      <c r="AR37" s="832"/>
      <c r="AS37" s="832"/>
      <c r="AT37" s="140" t="s">
        <v>113</v>
      </c>
      <c r="AU37" s="254"/>
    </row>
    <row r="38" spans="1:48" s="136" customFormat="1" ht="15" customHeight="1" x14ac:dyDescent="0.2">
      <c r="A38" s="90"/>
      <c r="B38" s="90"/>
      <c r="C38" s="136" t="s">
        <v>2498</v>
      </c>
      <c r="F38" s="340"/>
      <c r="U38" s="50"/>
      <c r="V38" s="50"/>
      <c r="AO38" s="961"/>
      <c r="AP38" s="961"/>
      <c r="AQ38" s="961"/>
      <c r="AR38" s="961"/>
      <c r="AS38" s="961"/>
      <c r="AT38" s="961"/>
    </row>
    <row r="39" spans="1:48" s="50" customFormat="1" ht="15" customHeight="1" x14ac:dyDescent="0.2">
      <c r="A39" s="90"/>
      <c r="B39" s="90"/>
      <c r="C39" s="186" t="s">
        <v>2506</v>
      </c>
      <c r="D39" s="140"/>
      <c r="E39" s="140"/>
      <c r="F39" s="187"/>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324"/>
      <c r="AE39" s="140"/>
      <c r="AF39" s="140"/>
      <c r="AG39" s="140"/>
      <c r="AH39" s="140"/>
      <c r="AI39" s="140"/>
      <c r="AJ39" s="140"/>
      <c r="AK39" s="140"/>
      <c r="AL39" s="140"/>
      <c r="AM39" s="140"/>
      <c r="AN39" s="140"/>
      <c r="AO39" s="830"/>
      <c r="AP39" s="831"/>
      <c r="AQ39" s="832"/>
      <c r="AR39" s="832"/>
      <c r="AS39" s="832"/>
      <c r="AT39" s="140" t="s">
        <v>113</v>
      </c>
      <c r="AU39" s="254"/>
    </row>
    <row r="40" spans="1:48" ht="30" customHeight="1" x14ac:dyDescent="0.2">
      <c r="A40" s="749">
        <f>+A32+1</f>
        <v>3</v>
      </c>
      <c r="B40" s="820"/>
      <c r="C40" s="38" t="s">
        <v>80</v>
      </c>
      <c r="D40" s="38"/>
      <c r="F40" s="48"/>
    </row>
    <row r="41" spans="1:48" ht="54" customHeight="1" x14ac:dyDescent="0.2">
      <c r="C41" s="844"/>
      <c r="D41" s="845"/>
      <c r="E41" s="846"/>
      <c r="F41" s="846"/>
      <c r="G41" s="846"/>
      <c r="H41" s="846"/>
      <c r="I41" s="846"/>
      <c r="J41" s="846"/>
      <c r="K41" s="846"/>
      <c r="L41" s="846"/>
      <c r="M41" s="846"/>
      <c r="N41" s="846"/>
      <c r="O41" s="846"/>
      <c r="P41" s="846"/>
      <c r="Q41" s="846"/>
      <c r="R41" s="846"/>
      <c r="S41" s="846"/>
      <c r="T41" s="846"/>
      <c r="U41" s="846"/>
      <c r="V41" s="846"/>
      <c r="W41" s="846"/>
      <c r="X41" s="846"/>
      <c r="Y41" s="846"/>
      <c r="Z41" s="846"/>
      <c r="AA41" s="846"/>
      <c r="AB41" s="846"/>
      <c r="AC41" s="846"/>
      <c r="AD41" s="846"/>
      <c r="AE41" s="846"/>
      <c r="AF41" s="846"/>
      <c r="AG41" s="846"/>
      <c r="AH41" s="846"/>
      <c r="AI41" s="846"/>
      <c r="AJ41" s="846"/>
      <c r="AK41" s="846"/>
      <c r="AL41" s="846"/>
      <c r="AM41" s="846"/>
      <c r="AN41" s="846"/>
      <c r="AO41" s="846"/>
      <c r="AP41" s="846"/>
      <c r="AQ41" s="846"/>
      <c r="AR41" s="846"/>
      <c r="AS41" s="846"/>
      <c r="AT41" s="846"/>
      <c r="AU41" s="846"/>
      <c r="AV41" s="846"/>
    </row>
    <row r="42" spans="1:48" s="451" customFormat="1" ht="3.75" customHeight="1" thickBot="1" x14ac:dyDescent="0.25">
      <c r="C42" s="453"/>
      <c r="D42" s="454"/>
      <c r="E42" s="454"/>
      <c r="F42" s="454"/>
      <c r="G42" s="454"/>
      <c r="H42" s="454"/>
      <c r="I42" s="454"/>
      <c r="J42" s="454"/>
      <c r="K42" s="454"/>
      <c r="L42" s="454"/>
      <c r="M42" s="454"/>
      <c r="N42" s="454"/>
      <c r="O42" s="454"/>
      <c r="P42" s="454"/>
      <c r="Q42" s="454"/>
      <c r="R42" s="454"/>
      <c r="S42" s="454"/>
      <c r="T42" s="454"/>
      <c r="U42" s="455"/>
      <c r="V42" s="455"/>
      <c r="W42" s="455"/>
      <c r="X42" s="455"/>
      <c r="Y42" s="455"/>
      <c r="Z42" s="455"/>
      <c r="AA42" s="455"/>
      <c r="AB42" s="455"/>
      <c r="AC42" s="455"/>
      <c r="AD42" s="455"/>
      <c r="AE42" s="455"/>
      <c r="AF42" s="455"/>
      <c r="AG42" s="455"/>
      <c r="AH42" s="455"/>
      <c r="AI42" s="455"/>
      <c r="AJ42" s="455"/>
      <c r="AK42" s="455"/>
      <c r="AL42" s="455"/>
      <c r="AM42" s="455"/>
      <c r="AN42" s="455"/>
      <c r="AO42" s="455"/>
      <c r="AP42" s="455"/>
      <c r="AQ42" s="455"/>
      <c r="AR42" s="455"/>
      <c r="AS42" s="455"/>
      <c r="AT42" s="455"/>
      <c r="AU42" s="455"/>
      <c r="AV42" s="455"/>
    </row>
    <row r="43" spans="1:48" s="451" customFormat="1" ht="13.5" thickBot="1" x14ac:dyDescent="0.25">
      <c r="C43" s="451" t="s">
        <v>2509</v>
      </c>
      <c r="E43" s="454"/>
      <c r="F43" s="454"/>
      <c r="G43" s="454"/>
      <c r="H43" s="454"/>
      <c r="M43" s="1033"/>
      <c r="N43" s="1034"/>
      <c r="P43" s="451" t="s">
        <v>2510</v>
      </c>
      <c r="Q43" s="454"/>
      <c r="R43" s="454"/>
      <c r="S43" s="454"/>
      <c r="T43" s="454"/>
      <c r="Y43" s="1033" t="s">
        <v>2277</v>
      </c>
      <c r="Z43" s="1034"/>
      <c r="AC43" s="455"/>
      <c r="AF43" s="455"/>
      <c r="AG43" s="455"/>
      <c r="AH43" s="455"/>
      <c r="AI43" s="455"/>
      <c r="AJ43" s="455"/>
      <c r="AK43" s="455"/>
      <c r="AL43" s="455"/>
      <c r="AM43" s="455"/>
      <c r="AN43" s="455"/>
      <c r="AO43" s="455"/>
      <c r="AP43" s="455"/>
      <c r="AQ43" s="455"/>
      <c r="AR43" s="455"/>
      <c r="AS43" s="455"/>
      <c r="AT43" s="455"/>
      <c r="AU43" s="455"/>
    </row>
    <row r="44" spans="1:48" s="451" customFormat="1" ht="3.75" customHeight="1" thickBot="1" x14ac:dyDescent="0.25">
      <c r="C44" s="456"/>
      <c r="E44" s="454"/>
      <c r="F44" s="454"/>
      <c r="G44" s="454"/>
      <c r="H44" s="454"/>
      <c r="J44" s="457"/>
      <c r="K44" s="457"/>
      <c r="M44" s="454"/>
      <c r="N44" s="454"/>
      <c r="O44" s="456"/>
      <c r="Q44" s="454"/>
      <c r="R44" s="454"/>
      <c r="S44" s="454"/>
      <c r="T44" s="454"/>
      <c r="U44" s="457"/>
      <c r="V44" s="457"/>
      <c r="W44" s="455"/>
      <c r="X44" s="455"/>
      <c r="Y44" s="455"/>
      <c r="Z44" s="455"/>
      <c r="AA44" s="455"/>
      <c r="AB44" s="455"/>
      <c r="AC44" s="455"/>
      <c r="AD44" s="455"/>
      <c r="AE44" s="455"/>
      <c r="AF44" s="455"/>
      <c r="AG44" s="455"/>
      <c r="AH44" s="455"/>
      <c r="AI44" s="455"/>
      <c r="AJ44" s="455"/>
      <c r="AK44" s="455"/>
      <c r="AL44" s="455"/>
      <c r="AM44" s="455"/>
      <c r="AN44" s="455"/>
      <c r="AO44" s="455"/>
      <c r="AP44" s="455"/>
      <c r="AQ44" s="455"/>
      <c r="AR44" s="455"/>
      <c r="AS44" s="455"/>
      <c r="AT44" s="455"/>
      <c r="AU44" s="455"/>
    </row>
    <row r="45" spans="1:48" s="451" customFormat="1" ht="13.5" thickBot="1" x14ac:dyDescent="0.25">
      <c r="C45" s="451" t="s">
        <v>2511</v>
      </c>
      <c r="E45" s="454"/>
      <c r="F45" s="454"/>
      <c r="G45" s="454"/>
      <c r="H45" s="454"/>
      <c r="J45" s="458"/>
      <c r="M45" s="1033"/>
      <c r="N45" s="1034"/>
      <c r="O45" s="456"/>
      <c r="P45" s="451" t="s">
        <v>2512</v>
      </c>
      <c r="S45" s="454"/>
      <c r="T45" s="454"/>
      <c r="Y45" s="1033"/>
      <c r="Z45" s="1034"/>
      <c r="AA45" s="451" t="s">
        <v>2513</v>
      </c>
      <c r="AF45" s="1033"/>
      <c r="AG45" s="1034"/>
      <c r="AH45" s="451" t="s">
        <v>2514</v>
      </c>
      <c r="AI45" s="455"/>
      <c r="AJ45" s="455"/>
      <c r="AK45" s="455"/>
      <c r="AL45" s="455"/>
      <c r="AO45" s="1033"/>
      <c r="AP45" s="1034"/>
      <c r="AQ45" s="451" t="s">
        <v>2515</v>
      </c>
      <c r="AR45" s="455"/>
      <c r="AS45" s="455"/>
      <c r="AT45" s="455"/>
      <c r="AU45" s="455"/>
    </row>
    <row r="46" spans="1:48" s="451" customFormat="1" ht="6.75" customHeight="1" thickBot="1" x14ac:dyDescent="0.25">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455"/>
      <c r="AT46" s="455"/>
      <c r="AU46" s="455"/>
    </row>
    <row r="47" spans="1:48" s="451" customFormat="1" ht="13.5" thickBot="1" x14ac:dyDescent="0.25">
      <c r="C47" s="136" t="s">
        <v>2516</v>
      </c>
      <c r="E47" s="454"/>
      <c r="F47" s="454"/>
      <c r="G47" s="454"/>
      <c r="H47" s="454"/>
      <c r="J47" s="458"/>
      <c r="M47" s="1033"/>
      <c r="N47" s="1034"/>
      <c r="O47" s="456"/>
      <c r="AQ47" s="455"/>
      <c r="AR47" s="455"/>
      <c r="AS47" s="455"/>
      <c r="AT47" s="455"/>
      <c r="AU47" s="455"/>
    </row>
    <row r="48" spans="1:48" ht="24.95" customHeight="1" x14ac:dyDescent="0.2">
      <c r="A48" s="749">
        <f>+A40+1</f>
        <v>4</v>
      </c>
      <c r="B48" s="820"/>
      <c r="C48" s="38" t="s">
        <v>81</v>
      </c>
      <c r="D48" s="38"/>
      <c r="F48" s="48"/>
    </row>
    <row r="49" spans="1:48" ht="13.5" customHeight="1" x14ac:dyDescent="0.2">
      <c r="C49" s="834"/>
      <c r="D49" s="848"/>
      <c r="E49" s="939"/>
      <c r="F49" s="939"/>
      <c r="G49" s="939"/>
      <c r="H49" s="939"/>
      <c r="I49" s="939"/>
      <c r="J49" s="939"/>
      <c r="K49" s="939"/>
      <c r="L49" s="939"/>
      <c r="M49" s="939"/>
      <c r="N49" s="939"/>
      <c r="O49" s="939"/>
      <c r="P49" s="939"/>
      <c r="Q49" s="939"/>
      <c r="R49" s="939"/>
      <c r="S49" s="939"/>
      <c r="T49" s="939"/>
      <c r="U49" s="755"/>
      <c r="V49" s="755"/>
      <c r="W49" s="755"/>
      <c r="X49" s="755"/>
      <c r="Y49" s="755"/>
      <c r="Z49" s="755"/>
      <c r="AA49" s="755"/>
      <c r="AB49" s="755"/>
      <c r="AC49" s="755"/>
      <c r="AD49" s="755"/>
      <c r="AE49" s="755"/>
      <c r="AF49" s="755"/>
      <c r="AG49" s="755"/>
      <c r="AH49" s="755"/>
      <c r="AI49" s="755"/>
      <c r="AJ49" s="755"/>
      <c r="AK49" s="755"/>
      <c r="AL49" s="755"/>
      <c r="AM49" s="755"/>
      <c r="AN49" s="755"/>
      <c r="AO49" s="755"/>
      <c r="AP49" s="755"/>
      <c r="AQ49" s="755"/>
      <c r="AR49" s="755"/>
      <c r="AS49" s="755"/>
      <c r="AT49" s="755"/>
      <c r="AU49" s="755"/>
      <c r="AV49" s="755"/>
    </row>
    <row r="50" spans="1:48" ht="30" customHeight="1" x14ac:dyDescent="0.2">
      <c r="A50" s="749">
        <f>+A48+1</f>
        <v>5</v>
      </c>
      <c r="B50" s="820"/>
      <c r="C50" s="38" t="s">
        <v>79</v>
      </c>
      <c r="D50" s="38"/>
      <c r="F50" s="48"/>
    </row>
    <row r="51" spans="1:48" ht="40.5" customHeight="1" x14ac:dyDescent="0.2">
      <c r="C51" s="793" t="s">
        <v>2522</v>
      </c>
      <c r="D51" s="793"/>
      <c r="E51" s="793"/>
      <c r="F51" s="793"/>
      <c r="G51" s="793"/>
      <c r="H51" s="793"/>
      <c r="I51" s="793"/>
      <c r="J51" s="793"/>
      <c r="K51" s="793"/>
      <c r="L51" s="793"/>
      <c r="M51" s="793"/>
      <c r="N51" s="793"/>
      <c r="O51" s="793"/>
      <c r="P51" s="793"/>
      <c r="Q51" s="793"/>
      <c r="R51" s="793"/>
      <c r="S51" s="793"/>
      <c r="T51" s="793"/>
      <c r="U51" s="746"/>
      <c r="V51" s="746"/>
      <c r="W51" s="746"/>
      <c r="X51" s="746"/>
      <c r="Y51" s="746"/>
      <c r="Z51" s="746"/>
      <c r="AA51" s="746"/>
      <c r="AB51" s="746"/>
      <c r="AC51" s="746"/>
      <c r="AD51" s="746"/>
      <c r="AE51" s="746"/>
      <c r="AF51" s="746"/>
      <c r="AG51" s="746"/>
      <c r="AH51" s="746"/>
      <c r="AI51" s="746"/>
      <c r="AJ51" s="746"/>
      <c r="AK51" s="746"/>
      <c r="AL51" s="746"/>
      <c r="AM51" s="746"/>
      <c r="AN51" s="746"/>
      <c r="AO51" s="746"/>
      <c r="AP51" s="746"/>
      <c r="AQ51" s="746"/>
      <c r="AR51" s="746"/>
      <c r="AS51" s="746"/>
      <c r="AT51" s="746"/>
      <c r="AU51" s="746"/>
      <c r="AV51" s="746"/>
    </row>
    <row r="52" spans="1:48" ht="30" customHeight="1" x14ac:dyDescent="0.2">
      <c r="A52" s="749">
        <f>+A50+1</f>
        <v>6</v>
      </c>
      <c r="B52" s="820"/>
      <c r="C52" s="38" t="s">
        <v>114</v>
      </c>
      <c r="D52" s="38"/>
      <c r="F52" s="48"/>
    </row>
    <row r="53" spans="1:48" ht="18" customHeight="1" x14ac:dyDescent="0.2">
      <c r="C53" s="841"/>
      <c r="D53" s="842"/>
      <c r="E53" s="843"/>
      <c r="F53" s="843"/>
      <c r="G53" s="843"/>
      <c r="H53" s="843"/>
      <c r="I53" s="843"/>
      <c r="J53" s="843"/>
      <c r="K53" s="843"/>
      <c r="L53" s="843"/>
      <c r="M53" s="843"/>
      <c r="N53" s="843"/>
      <c r="O53" s="843"/>
      <c r="P53" s="843"/>
      <c r="Q53" s="843"/>
      <c r="R53" s="843"/>
      <c r="S53" s="843"/>
      <c r="T53" s="843"/>
      <c r="U53" s="768"/>
      <c r="V53" s="768"/>
      <c r="W53" s="768"/>
      <c r="X53" s="768"/>
      <c r="Y53" s="768"/>
      <c r="Z53" s="768"/>
      <c r="AA53" s="768"/>
      <c r="AB53" s="768"/>
      <c r="AC53" s="768"/>
      <c r="AD53" s="768"/>
      <c r="AE53" s="768"/>
      <c r="AF53" s="768"/>
      <c r="AG53" s="768"/>
      <c r="AH53" s="768"/>
      <c r="AI53" s="768"/>
      <c r="AJ53" s="768"/>
      <c r="AK53" s="768"/>
      <c r="AL53" s="768"/>
      <c r="AM53" s="768"/>
      <c r="AN53" s="768"/>
      <c r="AO53" s="768"/>
      <c r="AP53" s="768"/>
      <c r="AQ53" s="768"/>
      <c r="AR53" s="768"/>
      <c r="AS53" s="768"/>
      <c r="AT53" s="768"/>
      <c r="AU53" s="768"/>
      <c r="AV53" s="768"/>
    </row>
    <row r="54" spans="1:48" s="90" customFormat="1" ht="16.5" customHeight="1" x14ac:dyDescent="0.2">
      <c r="C54" s="833" t="s">
        <v>208</v>
      </c>
      <c r="D54" s="834"/>
      <c r="E54" s="834"/>
      <c r="F54" s="834"/>
      <c r="G54" s="834"/>
      <c r="H54" s="834"/>
      <c r="I54" s="834"/>
      <c r="J54" s="834"/>
      <c r="K54" s="834"/>
      <c r="L54" s="834"/>
      <c r="M54" s="834"/>
      <c r="N54" s="834"/>
      <c r="O54" s="834"/>
      <c r="P54" s="834"/>
      <c r="Q54" s="834"/>
      <c r="R54" s="834"/>
      <c r="S54" s="834"/>
      <c r="T54" s="834"/>
      <c r="U54" s="743"/>
      <c r="V54" s="743"/>
      <c r="W54" s="743"/>
      <c r="X54" s="743"/>
      <c r="Y54" s="743"/>
      <c r="Z54" s="743"/>
      <c r="AA54" s="743"/>
      <c r="AB54" s="743"/>
      <c r="AC54" s="743"/>
      <c r="AD54" s="743"/>
      <c r="AE54" s="743"/>
      <c r="AF54" s="743"/>
      <c r="AG54" s="743"/>
      <c r="AH54" s="743"/>
      <c r="AI54" s="743"/>
      <c r="AJ54" s="743"/>
      <c r="AK54" s="743"/>
      <c r="AL54" s="743"/>
      <c r="AM54" s="743"/>
      <c r="AN54" s="743"/>
      <c r="AO54" s="743"/>
      <c r="AP54" s="743"/>
      <c r="AQ54" s="743"/>
      <c r="AR54" s="743"/>
      <c r="AS54" s="743"/>
      <c r="AT54" s="743"/>
      <c r="AU54" s="743"/>
      <c r="AV54" s="743"/>
    </row>
    <row r="55" spans="1:48" s="90" customFormat="1" ht="3" customHeight="1" x14ac:dyDescent="0.2">
      <c r="C55" s="452"/>
      <c r="D55" s="322"/>
      <c r="E55" s="322"/>
      <c r="F55" s="322"/>
      <c r="G55" s="322"/>
      <c r="H55" s="322"/>
      <c r="I55" s="322"/>
      <c r="J55" s="322"/>
      <c r="K55" s="322"/>
      <c r="L55" s="322"/>
      <c r="M55" s="322"/>
      <c r="N55" s="322"/>
      <c r="O55" s="322"/>
      <c r="P55" s="322"/>
      <c r="Q55" s="322"/>
      <c r="R55" s="322"/>
      <c r="S55" s="322"/>
      <c r="T55" s="322"/>
    </row>
    <row r="56" spans="1:48" s="90" customFormat="1" ht="16.5" customHeight="1" x14ac:dyDescent="0.2">
      <c r="C56" s="1035" t="s">
        <v>2517</v>
      </c>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5"/>
      <c r="AJ56" s="944" t="s">
        <v>2518</v>
      </c>
      <c r="AK56" s="944"/>
      <c r="AL56" s="944"/>
      <c r="AM56" s="944"/>
      <c r="AN56" s="944"/>
      <c r="AO56" s="944"/>
      <c r="AP56" s="944"/>
      <c r="AQ56" s="944"/>
      <c r="AR56" s="944"/>
      <c r="AS56" s="944"/>
      <c r="AT56" s="944"/>
      <c r="AU56" s="944"/>
      <c r="AV56" s="945"/>
    </row>
    <row r="57" spans="1:48" s="90" customFormat="1" ht="16.5" customHeight="1" x14ac:dyDescent="0.2">
      <c r="C57" s="1036"/>
      <c r="D57" s="946"/>
      <c r="E57" s="946"/>
      <c r="F57" s="946"/>
      <c r="G57" s="946"/>
      <c r="H57" s="946"/>
      <c r="I57" s="946"/>
      <c r="J57" s="946"/>
      <c r="K57" s="946"/>
      <c r="L57" s="946"/>
      <c r="M57" s="946"/>
      <c r="N57" s="946"/>
      <c r="O57" s="946"/>
      <c r="P57" s="946"/>
      <c r="Q57" s="946"/>
      <c r="R57" s="946"/>
      <c r="S57" s="946"/>
      <c r="T57" s="946"/>
      <c r="U57" s="946"/>
      <c r="V57" s="946"/>
      <c r="W57" s="946"/>
      <c r="X57" s="946"/>
      <c r="Y57" s="946"/>
      <c r="Z57" s="946"/>
      <c r="AA57" s="946"/>
      <c r="AB57" s="946"/>
      <c r="AC57" s="946"/>
      <c r="AD57" s="946"/>
      <c r="AE57" s="946"/>
      <c r="AF57" s="946"/>
      <c r="AG57" s="946"/>
      <c r="AH57" s="946"/>
      <c r="AI57" s="947"/>
      <c r="AJ57" s="946"/>
      <c r="AK57" s="946"/>
      <c r="AL57" s="946"/>
      <c r="AM57" s="946"/>
      <c r="AN57" s="946"/>
      <c r="AO57" s="946"/>
      <c r="AP57" s="946"/>
      <c r="AQ57" s="946"/>
      <c r="AR57" s="946"/>
      <c r="AS57" s="946"/>
      <c r="AT57" s="946"/>
      <c r="AU57" s="946"/>
      <c r="AV57" s="947"/>
    </row>
    <row r="58" spans="1:48" s="90" customFormat="1" ht="16.5" customHeight="1" x14ac:dyDescent="0.2">
      <c r="C58" s="1036"/>
      <c r="D58" s="946"/>
      <c r="E58" s="946"/>
      <c r="F58" s="946"/>
      <c r="G58" s="946"/>
      <c r="H58" s="946"/>
      <c r="I58" s="946"/>
      <c r="J58" s="946"/>
      <c r="K58" s="946"/>
      <c r="L58" s="946"/>
      <c r="M58" s="946"/>
      <c r="N58" s="946"/>
      <c r="O58" s="946"/>
      <c r="P58" s="946"/>
      <c r="Q58" s="946"/>
      <c r="R58" s="946"/>
      <c r="S58" s="946"/>
      <c r="T58" s="946"/>
      <c r="U58" s="946"/>
      <c r="V58" s="946"/>
      <c r="W58" s="946"/>
      <c r="X58" s="946"/>
      <c r="Y58" s="946"/>
      <c r="Z58" s="946"/>
      <c r="AA58" s="946"/>
      <c r="AB58" s="946"/>
      <c r="AC58" s="946"/>
      <c r="AD58" s="946"/>
      <c r="AE58" s="946"/>
      <c r="AF58" s="946"/>
      <c r="AG58" s="946"/>
      <c r="AH58" s="946"/>
      <c r="AI58" s="947"/>
      <c r="AJ58" s="946"/>
      <c r="AK58" s="946"/>
      <c r="AL58" s="946"/>
      <c r="AM58" s="946"/>
      <c r="AN58" s="946"/>
      <c r="AO58" s="946"/>
      <c r="AP58" s="946"/>
      <c r="AQ58" s="946"/>
      <c r="AR58" s="946"/>
      <c r="AS58" s="946"/>
      <c r="AT58" s="946"/>
      <c r="AU58" s="946"/>
      <c r="AV58" s="947"/>
    </row>
    <row r="59" spans="1:48" s="90" customFormat="1" ht="16.5" customHeight="1" x14ac:dyDescent="0.2">
      <c r="C59" s="1036"/>
      <c r="D59" s="946"/>
      <c r="E59" s="946"/>
      <c r="F59" s="946"/>
      <c r="G59" s="946"/>
      <c r="H59" s="946"/>
      <c r="I59" s="946"/>
      <c r="J59" s="946"/>
      <c r="K59" s="946"/>
      <c r="L59" s="946"/>
      <c r="M59" s="946"/>
      <c r="N59" s="946"/>
      <c r="O59" s="946"/>
      <c r="P59" s="946"/>
      <c r="Q59" s="946"/>
      <c r="R59" s="946"/>
      <c r="S59" s="946"/>
      <c r="T59" s="946"/>
      <c r="U59" s="946"/>
      <c r="V59" s="946"/>
      <c r="W59" s="946"/>
      <c r="X59" s="946"/>
      <c r="Y59" s="946"/>
      <c r="Z59" s="946"/>
      <c r="AA59" s="946"/>
      <c r="AB59" s="946"/>
      <c r="AC59" s="946"/>
      <c r="AD59" s="946"/>
      <c r="AE59" s="946"/>
      <c r="AF59" s="946"/>
      <c r="AG59" s="946"/>
      <c r="AH59" s="946"/>
      <c r="AI59" s="947"/>
      <c r="AJ59" s="946"/>
      <c r="AK59" s="946"/>
      <c r="AL59" s="946"/>
      <c r="AM59" s="946"/>
      <c r="AN59" s="946"/>
      <c r="AO59" s="946"/>
      <c r="AP59" s="946"/>
      <c r="AQ59" s="946"/>
      <c r="AR59" s="946"/>
      <c r="AS59" s="946"/>
      <c r="AT59" s="946"/>
      <c r="AU59" s="946"/>
      <c r="AV59" s="947"/>
    </row>
    <row r="60" spans="1:48" s="90" customFormat="1" ht="16.5" customHeight="1" x14ac:dyDescent="0.2">
      <c r="C60" s="1036"/>
      <c r="D60" s="946"/>
      <c r="E60" s="946"/>
      <c r="F60" s="946"/>
      <c r="G60" s="946"/>
      <c r="H60" s="946"/>
      <c r="I60" s="946"/>
      <c r="J60" s="946"/>
      <c r="K60" s="946"/>
      <c r="L60" s="946"/>
      <c r="M60" s="946"/>
      <c r="N60" s="946"/>
      <c r="O60" s="946"/>
      <c r="P60" s="946"/>
      <c r="Q60" s="946"/>
      <c r="R60" s="946"/>
      <c r="S60" s="946"/>
      <c r="T60" s="946"/>
      <c r="U60" s="946"/>
      <c r="V60" s="946"/>
      <c r="W60" s="946"/>
      <c r="X60" s="946"/>
      <c r="Y60" s="946"/>
      <c r="Z60" s="946"/>
      <c r="AA60" s="946"/>
      <c r="AB60" s="946"/>
      <c r="AC60" s="946"/>
      <c r="AD60" s="946"/>
      <c r="AE60" s="946"/>
      <c r="AF60" s="946"/>
      <c r="AG60" s="946"/>
      <c r="AH60" s="946"/>
      <c r="AI60" s="947"/>
      <c r="AJ60" s="946"/>
      <c r="AK60" s="946"/>
      <c r="AL60" s="946"/>
      <c r="AM60" s="946"/>
      <c r="AN60" s="946"/>
      <c r="AO60" s="946"/>
      <c r="AP60" s="946"/>
      <c r="AQ60" s="946"/>
      <c r="AR60" s="946"/>
      <c r="AS60" s="946"/>
      <c r="AT60" s="946"/>
      <c r="AU60" s="946"/>
      <c r="AV60" s="947"/>
    </row>
    <row r="61" spans="1:48" s="90" customFormat="1" ht="16.5" customHeight="1" x14ac:dyDescent="0.2">
      <c r="C61" s="1036"/>
      <c r="D61" s="946"/>
      <c r="E61" s="946"/>
      <c r="F61" s="946"/>
      <c r="G61" s="946"/>
      <c r="H61" s="946"/>
      <c r="I61" s="946"/>
      <c r="J61" s="946"/>
      <c r="K61" s="946"/>
      <c r="L61" s="946"/>
      <c r="M61" s="946"/>
      <c r="N61" s="946"/>
      <c r="O61" s="946"/>
      <c r="P61" s="946"/>
      <c r="Q61" s="946"/>
      <c r="R61" s="946"/>
      <c r="S61" s="946"/>
      <c r="T61" s="946"/>
      <c r="U61" s="946"/>
      <c r="V61" s="946"/>
      <c r="W61" s="946"/>
      <c r="X61" s="946"/>
      <c r="Y61" s="946"/>
      <c r="Z61" s="946"/>
      <c r="AA61" s="946"/>
      <c r="AB61" s="946"/>
      <c r="AC61" s="946"/>
      <c r="AD61" s="946"/>
      <c r="AE61" s="946"/>
      <c r="AF61" s="946"/>
      <c r="AG61" s="946"/>
      <c r="AH61" s="946"/>
      <c r="AI61" s="947"/>
      <c r="AJ61" s="946"/>
      <c r="AK61" s="946"/>
      <c r="AL61" s="946"/>
      <c r="AM61" s="946"/>
      <c r="AN61" s="946"/>
      <c r="AO61" s="946"/>
      <c r="AP61" s="946"/>
      <c r="AQ61" s="946"/>
      <c r="AR61" s="946"/>
      <c r="AS61" s="946"/>
      <c r="AT61" s="946"/>
      <c r="AU61" s="946"/>
      <c r="AV61" s="947"/>
    </row>
    <row r="62" spans="1:48" s="90" customFormat="1" ht="16.5" customHeight="1" x14ac:dyDescent="0.2">
      <c r="C62" s="1036"/>
      <c r="D62" s="946"/>
      <c r="E62" s="946"/>
      <c r="F62" s="946"/>
      <c r="G62" s="946"/>
      <c r="H62" s="946"/>
      <c r="I62" s="946"/>
      <c r="J62" s="946"/>
      <c r="K62" s="946"/>
      <c r="L62" s="946"/>
      <c r="M62" s="946"/>
      <c r="N62" s="946"/>
      <c r="O62" s="946"/>
      <c r="P62" s="946"/>
      <c r="Q62" s="946"/>
      <c r="R62" s="946"/>
      <c r="S62" s="946"/>
      <c r="T62" s="946"/>
      <c r="U62" s="946"/>
      <c r="V62" s="946"/>
      <c r="W62" s="946"/>
      <c r="X62" s="946"/>
      <c r="Y62" s="946"/>
      <c r="Z62" s="946"/>
      <c r="AA62" s="946"/>
      <c r="AB62" s="946"/>
      <c r="AC62" s="946"/>
      <c r="AD62" s="946"/>
      <c r="AE62" s="946"/>
      <c r="AF62" s="946"/>
      <c r="AG62" s="946"/>
      <c r="AH62" s="946"/>
      <c r="AI62" s="947"/>
      <c r="AJ62" s="946"/>
      <c r="AK62" s="946"/>
      <c r="AL62" s="946"/>
      <c r="AM62" s="946"/>
      <c r="AN62" s="946"/>
      <c r="AO62" s="946"/>
      <c r="AP62" s="946"/>
      <c r="AQ62" s="946"/>
      <c r="AR62" s="946"/>
      <c r="AS62" s="946"/>
      <c r="AT62" s="946"/>
      <c r="AU62" s="946"/>
      <c r="AV62" s="947"/>
    </row>
    <row r="63" spans="1:48" s="90" customFormat="1" ht="16.5" customHeight="1" x14ac:dyDescent="0.2">
      <c r="C63" s="1036"/>
      <c r="D63" s="946"/>
      <c r="E63" s="946"/>
      <c r="F63" s="946"/>
      <c r="G63" s="946"/>
      <c r="H63" s="946"/>
      <c r="I63" s="946"/>
      <c r="J63" s="946"/>
      <c r="K63" s="946"/>
      <c r="L63" s="946"/>
      <c r="M63" s="946"/>
      <c r="N63" s="946"/>
      <c r="O63" s="946"/>
      <c r="P63" s="946"/>
      <c r="Q63" s="946"/>
      <c r="R63" s="946"/>
      <c r="S63" s="946"/>
      <c r="T63" s="946"/>
      <c r="U63" s="946"/>
      <c r="V63" s="946"/>
      <c r="W63" s="946"/>
      <c r="X63" s="946"/>
      <c r="Y63" s="946"/>
      <c r="Z63" s="946"/>
      <c r="AA63" s="946"/>
      <c r="AB63" s="946"/>
      <c r="AC63" s="946"/>
      <c r="AD63" s="946"/>
      <c r="AE63" s="946"/>
      <c r="AF63" s="946"/>
      <c r="AG63" s="946"/>
      <c r="AH63" s="946"/>
      <c r="AI63" s="947"/>
      <c r="AJ63" s="946"/>
      <c r="AK63" s="946"/>
      <c r="AL63" s="946"/>
      <c r="AM63" s="946"/>
      <c r="AN63" s="946"/>
      <c r="AO63" s="946"/>
      <c r="AP63" s="946"/>
      <c r="AQ63" s="946"/>
      <c r="AR63" s="946"/>
      <c r="AS63" s="946"/>
      <c r="AT63" s="946"/>
      <c r="AU63" s="946"/>
      <c r="AV63" s="947"/>
    </row>
    <row r="64" spans="1:48" s="90" customFormat="1" ht="16.5" customHeight="1" x14ac:dyDescent="0.2">
      <c r="C64" s="1036"/>
      <c r="D64" s="946"/>
      <c r="E64" s="946"/>
      <c r="F64" s="946"/>
      <c r="G64" s="946"/>
      <c r="H64" s="946"/>
      <c r="I64" s="946"/>
      <c r="J64" s="946"/>
      <c r="K64" s="946"/>
      <c r="L64" s="946"/>
      <c r="M64" s="946"/>
      <c r="N64" s="946"/>
      <c r="O64" s="946"/>
      <c r="P64" s="946"/>
      <c r="Q64" s="946"/>
      <c r="R64" s="946"/>
      <c r="S64" s="946"/>
      <c r="T64" s="946"/>
      <c r="U64" s="946"/>
      <c r="V64" s="946"/>
      <c r="W64" s="946"/>
      <c r="X64" s="946"/>
      <c r="Y64" s="946"/>
      <c r="Z64" s="946"/>
      <c r="AA64" s="946"/>
      <c r="AB64" s="946"/>
      <c r="AC64" s="946"/>
      <c r="AD64" s="946"/>
      <c r="AE64" s="946"/>
      <c r="AF64" s="946"/>
      <c r="AG64" s="946"/>
      <c r="AH64" s="946"/>
      <c r="AI64" s="947"/>
      <c r="AJ64" s="946"/>
      <c r="AK64" s="946"/>
      <c r="AL64" s="946"/>
      <c r="AM64" s="946"/>
      <c r="AN64" s="946"/>
      <c r="AO64" s="946"/>
      <c r="AP64" s="946"/>
      <c r="AQ64" s="946"/>
      <c r="AR64" s="946"/>
      <c r="AS64" s="946"/>
      <c r="AT64" s="946"/>
      <c r="AU64" s="946"/>
      <c r="AV64" s="947"/>
    </row>
    <row r="65" spans="1:48" s="90" customFormat="1" ht="16.5" customHeight="1" x14ac:dyDescent="0.2">
      <c r="C65" s="1036"/>
      <c r="D65" s="946"/>
      <c r="E65" s="946"/>
      <c r="F65" s="946"/>
      <c r="G65" s="946"/>
      <c r="H65" s="946"/>
      <c r="I65" s="946"/>
      <c r="J65" s="946"/>
      <c r="K65" s="946"/>
      <c r="L65" s="946"/>
      <c r="M65" s="946"/>
      <c r="N65" s="946"/>
      <c r="O65" s="946"/>
      <c r="P65" s="946"/>
      <c r="Q65" s="946"/>
      <c r="R65" s="946"/>
      <c r="S65" s="946"/>
      <c r="T65" s="946"/>
      <c r="U65" s="946"/>
      <c r="V65" s="946"/>
      <c r="W65" s="946"/>
      <c r="X65" s="946"/>
      <c r="Y65" s="946"/>
      <c r="Z65" s="946"/>
      <c r="AA65" s="946"/>
      <c r="AB65" s="946"/>
      <c r="AC65" s="946"/>
      <c r="AD65" s="946"/>
      <c r="AE65" s="946"/>
      <c r="AF65" s="946"/>
      <c r="AG65" s="946"/>
      <c r="AH65" s="946"/>
      <c r="AI65" s="947"/>
      <c r="AJ65" s="946"/>
      <c r="AK65" s="946"/>
      <c r="AL65" s="946"/>
      <c r="AM65" s="946"/>
      <c r="AN65" s="946"/>
      <c r="AO65" s="946"/>
      <c r="AP65" s="946"/>
      <c r="AQ65" s="946"/>
      <c r="AR65" s="946"/>
      <c r="AS65" s="946"/>
      <c r="AT65" s="946"/>
      <c r="AU65" s="946"/>
      <c r="AV65" s="947"/>
    </row>
    <row r="66" spans="1:48" s="90" customFormat="1" ht="16.5" customHeight="1" x14ac:dyDescent="0.2">
      <c r="C66" s="1036"/>
      <c r="D66" s="946"/>
      <c r="E66" s="946"/>
      <c r="F66" s="946"/>
      <c r="G66" s="946"/>
      <c r="H66" s="946"/>
      <c r="I66" s="946"/>
      <c r="J66" s="946"/>
      <c r="K66" s="946"/>
      <c r="L66" s="946"/>
      <c r="M66" s="946"/>
      <c r="N66" s="946"/>
      <c r="O66" s="946"/>
      <c r="P66" s="946"/>
      <c r="Q66" s="946"/>
      <c r="R66" s="946"/>
      <c r="S66" s="946"/>
      <c r="T66" s="946"/>
      <c r="U66" s="946"/>
      <c r="V66" s="946"/>
      <c r="W66" s="946"/>
      <c r="X66" s="946"/>
      <c r="Y66" s="946"/>
      <c r="Z66" s="946"/>
      <c r="AA66" s="946"/>
      <c r="AB66" s="946"/>
      <c r="AC66" s="946"/>
      <c r="AD66" s="946"/>
      <c r="AE66" s="946"/>
      <c r="AF66" s="946"/>
      <c r="AG66" s="946"/>
      <c r="AH66" s="946"/>
      <c r="AI66" s="947"/>
      <c r="AJ66" s="946"/>
      <c r="AK66" s="946"/>
      <c r="AL66" s="946"/>
      <c r="AM66" s="946"/>
      <c r="AN66" s="946"/>
      <c r="AO66" s="946"/>
      <c r="AP66" s="946"/>
      <c r="AQ66" s="946"/>
      <c r="AR66" s="946"/>
      <c r="AS66" s="946"/>
      <c r="AT66" s="946"/>
      <c r="AU66" s="946"/>
      <c r="AV66" s="947"/>
    </row>
    <row r="67" spans="1:48" s="90" customFormat="1" ht="16.5" customHeight="1" x14ac:dyDescent="0.2">
      <c r="C67" s="1037"/>
      <c r="D67" s="948"/>
      <c r="E67" s="948"/>
      <c r="F67" s="948"/>
      <c r="G67" s="948"/>
      <c r="H67" s="948"/>
      <c r="I67" s="948"/>
      <c r="J67" s="948"/>
      <c r="K67" s="948"/>
      <c r="L67" s="948"/>
      <c r="M67" s="948"/>
      <c r="N67" s="948"/>
      <c r="O67" s="948"/>
      <c r="P67" s="948"/>
      <c r="Q67" s="948"/>
      <c r="R67" s="948"/>
      <c r="S67" s="948"/>
      <c r="T67" s="948"/>
      <c r="U67" s="948"/>
      <c r="V67" s="948"/>
      <c r="W67" s="948"/>
      <c r="X67" s="948"/>
      <c r="Y67" s="948"/>
      <c r="Z67" s="948"/>
      <c r="AA67" s="948"/>
      <c r="AB67" s="948"/>
      <c r="AC67" s="948"/>
      <c r="AD67" s="948"/>
      <c r="AE67" s="948"/>
      <c r="AF67" s="948"/>
      <c r="AG67" s="948"/>
      <c r="AH67" s="948"/>
      <c r="AI67" s="949"/>
      <c r="AJ67" s="948"/>
      <c r="AK67" s="948"/>
      <c r="AL67" s="948"/>
      <c r="AM67" s="948"/>
      <c r="AN67" s="948"/>
      <c r="AO67" s="948"/>
      <c r="AP67" s="948"/>
      <c r="AQ67" s="948"/>
      <c r="AR67" s="948"/>
      <c r="AS67" s="948"/>
      <c r="AT67" s="948"/>
      <c r="AU67" s="948"/>
      <c r="AV67" s="949"/>
    </row>
    <row r="68" spans="1:48" ht="30" customHeight="1" x14ac:dyDescent="0.2">
      <c r="A68" s="749">
        <f>+A52+1</f>
        <v>7</v>
      </c>
      <c r="B68" s="820"/>
      <c r="C68" s="38" t="s">
        <v>110</v>
      </c>
      <c r="D68" s="38"/>
      <c r="F68" s="48"/>
    </row>
    <row r="69" spans="1:48" ht="51.75" customHeight="1" x14ac:dyDescent="0.2">
      <c r="C69" s="838"/>
      <c r="D69" s="839"/>
      <c r="E69" s="839"/>
      <c r="F69" s="839"/>
      <c r="G69" s="839"/>
      <c r="H69" s="839"/>
      <c r="I69" s="839"/>
      <c r="J69" s="839"/>
      <c r="K69" s="839"/>
      <c r="L69" s="839"/>
      <c r="M69" s="839"/>
      <c r="N69" s="839"/>
      <c r="O69" s="839"/>
      <c r="P69" s="839"/>
      <c r="Q69" s="839"/>
      <c r="R69" s="839"/>
      <c r="S69" s="839"/>
      <c r="T69" s="839"/>
      <c r="U69" s="840"/>
      <c r="V69" s="840"/>
      <c r="W69" s="840"/>
      <c r="X69" s="840"/>
      <c r="Y69" s="840"/>
      <c r="Z69" s="840"/>
      <c r="AA69" s="840"/>
      <c r="AB69" s="840"/>
      <c r="AC69" s="840"/>
      <c r="AD69" s="840"/>
      <c r="AE69" s="840"/>
      <c r="AF69" s="840"/>
      <c r="AG69" s="840"/>
      <c r="AH69" s="840"/>
      <c r="AI69" s="840"/>
      <c r="AJ69" s="840"/>
      <c r="AK69" s="840"/>
      <c r="AL69" s="840"/>
      <c r="AM69" s="840"/>
      <c r="AN69" s="840"/>
      <c r="AO69" s="840"/>
      <c r="AP69" s="840"/>
      <c r="AQ69" s="840"/>
      <c r="AR69" s="840"/>
      <c r="AS69" s="840"/>
      <c r="AT69" s="840"/>
      <c r="AU69" s="840"/>
      <c r="AV69" s="840"/>
    </row>
    <row r="70" spans="1:48" ht="24.75" customHeight="1" x14ac:dyDescent="0.2">
      <c r="A70" s="749">
        <f>+A68+1</f>
        <v>8</v>
      </c>
      <c r="B70" s="820"/>
      <c r="C70" s="38" t="s">
        <v>82</v>
      </c>
      <c r="D70" s="38"/>
      <c r="F70" s="48"/>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row>
    <row r="71" spans="1:48" ht="22.5" customHeight="1" x14ac:dyDescent="0.2">
      <c r="C71" s="838"/>
      <c r="D71" s="839"/>
      <c r="E71" s="839"/>
      <c r="F71" s="839"/>
      <c r="G71" s="839"/>
      <c r="H71" s="839"/>
      <c r="I71" s="839"/>
      <c r="J71" s="839"/>
      <c r="K71" s="839"/>
      <c r="L71" s="839"/>
      <c r="M71" s="839"/>
      <c r="N71" s="839"/>
      <c r="O71" s="839"/>
      <c r="P71" s="839"/>
      <c r="Q71" s="839"/>
      <c r="R71" s="839"/>
      <c r="S71" s="839"/>
      <c r="T71" s="839"/>
      <c r="U71" s="840"/>
      <c r="V71" s="840"/>
      <c r="W71" s="840"/>
      <c r="X71" s="840"/>
      <c r="Y71" s="840"/>
      <c r="Z71" s="840"/>
      <c r="AA71" s="840"/>
      <c r="AB71" s="840"/>
      <c r="AC71" s="840"/>
      <c r="AD71" s="840"/>
      <c r="AE71" s="840"/>
      <c r="AF71" s="840"/>
      <c r="AG71" s="840"/>
      <c r="AH71" s="840"/>
      <c r="AI71" s="840"/>
      <c r="AJ71" s="840"/>
      <c r="AK71" s="840"/>
      <c r="AL71" s="840"/>
      <c r="AM71" s="840"/>
      <c r="AN71" s="840"/>
      <c r="AO71" s="840"/>
      <c r="AP71" s="840"/>
      <c r="AQ71" s="840"/>
      <c r="AR71" s="840"/>
      <c r="AS71" s="840"/>
      <c r="AT71" s="840"/>
      <c r="AU71" s="840"/>
      <c r="AV71" s="840"/>
    </row>
    <row r="72" spans="1:48" ht="24" customHeight="1" x14ac:dyDescent="0.2">
      <c r="A72" s="749">
        <f>+A70+1</f>
        <v>9</v>
      </c>
      <c r="B72" s="820"/>
      <c r="C72" s="38" t="s">
        <v>88</v>
      </c>
      <c r="D72" s="52"/>
      <c r="F72" s="48"/>
      <c r="O72" s="90"/>
      <c r="P72" s="90" t="s">
        <v>2502</v>
      </c>
    </row>
    <row r="73" spans="1:48" ht="4.5" customHeight="1" x14ac:dyDescent="0.2">
      <c r="A73" s="43"/>
      <c r="B73" s="44"/>
      <c r="C73" s="38"/>
      <c r="D73" s="52"/>
      <c r="F73" s="48"/>
    </row>
    <row r="74" spans="1:48" ht="24" customHeight="1" x14ac:dyDescent="0.25">
      <c r="A74" s="43"/>
      <c r="B74" s="44"/>
      <c r="C74" s="835" t="s">
        <v>104</v>
      </c>
      <c r="D74" s="836"/>
      <c r="E74" s="836"/>
      <c r="F74" s="836"/>
      <c r="G74" s="836"/>
      <c r="H74" s="836"/>
      <c r="I74" s="836"/>
      <c r="J74" s="836"/>
      <c r="K74" s="836"/>
      <c r="L74" s="836"/>
      <c r="M74" s="836"/>
      <c r="N74" s="836"/>
      <c r="O74" s="836"/>
      <c r="P74" s="836"/>
      <c r="Q74" s="836"/>
      <c r="R74" s="836"/>
      <c r="S74" s="836"/>
      <c r="T74" s="836"/>
      <c r="U74" s="836"/>
      <c r="V74" s="835" t="s">
        <v>2297</v>
      </c>
      <c r="W74" s="836"/>
      <c r="X74" s="836"/>
      <c r="Y74" s="836"/>
      <c r="Z74" s="836"/>
      <c r="AA74" s="836"/>
      <c r="AB74" s="836"/>
      <c r="AC74" s="837"/>
      <c r="AD74" s="835" t="s">
        <v>105</v>
      </c>
      <c r="AE74" s="836"/>
      <c r="AF74" s="836"/>
      <c r="AG74" s="836"/>
      <c r="AH74" s="836"/>
      <c r="AI74" s="836"/>
      <c r="AJ74" s="836"/>
      <c r="AK74" s="837"/>
      <c r="AL74" s="255"/>
      <c r="AM74" s="255"/>
      <c r="AN74" s="255"/>
      <c r="AO74" s="255"/>
      <c r="AP74" s="255"/>
      <c r="AQ74" s="255"/>
      <c r="AR74" s="255"/>
      <c r="AS74" s="255"/>
      <c r="AT74" s="255"/>
      <c r="AU74" s="255"/>
      <c r="AV74" s="255"/>
    </row>
    <row r="75" spans="1:48" s="19" customFormat="1" ht="20.25" customHeight="1" x14ac:dyDescent="0.2">
      <c r="A75" s="459"/>
      <c r="B75" s="31"/>
      <c r="C75" s="460" t="s">
        <v>103</v>
      </c>
      <c r="D75" s="827" t="s">
        <v>2499</v>
      </c>
      <c r="E75" s="827"/>
      <c r="F75" s="827"/>
      <c r="G75" s="827"/>
      <c r="H75" s="827"/>
      <c r="I75" s="827"/>
      <c r="J75" s="827"/>
      <c r="K75" s="827"/>
      <c r="L75" s="827"/>
      <c r="M75" s="827"/>
      <c r="N75" s="827"/>
      <c r="O75" s="827"/>
      <c r="P75" s="827"/>
      <c r="Q75" s="827"/>
      <c r="R75" s="827"/>
      <c r="S75" s="827"/>
      <c r="T75" s="827"/>
      <c r="U75" s="827"/>
      <c r="V75" s="797"/>
      <c r="W75" s="798"/>
      <c r="X75" s="798"/>
      <c r="Y75" s="798"/>
      <c r="Z75" s="798"/>
      <c r="AA75" s="798"/>
      <c r="AB75" s="461" t="s">
        <v>9</v>
      </c>
      <c r="AC75" s="462"/>
      <c r="AD75" s="825"/>
      <c r="AE75" s="826"/>
      <c r="AF75" s="826"/>
      <c r="AG75" s="826"/>
      <c r="AH75" s="826"/>
      <c r="AI75" s="826"/>
      <c r="AJ75" s="463" t="s">
        <v>9</v>
      </c>
      <c r="AK75" s="464"/>
    </row>
    <row r="76" spans="1:48" s="50" customFormat="1" ht="18" customHeight="1" thickBot="1" x14ac:dyDescent="0.25">
      <c r="C76" s="256" t="s">
        <v>25</v>
      </c>
      <c r="D76" s="257"/>
      <c r="E76" s="257"/>
      <c r="F76" s="257"/>
      <c r="G76" s="257"/>
      <c r="H76" s="257" t="str">
        <f>+C72</f>
        <v>AREAS CONSTRUIDAS</v>
      </c>
      <c r="I76" s="257"/>
      <c r="J76" s="257"/>
      <c r="K76" s="257"/>
      <c r="L76" s="257"/>
      <c r="M76" s="257"/>
      <c r="N76" s="257"/>
      <c r="O76" s="257"/>
      <c r="P76" s="257"/>
      <c r="Q76" s="257"/>
      <c r="R76" s="257"/>
      <c r="S76" s="257"/>
      <c r="T76" s="257"/>
      <c r="U76" s="257"/>
      <c r="V76" s="860">
        <f>SUM(V75:AA75)</f>
        <v>0</v>
      </c>
      <c r="W76" s="861"/>
      <c r="X76" s="861"/>
      <c r="Y76" s="861"/>
      <c r="Z76" s="861"/>
      <c r="AA76" s="861"/>
      <c r="AB76" s="257" t="s">
        <v>9</v>
      </c>
      <c r="AC76" s="258"/>
      <c r="AD76" s="860">
        <f>SUM(AD75:AI75)</f>
        <v>0</v>
      </c>
      <c r="AE76" s="861"/>
      <c r="AF76" s="861"/>
      <c r="AG76" s="861"/>
      <c r="AH76" s="861"/>
      <c r="AI76" s="861"/>
      <c r="AJ76" s="257" t="s">
        <v>9</v>
      </c>
      <c r="AK76" s="258"/>
    </row>
    <row r="77" spans="1:48" s="19" customFormat="1" ht="15.75" customHeight="1" x14ac:dyDescent="0.2">
      <c r="A77" s="459"/>
      <c r="B77" s="31"/>
      <c r="C77" s="465" t="s">
        <v>2331</v>
      </c>
      <c r="D77" s="827" t="s">
        <v>2501</v>
      </c>
      <c r="E77" s="827"/>
      <c r="F77" s="827"/>
      <c r="G77" s="827"/>
      <c r="H77" s="827"/>
      <c r="I77" s="827"/>
      <c r="J77" s="827"/>
      <c r="K77" s="827"/>
      <c r="L77" s="827"/>
      <c r="M77" s="827"/>
      <c r="N77" s="827"/>
      <c r="O77" s="827"/>
      <c r="P77" s="827"/>
      <c r="Q77" s="827"/>
      <c r="R77" s="827"/>
      <c r="S77" s="827"/>
      <c r="T77" s="827"/>
      <c r="U77" s="827"/>
      <c r="V77" s="797"/>
      <c r="W77" s="798"/>
      <c r="X77" s="798"/>
      <c r="Y77" s="798"/>
      <c r="Z77" s="798"/>
      <c r="AA77" s="798"/>
      <c r="AB77" s="461" t="s">
        <v>9</v>
      </c>
      <c r="AC77" s="462"/>
      <c r="AD77" s="825"/>
      <c r="AE77" s="826"/>
      <c r="AF77" s="826"/>
      <c r="AG77" s="826"/>
      <c r="AH77" s="826"/>
      <c r="AI77" s="826"/>
      <c r="AJ77" s="463" t="s">
        <v>9</v>
      </c>
      <c r="AK77" s="464"/>
    </row>
    <row r="78" spans="1:48" s="19" customFormat="1" ht="15.75" customHeight="1" x14ac:dyDescent="0.2">
      <c r="A78" s="459"/>
      <c r="B78" s="31"/>
      <c r="C78" s="465" t="s">
        <v>2332</v>
      </c>
      <c r="D78" s="827" t="s">
        <v>2500</v>
      </c>
      <c r="E78" s="827"/>
      <c r="F78" s="827"/>
      <c r="G78" s="827"/>
      <c r="H78" s="827"/>
      <c r="I78" s="827"/>
      <c r="J78" s="827"/>
      <c r="K78" s="827"/>
      <c r="L78" s="827"/>
      <c r="M78" s="827"/>
      <c r="N78" s="827"/>
      <c r="O78" s="827"/>
      <c r="P78" s="827"/>
      <c r="Q78" s="827"/>
      <c r="R78" s="827"/>
      <c r="S78" s="827"/>
      <c r="T78" s="827"/>
      <c r="U78" s="827"/>
      <c r="V78" s="797"/>
      <c r="W78" s="798"/>
      <c r="X78" s="798"/>
      <c r="Y78" s="798"/>
      <c r="Z78" s="798"/>
      <c r="AA78" s="798"/>
      <c r="AB78" s="461" t="s">
        <v>9</v>
      </c>
      <c r="AC78" s="462"/>
      <c r="AD78" s="825"/>
      <c r="AE78" s="826"/>
      <c r="AF78" s="826"/>
      <c r="AG78" s="826"/>
      <c r="AH78" s="826"/>
      <c r="AI78" s="826"/>
      <c r="AJ78" s="463" t="s">
        <v>9</v>
      </c>
      <c r="AK78" s="464"/>
    </row>
    <row r="79" spans="1:48" ht="30" customHeight="1" x14ac:dyDescent="0.2">
      <c r="A79" s="749">
        <f>1+A72</f>
        <v>10</v>
      </c>
      <c r="B79" s="820"/>
      <c r="C79" s="38" t="s">
        <v>83</v>
      </c>
      <c r="D79" s="38"/>
    </row>
    <row r="80" spans="1:48" ht="5.25" customHeight="1" x14ac:dyDescent="0.2"/>
    <row r="81" spans="3:48" ht="37.5" customHeight="1" x14ac:dyDescent="0.2">
      <c r="C81" s="341"/>
      <c r="D81" s="342"/>
      <c r="E81" s="342"/>
      <c r="F81" s="342"/>
      <c r="G81" s="342"/>
      <c r="H81" s="342"/>
      <c r="I81" s="342"/>
      <c r="J81" s="342"/>
      <c r="K81" s="342"/>
      <c r="L81" s="342"/>
      <c r="M81" s="342"/>
      <c r="N81" s="342"/>
      <c r="O81" s="342"/>
      <c r="P81" s="342"/>
      <c r="Q81" s="342"/>
      <c r="R81" s="342"/>
      <c r="S81" s="342"/>
      <c r="T81" s="342"/>
      <c r="U81" s="342"/>
      <c r="V81" s="342"/>
      <c r="W81" s="342"/>
      <c r="X81" s="342"/>
      <c r="Y81" s="342"/>
      <c r="Z81" s="342"/>
      <c r="AA81" s="342"/>
      <c r="AB81" s="342"/>
      <c r="AC81" s="342"/>
      <c r="AD81" s="342"/>
      <c r="AE81" s="342"/>
      <c r="AF81" s="342"/>
      <c r="AG81" s="342"/>
      <c r="AH81" s="342"/>
      <c r="AI81" s="342"/>
      <c r="AJ81" s="342"/>
      <c r="AK81" s="342"/>
      <c r="AL81" s="343"/>
      <c r="AM81" s="862"/>
      <c r="AN81" s="863"/>
      <c r="AO81" s="863"/>
      <c r="AP81" s="863"/>
      <c r="AQ81" s="864"/>
      <c r="AR81" s="857" t="s">
        <v>98</v>
      </c>
      <c r="AS81" s="858"/>
      <c r="AT81" s="858"/>
      <c r="AU81" s="858"/>
      <c r="AV81" s="859"/>
    </row>
    <row r="82" spans="3:48" ht="14.25" customHeight="1" x14ac:dyDescent="0.2">
      <c r="C82" s="53" t="s">
        <v>2536</v>
      </c>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812"/>
      <c r="AN82" s="813"/>
      <c r="AO82" s="813"/>
      <c r="AP82" s="813"/>
      <c r="AQ82" s="814"/>
      <c r="AR82" s="769"/>
      <c r="AS82" s="769"/>
      <c r="AT82" s="769"/>
      <c r="AU82" s="769"/>
      <c r="AV82" s="770"/>
    </row>
    <row r="83" spans="3:48" ht="33.75" customHeight="1" x14ac:dyDescent="0.2">
      <c r="C83" s="799" t="s">
        <v>2503</v>
      </c>
      <c r="D83" s="800"/>
      <c r="E83" s="800"/>
      <c r="F83" s="800"/>
      <c r="G83" s="800"/>
      <c r="H83" s="800"/>
      <c r="I83" s="800"/>
      <c r="J83" s="800"/>
      <c r="K83" s="800"/>
      <c r="L83" s="800"/>
      <c r="M83" s="800"/>
      <c r="N83" s="800"/>
      <c r="O83" s="800"/>
      <c r="P83" s="800"/>
      <c r="Q83" s="800"/>
      <c r="R83" s="800"/>
      <c r="S83" s="800"/>
      <c r="T83" s="800"/>
      <c r="U83" s="800"/>
      <c r="V83" s="800"/>
      <c r="W83" s="800"/>
      <c r="X83" s="800"/>
      <c r="Y83" s="800"/>
      <c r="Z83" s="800"/>
      <c r="AA83" s="800"/>
      <c r="AB83" s="800"/>
      <c r="AC83" s="800"/>
      <c r="AD83" s="800"/>
      <c r="AE83" s="800"/>
      <c r="AF83" s="800"/>
      <c r="AG83" s="800"/>
      <c r="AH83" s="800"/>
      <c r="AI83" s="800"/>
      <c r="AJ83" s="800"/>
      <c r="AK83" s="800"/>
      <c r="AL83" s="801"/>
      <c r="AM83" s="815"/>
      <c r="AN83" s="816"/>
      <c r="AO83" s="816"/>
      <c r="AP83" s="816"/>
      <c r="AQ83" s="817"/>
      <c r="AR83" s="771"/>
      <c r="AS83" s="771"/>
      <c r="AT83" s="771"/>
      <c r="AU83" s="771"/>
      <c r="AV83" s="772"/>
    </row>
    <row r="84" spans="3:48" ht="14.25" customHeight="1" x14ac:dyDescent="0.2">
      <c r="C84" s="794" t="s">
        <v>34</v>
      </c>
      <c r="D84" s="795"/>
      <c r="E84" s="795"/>
      <c r="F84" s="795"/>
      <c r="G84" s="795"/>
      <c r="H84" s="795"/>
      <c r="I84" s="795"/>
      <c r="J84" s="795"/>
      <c r="K84" s="795"/>
      <c r="L84" s="795"/>
      <c r="M84" s="795"/>
      <c r="N84" s="795"/>
      <c r="O84" s="795"/>
      <c r="P84" s="795"/>
      <c r="Q84" s="795"/>
      <c r="R84" s="795"/>
      <c r="S84" s="795"/>
      <c r="T84" s="795"/>
      <c r="U84" s="795"/>
      <c r="V84" s="795"/>
      <c r="W84" s="795"/>
      <c r="X84" s="795"/>
      <c r="Y84" s="795"/>
      <c r="Z84" s="795"/>
      <c r="AA84" s="795"/>
      <c r="AB84" s="795"/>
      <c r="AC84" s="795"/>
      <c r="AD84" s="795"/>
      <c r="AE84" s="795"/>
      <c r="AF84" s="795"/>
      <c r="AG84" s="795"/>
      <c r="AH84" s="795"/>
      <c r="AI84" s="795"/>
      <c r="AJ84" s="795"/>
      <c r="AK84" s="795"/>
      <c r="AL84" s="796"/>
      <c r="AM84" s="812"/>
      <c r="AN84" s="813"/>
      <c r="AO84" s="813"/>
      <c r="AP84" s="813"/>
      <c r="AQ84" s="814"/>
      <c r="AR84" s="769"/>
      <c r="AS84" s="769"/>
      <c r="AT84" s="769"/>
      <c r="AU84" s="769"/>
      <c r="AV84" s="770"/>
    </row>
    <row r="85" spans="3:48" x14ac:dyDescent="0.2">
      <c r="C85" s="790"/>
      <c r="D85" s="791"/>
      <c r="E85" s="791"/>
      <c r="F85" s="791"/>
      <c r="G85" s="791"/>
      <c r="H85" s="791"/>
      <c r="I85" s="791"/>
      <c r="J85" s="791"/>
      <c r="K85" s="791"/>
      <c r="L85" s="791"/>
      <c r="M85" s="791"/>
      <c r="N85" s="791"/>
      <c r="O85" s="791"/>
      <c r="P85" s="791"/>
      <c r="Q85" s="791"/>
      <c r="R85" s="791"/>
      <c r="S85" s="791"/>
      <c r="T85" s="791"/>
      <c r="U85" s="791"/>
      <c r="V85" s="791"/>
      <c r="W85" s="791"/>
      <c r="X85" s="791"/>
      <c r="Y85" s="791"/>
      <c r="Z85" s="791"/>
      <c r="AA85" s="791"/>
      <c r="AB85" s="791"/>
      <c r="AC85" s="791"/>
      <c r="AD85" s="791"/>
      <c r="AE85" s="791"/>
      <c r="AF85" s="791"/>
      <c r="AG85" s="791"/>
      <c r="AH85" s="791"/>
      <c r="AI85" s="791"/>
      <c r="AJ85" s="791"/>
      <c r="AK85" s="791"/>
      <c r="AL85" s="792"/>
      <c r="AM85" s="815"/>
      <c r="AN85" s="816"/>
      <c r="AO85" s="816"/>
      <c r="AP85" s="816"/>
      <c r="AQ85" s="817"/>
      <c r="AR85" s="771"/>
      <c r="AS85" s="771"/>
      <c r="AT85" s="771"/>
      <c r="AU85" s="771"/>
      <c r="AV85" s="772"/>
    </row>
    <row r="86" spans="3:48" ht="14.25" customHeight="1" x14ac:dyDescent="0.2">
      <c r="C86" s="794" t="s">
        <v>35</v>
      </c>
      <c r="D86" s="795"/>
      <c r="E86" s="795"/>
      <c r="F86" s="795"/>
      <c r="G86" s="795"/>
      <c r="H86" s="795"/>
      <c r="I86" s="795"/>
      <c r="J86" s="795"/>
      <c r="K86" s="795"/>
      <c r="L86" s="795"/>
      <c r="M86" s="795"/>
      <c r="N86" s="795"/>
      <c r="O86" s="795"/>
      <c r="P86" s="795"/>
      <c r="Q86" s="795"/>
      <c r="R86" s="795"/>
      <c r="S86" s="795"/>
      <c r="T86" s="795"/>
      <c r="U86" s="795"/>
      <c r="V86" s="795"/>
      <c r="W86" s="795"/>
      <c r="X86" s="795"/>
      <c r="Y86" s="795"/>
      <c r="Z86" s="795"/>
      <c r="AA86" s="795"/>
      <c r="AB86" s="795"/>
      <c r="AC86" s="795"/>
      <c r="AD86" s="795"/>
      <c r="AE86" s="795"/>
      <c r="AF86" s="795"/>
      <c r="AG86" s="795"/>
      <c r="AH86" s="795"/>
      <c r="AI86" s="795"/>
      <c r="AJ86" s="795"/>
      <c r="AK86" s="795"/>
      <c r="AL86" s="796"/>
      <c r="AM86" s="805"/>
      <c r="AN86" s="769"/>
      <c r="AO86" s="769"/>
      <c r="AP86" s="769"/>
      <c r="AQ86" s="806"/>
      <c r="AR86" s="769"/>
      <c r="AS86" s="769"/>
      <c r="AT86" s="769"/>
      <c r="AU86" s="769"/>
      <c r="AV86" s="770"/>
    </row>
    <row r="87" spans="3:48" x14ac:dyDescent="0.2">
      <c r="C87" s="790"/>
      <c r="D87" s="791"/>
      <c r="E87" s="791"/>
      <c r="F87" s="791"/>
      <c r="G87" s="791"/>
      <c r="H87" s="791"/>
      <c r="I87" s="791"/>
      <c r="J87" s="791"/>
      <c r="K87" s="791"/>
      <c r="L87" s="791"/>
      <c r="M87" s="791"/>
      <c r="N87" s="791"/>
      <c r="O87" s="791"/>
      <c r="P87" s="791"/>
      <c r="Q87" s="791"/>
      <c r="R87" s="791"/>
      <c r="S87" s="791"/>
      <c r="T87" s="791"/>
      <c r="U87" s="791"/>
      <c r="V87" s="791"/>
      <c r="W87" s="791"/>
      <c r="X87" s="791"/>
      <c r="Y87" s="791"/>
      <c r="Z87" s="791"/>
      <c r="AA87" s="791"/>
      <c r="AB87" s="791"/>
      <c r="AC87" s="791"/>
      <c r="AD87" s="791"/>
      <c r="AE87" s="791"/>
      <c r="AF87" s="791"/>
      <c r="AG87" s="791"/>
      <c r="AH87" s="791"/>
      <c r="AI87" s="791"/>
      <c r="AJ87" s="791"/>
      <c r="AK87" s="791"/>
      <c r="AL87" s="792"/>
      <c r="AM87" s="807"/>
      <c r="AN87" s="771"/>
      <c r="AO87" s="771"/>
      <c r="AP87" s="771"/>
      <c r="AQ87" s="808"/>
      <c r="AR87" s="771"/>
      <c r="AS87" s="771"/>
      <c r="AT87" s="771"/>
      <c r="AU87" s="771"/>
      <c r="AV87" s="772"/>
    </row>
    <row r="88" spans="3:48" ht="14.25" customHeight="1" x14ac:dyDescent="0.2">
      <c r="C88" s="794" t="s">
        <v>36</v>
      </c>
      <c r="D88" s="795"/>
      <c r="E88" s="795"/>
      <c r="F88" s="795"/>
      <c r="G88" s="795"/>
      <c r="H88" s="795"/>
      <c r="I88" s="795"/>
      <c r="J88" s="795"/>
      <c r="K88" s="795"/>
      <c r="L88" s="795"/>
      <c r="M88" s="795"/>
      <c r="N88" s="795"/>
      <c r="O88" s="795"/>
      <c r="P88" s="795"/>
      <c r="Q88" s="795"/>
      <c r="R88" s="795"/>
      <c r="S88" s="795"/>
      <c r="T88" s="795"/>
      <c r="U88" s="795"/>
      <c r="V88" s="795"/>
      <c r="W88" s="795"/>
      <c r="X88" s="795"/>
      <c r="Y88" s="795"/>
      <c r="Z88" s="795"/>
      <c r="AA88" s="795"/>
      <c r="AB88" s="795"/>
      <c r="AC88" s="795"/>
      <c r="AD88" s="795"/>
      <c r="AE88" s="795"/>
      <c r="AF88" s="795"/>
      <c r="AG88" s="795"/>
      <c r="AH88" s="795"/>
      <c r="AI88" s="795"/>
      <c r="AJ88" s="795"/>
      <c r="AK88" s="795"/>
      <c r="AL88" s="796"/>
      <c r="AM88" s="805"/>
      <c r="AN88" s="769"/>
      <c r="AO88" s="769"/>
      <c r="AP88" s="769"/>
      <c r="AQ88" s="806"/>
      <c r="AR88" s="769"/>
      <c r="AS88" s="769"/>
      <c r="AT88" s="769"/>
      <c r="AU88" s="769"/>
      <c r="AV88" s="770"/>
    </row>
    <row r="89" spans="3:48" ht="41.25" customHeight="1" x14ac:dyDescent="0.2">
      <c r="C89" s="799"/>
      <c r="D89" s="800"/>
      <c r="E89" s="800"/>
      <c r="F89" s="800"/>
      <c r="G89" s="800"/>
      <c r="H89" s="800"/>
      <c r="I89" s="800"/>
      <c r="J89" s="800"/>
      <c r="K89" s="800"/>
      <c r="L89" s="800"/>
      <c r="M89" s="800"/>
      <c r="N89" s="800"/>
      <c r="O89" s="800"/>
      <c r="P89" s="800"/>
      <c r="Q89" s="800"/>
      <c r="R89" s="800"/>
      <c r="S89" s="800"/>
      <c r="T89" s="800"/>
      <c r="U89" s="800"/>
      <c r="V89" s="800"/>
      <c r="W89" s="800"/>
      <c r="X89" s="800"/>
      <c r="Y89" s="800"/>
      <c r="Z89" s="800"/>
      <c r="AA89" s="800"/>
      <c r="AB89" s="800"/>
      <c r="AC89" s="800"/>
      <c r="AD89" s="800"/>
      <c r="AE89" s="800"/>
      <c r="AF89" s="800"/>
      <c r="AG89" s="800"/>
      <c r="AH89" s="800"/>
      <c r="AI89" s="800"/>
      <c r="AJ89" s="800"/>
      <c r="AK89" s="800"/>
      <c r="AL89" s="801"/>
      <c r="AM89" s="807"/>
      <c r="AN89" s="771"/>
      <c r="AO89" s="771"/>
      <c r="AP89" s="771"/>
      <c r="AQ89" s="808"/>
      <c r="AR89" s="771"/>
      <c r="AS89" s="771"/>
      <c r="AT89" s="771"/>
      <c r="AU89" s="771"/>
      <c r="AV89" s="772"/>
    </row>
    <row r="90" spans="3:48" ht="14.25" customHeight="1" x14ac:dyDescent="0.2">
      <c r="C90" s="794" t="s">
        <v>37</v>
      </c>
      <c r="D90" s="795"/>
      <c r="E90" s="795"/>
      <c r="F90" s="795"/>
      <c r="G90" s="795"/>
      <c r="H90" s="795"/>
      <c r="I90" s="795"/>
      <c r="J90" s="795"/>
      <c r="K90" s="795"/>
      <c r="L90" s="795"/>
      <c r="M90" s="795"/>
      <c r="N90" s="795"/>
      <c r="O90" s="795"/>
      <c r="P90" s="795"/>
      <c r="Q90" s="795"/>
      <c r="R90" s="795"/>
      <c r="S90" s="795"/>
      <c r="T90" s="795"/>
      <c r="U90" s="795"/>
      <c r="V90" s="795"/>
      <c r="W90" s="795"/>
      <c r="X90" s="795"/>
      <c r="Y90" s="795"/>
      <c r="Z90" s="795"/>
      <c r="AA90" s="795"/>
      <c r="AB90" s="795"/>
      <c r="AC90" s="795"/>
      <c r="AD90" s="795"/>
      <c r="AE90" s="795"/>
      <c r="AF90" s="795"/>
      <c r="AG90" s="795"/>
      <c r="AH90" s="795"/>
      <c r="AI90" s="795"/>
      <c r="AJ90" s="795"/>
      <c r="AK90" s="795"/>
      <c r="AL90" s="796"/>
      <c r="AM90" s="805"/>
      <c r="AN90" s="769"/>
      <c r="AO90" s="769"/>
      <c r="AP90" s="769"/>
      <c r="AQ90" s="806"/>
      <c r="AR90" s="769"/>
      <c r="AS90" s="769"/>
      <c r="AT90" s="769"/>
      <c r="AU90" s="769"/>
      <c r="AV90" s="770"/>
    </row>
    <row r="91" spans="3:48" ht="40.5" customHeight="1" x14ac:dyDescent="0.2">
      <c r="C91" s="799"/>
      <c r="D91" s="800"/>
      <c r="E91" s="800"/>
      <c r="F91" s="800"/>
      <c r="G91" s="800"/>
      <c r="H91" s="800"/>
      <c r="I91" s="800"/>
      <c r="J91" s="800"/>
      <c r="K91" s="800"/>
      <c r="L91" s="800"/>
      <c r="M91" s="800"/>
      <c r="N91" s="800"/>
      <c r="O91" s="800"/>
      <c r="P91" s="800"/>
      <c r="Q91" s="800"/>
      <c r="R91" s="800"/>
      <c r="S91" s="800"/>
      <c r="T91" s="800"/>
      <c r="U91" s="800"/>
      <c r="V91" s="800"/>
      <c r="W91" s="800"/>
      <c r="X91" s="800"/>
      <c r="Y91" s="800"/>
      <c r="Z91" s="800"/>
      <c r="AA91" s="800"/>
      <c r="AB91" s="800"/>
      <c r="AC91" s="800"/>
      <c r="AD91" s="800"/>
      <c r="AE91" s="800"/>
      <c r="AF91" s="800"/>
      <c r="AG91" s="800"/>
      <c r="AH91" s="800"/>
      <c r="AI91" s="800"/>
      <c r="AJ91" s="800"/>
      <c r="AK91" s="800"/>
      <c r="AL91" s="801"/>
      <c r="AM91" s="807"/>
      <c r="AN91" s="771"/>
      <c r="AO91" s="771"/>
      <c r="AP91" s="771"/>
      <c r="AQ91" s="808"/>
      <c r="AR91" s="771"/>
      <c r="AS91" s="771"/>
      <c r="AT91" s="771"/>
      <c r="AU91" s="771"/>
      <c r="AV91" s="772"/>
    </row>
    <row r="92" spans="3:48" ht="14.25" customHeight="1" x14ac:dyDescent="0.2">
      <c r="C92" s="794" t="s">
        <v>38</v>
      </c>
      <c r="D92" s="795"/>
      <c r="E92" s="795"/>
      <c r="F92" s="795"/>
      <c r="G92" s="795"/>
      <c r="H92" s="795"/>
      <c r="I92" s="795"/>
      <c r="J92" s="795"/>
      <c r="K92" s="795"/>
      <c r="L92" s="795"/>
      <c r="M92" s="795"/>
      <c r="N92" s="795"/>
      <c r="O92" s="795"/>
      <c r="P92" s="795"/>
      <c r="Q92" s="795"/>
      <c r="R92" s="795"/>
      <c r="S92" s="795"/>
      <c r="T92" s="795"/>
      <c r="U92" s="795"/>
      <c r="V92" s="795"/>
      <c r="W92" s="795"/>
      <c r="X92" s="795"/>
      <c r="Y92" s="795"/>
      <c r="Z92" s="795"/>
      <c r="AA92" s="795"/>
      <c r="AB92" s="795"/>
      <c r="AC92" s="795"/>
      <c r="AD92" s="795"/>
      <c r="AE92" s="795"/>
      <c r="AF92" s="795"/>
      <c r="AG92" s="795"/>
      <c r="AH92" s="795"/>
      <c r="AI92" s="795"/>
      <c r="AJ92" s="795"/>
      <c r="AK92" s="795"/>
      <c r="AL92" s="796"/>
      <c r="AM92" s="805"/>
      <c r="AN92" s="769"/>
      <c r="AO92" s="769"/>
      <c r="AP92" s="769"/>
      <c r="AQ92" s="806"/>
      <c r="AR92" s="769"/>
      <c r="AS92" s="769"/>
      <c r="AT92" s="769"/>
      <c r="AU92" s="769"/>
      <c r="AV92" s="770"/>
    </row>
    <row r="93" spans="3:48" ht="30" customHeight="1" x14ac:dyDescent="0.2">
      <c r="C93" s="799"/>
      <c r="D93" s="800"/>
      <c r="E93" s="800"/>
      <c r="F93" s="800"/>
      <c r="G93" s="800"/>
      <c r="H93" s="800"/>
      <c r="I93" s="800"/>
      <c r="J93" s="800"/>
      <c r="K93" s="800"/>
      <c r="L93" s="800"/>
      <c r="M93" s="800"/>
      <c r="N93" s="800"/>
      <c r="O93" s="800"/>
      <c r="P93" s="800"/>
      <c r="Q93" s="800"/>
      <c r="R93" s="800"/>
      <c r="S93" s="800"/>
      <c r="T93" s="800"/>
      <c r="U93" s="800"/>
      <c r="V93" s="800"/>
      <c r="W93" s="800"/>
      <c r="X93" s="800"/>
      <c r="Y93" s="800"/>
      <c r="Z93" s="800"/>
      <c r="AA93" s="800"/>
      <c r="AB93" s="800"/>
      <c r="AC93" s="800"/>
      <c r="AD93" s="800"/>
      <c r="AE93" s="800"/>
      <c r="AF93" s="800"/>
      <c r="AG93" s="800"/>
      <c r="AH93" s="800"/>
      <c r="AI93" s="800"/>
      <c r="AJ93" s="800"/>
      <c r="AK93" s="800"/>
      <c r="AL93" s="801"/>
      <c r="AM93" s="807"/>
      <c r="AN93" s="771"/>
      <c r="AO93" s="771"/>
      <c r="AP93" s="771"/>
      <c r="AQ93" s="808"/>
      <c r="AR93" s="771"/>
      <c r="AS93" s="771"/>
      <c r="AT93" s="771"/>
      <c r="AU93" s="771"/>
      <c r="AV93" s="772"/>
    </row>
    <row r="94" spans="3:48" ht="14.25" customHeight="1" x14ac:dyDescent="0.2">
      <c r="C94" s="794" t="s">
        <v>39</v>
      </c>
      <c r="D94" s="795"/>
      <c r="E94" s="795"/>
      <c r="F94" s="795"/>
      <c r="G94" s="795"/>
      <c r="H94" s="795"/>
      <c r="I94" s="795"/>
      <c r="J94" s="795"/>
      <c r="K94" s="795"/>
      <c r="L94" s="795"/>
      <c r="M94" s="795"/>
      <c r="N94" s="795"/>
      <c r="O94" s="795"/>
      <c r="P94" s="795"/>
      <c r="Q94" s="795"/>
      <c r="R94" s="795"/>
      <c r="S94" s="795"/>
      <c r="T94" s="795"/>
      <c r="U94" s="795"/>
      <c r="V94" s="795"/>
      <c r="W94" s="795"/>
      <c r="X94" s="795"/>
      <c r="Y94" s="795"/>
      <c r="Z94" s="795"/>
      <c r="AA94" s="795"/>
      <c r="AB94" s="795"/>
      <c r="AC94" s="795"/>
      <c r="AD94" s="795"/>
      <c r="AE94" s="795"/>
      <c r="AF94" s="795"/>
      <c r="AG94" s="795"/>
      <c r="AH94" s="795"/>
      <c r="AI94" s="795"/>
      <c r="AJ94" s="795"/>
      <c r="AK94" s="795"/>
      <c r="AL94" s="796"/>
      <c r="AM94" s="805"/>
      <c r="AN94" s="769"/>
      <c r="AO94" s="769"/>
      <c r="AP94" s="769"/>
      <c r="AQ94" s="806"/>
      <c r="AR94" s="769"/>
      <c r="AS94" s="769"/>
      <c r="AT94" s="769"/>
      <c r="AU94" s="769"/>
      <c r="AV94" s="770"/>
    </row>
    <row r="95" spans="3:48" ht="13.5" thickBot="1" x14ac:dyDescent="0.25">
      <c r="C95" s="802"/>
      <c r="D95" s="803"/>
      <c r="E95" s="803"/>
      <c r="F95" s="803"/>
      <c r="G95" s="803"/>
      <c r="H95" s="803"/>
      <c r="I95" s="803"/>
      <c r="J95" s="803"/>
      <c r="K95" s="803"/>
      <c r="L95" s="803"/>
      <c r="M95" s="803"/>
      <c r="N95" s="803"/>
      <c r="O95" s="803"/>
      <c r="P95" s="803"/>
      <c r="Q95" s="803"/>
      <c r="R95" s="803"/>
      <c r="S95" s="803"/>
      <c r="T95" s="803"/>
      <c r="U95" s="803"/>
      <c r="V95" s="803"/>
      <c r="W95" s="803"/>
      <c r="X95" s="803"/>
      <c r="Y95" s="803"/>
      <c r="Z95" s="803"/>
      <c r="AA95" s="803"/>
      <c r="AB95" s="803"/>
      <c r="AC95" s="803"/>
      <c r="AD95" s="803"/>
      <c r="AE95" s="803"/>
      <c r="AF95" s="803"/>
      <c r="AG95" s="803"/>
      <c r="AH95" s="803"/>
      <c r="AI95" s="803"/>
      <c r="AJ95" s="803"/>
      <c r="AK95" s="803"/>
      <c r="AL95" s="804"/>
      <c r="AM95" s="809"/>
      <c r="AN95" s="810"/>
      <c r="AO95" s="810"/>
      <c r="AP95" s="810"/>
      <c r="AQ95" s="811"/>
      <c r="AR95" s="810"/>
      <c r="AS95" s="810"/>
      <c r="AT95" s="810"/>
      <c r="AU95" s="810"/>
      <c r="AV95" s="952"/>
    </row>
    <row r="96" spans="3:48" s="19" customFormat="1" ht="16.5" customHeight="1" thickBot="1" x14ac:dyDescent="0.25">
      <c r="C96" s="259" t="s">
        <v>11</v>
      </c>
      <c r="D96" s="260"/>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c r="AC96" s="261"/>
      <c r="AD96" s="261"/>
      <c r="AE96" s="261"/>
      <c r="AF96" s="261"/>
      <c r="AG96" s="261"/>
      <c r="AH96" s="261"/>
      <c r="AI96" s="261"/>
      <c r="AJ96" s="261"/>
      <c r="AK96" s="261"/>
      <c r="AL96" s="261"/>
      <c r="AM96" s="853">
        <f>SUM(AM82:AQ95)</f>
        <v>0</v>
      </c>
      <c r="AN96" s="854"/>
      <c r="AO96" s="855"/>
      <c r="AP96" s="855"/>
      <c r="AQ96" s="856"/>
      <c r="AR96" s="954">
        <f>SUM(AR82:AV95)</f>
        <v>0</v>
      </c>
      <c r="AS96" s="854"/>
      <c r="AT96" s="855"/>
      <c r="AU96" s="855"/>
      <c r="AV96" s="955"/>
    </row>
    <row r="97" spans="1:48" ht="30" customHeight="1" x14ac:dyDescent="0.2">
      <c r="A97" s="749">
        <f>A79+1</f>
        <v>11</v>
      </c>
      <c r="B97" s="820"/>
      <c r="C97" s="38" t="s">
        <v>89</v>
      </c>
      <c r="D97" s="38"/>
    </row>
    <row r="98" spans="1:48" ht="6" customHeight="1" x14ac:dyDescent="0.2">
      <c r="R98" s="964"/>
      <c r="S98" s="964"/>
      <c r="T98" s="965"/>
      <c r="U98" s="965"/>
      <c r="V98" s="965"/>
    </row>
    <row r="99" spans="1:48" s="49" customFormat="1" ht="22.5" customHeight="1" x14ac:dyDescent="0.2">
      <c r="C99" s="865" t="s">
        <v>46</v>
      </c>
      <c r="D99" s="866"/>
      <c r="E99" s="866"/>
      <c r="F99" s="866"/>
      <c r="G99" s="866"/>
      <c r="H99" s="866"/>
      <c r="I99" s="866"/>
      <c r="J99" s="866"/>
      <c r="K99" s="866"/>
      <c r="L99" s="866"/>
      <c r="M99" s="866"/>
      <c r="N99" s="867"/>
      <c r="O99" s="956" t="s">
        <v>51</v>
      </c>
      <c r="P99" s="957"/>
      <c r="Q99" s="957"/>
      <c r="R99" s="957"/>
      <c r="S99" s="957"/>
      <c r="T99" s="958"/>
      <c r="U99" s="865" t="s">
        <v>47</v>
      </c>
      <c r="V99" s="866"/>
      <c r="W99" s="866"/>
      <c r="X99" s="866"/>
      <c r="Y99" s="866"/>
      <c r="Z99" s="866"/>
      <c r="AA99" s="866"/>
      <c r="AB99" s="867"/>
      <c r="AC99" s="923" t="s">
        <v>52</v>
      </c>
      <c r="AD99" s="866"/>
      <c r="AE99" s="866"/>
      <c r="AF99" s="866"/>
      <c r="AG99" s="866"/>
      <c r="AH99" s="866"/>
      <c r="AI99" s="924"/>
    </row>
    <row r="100" spans="1:48" s="55" customFormat="1" ht="13.5" customHeight="1" thickBot="1" x14ac:dyDescent="0.25">
      <c r="C100" s="940" t="s">
        <v>2507</v>
      </c>
      <c r="D100" s="941"/>
      <c r="E100" s="941"/>
      <c r="F100" s="941"/>
      <c r="G100" s="941"/>
      <c r="H100" s="941"/>
      <c r="I100" s="941"/>
      <c r="J100" s="941"/>
      <c r="K100" s="941"/>
      <c r="L100" s="941"/>
      <c r="M100" s="941"/>
      <c r="N100" s="942"/>
      <c r="O100" s="851"/>
      <c r="P100" s="852"/>
      <c r="Q100" s="852"/>
      <c r="R100" s="407" t="s">
        <v>48</v>
      </c>
      <c r="S100" s="408"/>
      <c r="T100" s="409"/>
      <c r="U100" s="882"/>
      <c r="V100" s="852"/>
      <c r="W100" s="852"/>
      <c r="X100" s="852"/>
      <c r="Y100" s="852"/>
      <c r="Z100" s="852"/>
      <c r="AA100" s="852"/>
      <c r="AB100" s="883"/>
      <c r="AC100" s="849"/>
      <c r="AD100" s="849"/>
      <c r="AE100" s="849"/>
      <c r="AF100" s="849"/>
      <c r="AG100" s="849"/>
      <c r="AH100" s="849"/>
      <c r="AI100" s="850"/>
    </row>
    <row r="101" spans="1:48" ht="30" customHeight="1" x14ac:dyDescent="0.2">
      <c r="A101" s="749">
        <f>1+A97</f>
        <v>12</v>
      </c>
      <c r="B101" s="820"/>
      <c r="C101" s="38" t="s">
        <v>41</v>
      </c>
      <c r="D101" s="38"/>
      <c r="V101" s="48"/>
      <c r="W101" s="48"/>
      <c r="X101" s="48"/>
      <c r="Y101" s="48"/>
      <c r="Z101" s="48"/>
      <c r="AA101" s="48"/>
      <c r="AB101" s="48"/>
    </row>
    <row r="102" spans="1:48" ht="21" customHeight="1" x14ac:dyDescent="0.2">
      <c r="C102" s="793"/>
      <c r="D102" s="793"/>
      <c r="E102" s="793"/>
      <c r="F102" s="793"/>
      <c r="G102" s="793"/>
      <c r="H102" s="793"/>
      <c r="I102" s="793"/>
      <c r="J102" s="793"/>
      <c r="K102" s="793"/>
      <c r="L102" s="793"/>
      <c r="M102" s="793"/>
      <c r="N102" s="793"/>
      <c r="O102" s="793"/>
      <c r="P102" s="793"/>
      <c r="Q102" s="793"/>
      <c r="R102" s="793"/>
      <c r="S102" s="793"/>
      <c r="T102" s="793"/>
      <c r="U102" s="746"/>
      <c r="V102" s="746"/>
      <c r="W102" s="746"/>
      <c r="X102" s="746"/>
      <c r="Y102" s="746"/>
      <c r="Z102" s="746"/>
      <c r="AA102" s="746"/>
      <c r="AB102" s="746"/>
      <c r="AC102" s="746"/>
      <c r="AD102" s="746"/>
      <c r="AE102" s="746"/>
      <c r="AF102" s="746"/>
      <c r="AG102" s="746"/>
      <c r="AH102" s="746"/>
      <c r="AI102" s="746"/>
      <c r="AJ102" s="746"/>
      <c r="AK102" s="746"/>
      <c r="AL102" s="746"/>
      <c r="AM102" s="746"/>
      <c r="AN102" s="746"/>
      <c r="AO102" s="746"/>
      <c r="AP102" s="746"/>
      <c r="AQ102" s="746"/>
      <c r="AR102" s="746"/>
      <c r="AS102" s="746"/>
      <c r="AT102" s="746"/>
      <c r="AU102" s="746"/>
      <c r="AV102" s="746"/>
    </row>
    <row r="103" spans="1:48" ht="21" customHeight="1" x14ac:dyDescent="0.2">
      <c r="A103" s="749">
        <f>A101+1</f>
        <v>13</v>
      </c>
      <c r="B103" s="873"/>
      <c r="C103" s="943" t="s">
        <v>2</v>
      </c>
      <c r="D103" s="848"/>
      <c r="E103" s="848"/>
      <c r="F103" s="848"/>
      <c r="G103" s="848"/>
      <c r="H103" s="848"/>
      <c r="I103" s="848"/>
      <c r="J103" s="848"/>
      <c r="K103" s="848"/>
      <c r="L103" s="848"/>
      <c r="M103" s="848"/>
      <c r="N103" s="848"/>
      <c r="O103" s="848"/>
      <c r="P103" s="848"/>
      <c r="Q103" s="848"/>
      <c r="R103" s="848"/>
      <c r="S103" s="848"/>
      <c r="T103" s="848"/>
      <c r="U103" s="848"/>
      <c r="V103" s="848"/>
      <c r="W103" s="848"/>
      <c r="X103" s="848"/>
      <c r="Y103" s="848"/>
      <c r="Z103" s="848"/>
      <c r="AA103" s="848"/>
      <c r="AB103" s="848"/>
      <c r="AC103" s="848"/>
      <c r="AD103" s="848"/>
      <c r="AE103" s="848"/>
      <c r="AF103" s="848"/>
      <c r="AG103" s="848"/>
      <c r="AH103" s="848"/>
      <c r="AI103" s="848"/>
      <c r="AJ103" s="848"/>
      <c r="AK103" s="848"/>
      <c r="AL103" s="848"/>
      <c r="AM103" s="848"/>
      <c r="AN103" s="848"/>
      <c r="AO103" s="848"/>
      <c r="AP103" s="848"/>
      <c r="AQ103" s="848"/>
      <c r="AR103" s="848"/>
      <c r="AS103" s="848"/>
      <c r="AT103" s="848"/>
      <c r="AU103" s="848"/>
      <c r="AV103" s="848"/>
    </row>
    <row r="104" spans="1:48" ht="32.25" customHeight="1" x14ac:dyDescent="0.2">
      <c r="C104" s="925"/>
      <c r="D104" s="926"/>
      <c r="E104" s="926"/>
      <c r="F104" s="926"/>
      <c r="G104" s="926"/>
      <c r="H104" s="926"/>
      <c r="I104" s="926"/>
      <c r="J104" s="926"/>
      <c r="K104" s="926"/>
      <c r="L104" s="926"/>
      <c r="M104" s="926"/>
      <c r="N104" s="926"/>
      <c r="O104" s="926"/>
      <c r="P104" s="926"/>
      <c r="Q104" s="926"/>
      <c r="R104" s="926"/>
      <c r="S104" s="926"/>
      <c r="T104" s="926"/>
      <c r="U104" s="926"/>
      <c r="V104" s="926"/>
      <c r="W104" s="926"/>
      <c r="X104" s="926"/>
      <c r="Y104" s="926"/>
      <c r="Z104" s="926"/>
      <c r="AA104" s="926"/>
      <c r="AB104" s="926"/>
      <c r="AC104" s="926"/>
      <c r="AD104" s="926"/>
      <c r="AE104" s="926"/>
      <c r="AF104" s="926"/>
      <c r="AG104" s="926"/>
      <c r="AH104" s="926"/>
      <c r="AI104" s="926"/>
      <c r="AJ104" s="926"/>
      <c r="AK104" s="926"/>
      <c r="AL104" s="926"/>
      <c r="AM104" s="926"/>
      <c r="AN104" s="926"/>
      <c r="AO104" s="926"/>
      <c r="AP104" s="926"/>
      <c r="AQ104" s="926"/>
      <c r="AR104" s="926"/>
      <c r="AS104" s="926"/>
      <c r="AT104" s="926"/>
      <c r="AU104" s="926"/>
      <c r="AV104" s="926"/>
    </row>
    <row r="105" spans="1:48" ht="26.25" customHeight="1" x14ac:dyDescent="0.2">
      <c r="A105" s="749">
        <f>A103+1</f>
        <v>14</v>
      </c>
      <c r="B105" s="873"/>
      <c r="C105" s="56" t="s">
        <v>56</v>
      </c>
      <c r="R105" s="49"/>
      <c r="S105" s="49"/>
      <c r="T105" s="49"/>
      <c r="U105" s="49"/>
      <c r="V105" s="49"/>
      <c r="W105" s="49"/>
      <c r="X105" s="49"/>
      <c r="Y105" s="49"/>
      <c r="Z105" s="49"/>
      <c r="AA105" s="57"/>
      <c r="AB105" s="57"/>
    </row>
    <row r="106" spans="1:48" s="90" customFormat="1" ht="4.5" customHeight="1" x14ac:dyDescent="0.2">
      <c r="C106" s="91"/>
      <c r="D106" s="92"/>
    </row>
    <row r="107" spans="1:48" s="90" customFormat="1" ht="36.75" customHeight="1" x14ac:dyDescent="0.2">
      <c r="C107" s="951" t="s">
        <v>57</v>
      </c>
      <c r="D107" s="951"/>
      <c r="E107" s="950" t="s">
        <v>116</v>
      </c>
      <c r="F107" s="950"/>
      <c r="G107" s="950"/>
      <c r="H107" s="950"/>
      <c r="I107" s="950"/>
      <c r="J107" s="950"/>
      <c r="K107" s="950"/>
      <c r="L107" s="950"/>
      <c r="M107" s="950"/>
      <c r="N107" s="950"/>
      <c r="O107" s="950"/>
      <c r="P107" s="950"/>
      <c r="Q107" s="950"/>
      <c r="R107" s="950"/>
      <c r="S107" s="950"/>
      <c r="T107" s="950"/>
      <c r="U107" s="950"/>
      <c r="V107" s="950"/>
      <c r="W107" s="950"/>
      <c r="X107" s="950"/>
      <c r="Y107" s="950"/>
      <c r="Z107" s="950"/>
      <c r="AA107" s="950"/>
      <c r="AB107" s="950"/>
      <c r="AC107" s="950"/>
      <c r="AD107" s="950"/>
      <c r="AE107" s="950"/>
      <c r="AF107" s="950"/>
      <c r="AG107" s="950"/>
      <c r="AH107" s="950"/>
      <c r="AI107" s="950"/>
      <c r="AJ107" s="950"/>
      <c r="AK107" s="950"/>
      <c r="AL107" s="950"/>
      <c r="AM107" s="950"/>
      <c r="AN107" s="950"/>
      <c r="AO107" s="950"/>
      <c r="AP107" s="950"/>
      <c r="AQ107" s="950"/>
      <c r="AR107" s="950"/>
      <c r="AS107" s="950"/>
      <c r="AT107" s="950"/>
      <c r="AU107" s="950"/>
      <c r="AV107" s="950"/>
    </row>
    <row r="108" spans="1:48" ht="4.5" customHeight="1" x14ac:dyDescent="0.2">
      <c r="A108" s="58"/>
      <c r="Q108" s="56"/>
      <c r="R108" s="49"/>
      <c r="S108" s="49"/>
      <c r="T108" s="49"/>
      <c r="U108" s="49"/>
      <c r="V108" s="49"/>
      <c r="W108" s="49"/>
      <c r="X108" s="49"/>
      <c r="Y108" s="49"/>
      <c r="Z108" s="49"/>
      <c r="AA108" s="57"/>
      <c r="AB108" s="57"/>
    </row>
    <row r="109" spans="1:48" ht="15.75" customHeight="1" x14ac:dyDescent="0.2">
      <c r="C109" s="951" t="s">
        <v>57</v>
      </c>
      <c r="D109" s="951"/>
      <c r="E109" s="24" t="s">
        <v>58</v>
      </c>
      <c r="F109" s="24"/>
      <c r="G109" s="24"/>
      <c r="H109" s="24"/>
      <c r="I109" s="24"/>
      <c r="J109" s="24"/>
      <c r="K109" s="24"/>
      <c r="L109" s="24"/>
      <c r="M109" s="24"/>
      <c r="N109" s="24"/>
    </row>
    <row r="110" spans="1:48" ht="5.25" customHeight="1" x14ac:dyDescent="0.2">
      <c r="C110" s="59"/>
      <c r="D110" s="24"/>
    </row>
    <row r="111" spans="1:48" ht="12.95" customHeight="1" x14ac:dyDescent="0.2">
      <c r="C111" s="951" t="s">
        <v>57</v>
      </c>
      <c r="D111" s="951"/>
      <c r="E111" s="24" t="s">
        <v>59</v>
      </c>
      <c r="F111" s="24"/>
      <c r="G111" s="24"/>
      <c r="H111" s="24"/>
      <c r="I111" s="24"/>
      <c r="J111" s="24"/>
      <c r="K111" s="24"/>
      <c r="L111" s="24"/>
      <c r="M111" s="24"/>
      <c r="N111" s="24"/>
    </row>
    <row r="112" spans="1:48" ht="5.25" customHeight="1" x14ac:dyDescent="0.2">
      <c r="C112" s="60"/>
      <c r="D112" s="24"/>
      <c r="E112" s="24"/>
      <c r="F112" s="24"/>
      <c r="G112" s="24"/>
      <c r="H112" s="24"/>
      <c r="I112" s="24"/>
      <c r="J112" s="24"/>
      <c r="K112" s="24"/>
      <c r="L112" s="24"/>
      <c r="M112" s="24"/>
      <c r="N112" s="24"/>
    </row>
    <row r="113" spans="1:48" ht="27" customHeight="1" x14ac:dyDescent="0.2">
      <c r="C113" s="951" t="s">
        <v>57</v>
      </c>
      <c r="D113" s="951"/>
      <c r="E113" s="1038" t="s">
        <v>159</v>
      </c>
      <c r="F113" s="1039"/>
      <c r="G113" s="1039"/>
      <c r="H113" s="1039"/>
      <c r="I113" s="1039"/>
      <c r="J113" s="1039"/>
      <c r="K113" s="1039"/>
      <c r="L113" s="1039"/>
      <c r="M113" s="1039"/>
      <c r="N113" s="1039"/>
      <c r="O113" s="1039"/>
      <c r="P113" s="1039"/>
      <c r="Q113" s="1039"/>
      <c r="R113" s="1039"/>
      <c r="S113" s="1039"/>
      <c r="T113" s="1039"/>
      <c r="U113" s="1039"/>
      <c r="V113" s="1039"/>
      <c r="W113" s="1039"/>
      <c r="X113" s="1039"/>
      <c r="Y113" s="1039"/>
      <c r="Z113" s="1039"/>
      <c r="AA113" s="1039"/>
      <c r="AB113" s="1039"/>
      <c r="AC113" s="1039"/>
      <c r="AD113" s="1039"/>
      <c r="AE113" s="1039"/>
      <c r="AF113" s="1039"/>
      <c r="AG113" s="1039"/>
      <c r="AH113" s="1039"/>
      <c r="AI113" s="1039"/>
      <c r="AJ113" s="1039"/>
      <c r="AK113" s="1039"/>
      <c r="AL113" s="1039"/>
      <c r="AM113" s="1039"/>
      <c r="AN113" s="1039"/>
      <c r="AO113" s="1039"/>
      <c r="AP113" s="1039"/>
      <c r="AQ113" s="1039"/>
      <c r="AR113" s="1039"/>
      <c r="AS113" s="1039"/>
      <c r="AT113" s="1039"/>
      <c r="AU113" s="1039"/>
      <c r="AV113" s="1039"/>
    </row>
    <row r="114" spans="1:48" ht="5.25" customHeight="1" x14ac:dyDescent="0.2">
      <c r="C114" s="60"/>
      <c r="D114" s="24"/>
      <c r="E114" s="24"/>
      <c r="F114" s="24"/>
      <c r="G114" s="24"/>
      <c r="H114" s="24"/>
      <c r="I114" s="24"/>
      <c r="J114" s="24"/>
      <c r="K114" s="24"/>
      <c r="L114" s="24"/>
      <c r="M114" s="24"/>
      <c r="N114" s="24"/>
    </row>
    <row r="115" spans="1:48" s="19" customFormat="1" ht="49.9" customHeight="1" x14ac:dyDescent="0.2">
      <c r="C115" s="1030" t="s">
        <v>57</v>
      </c>
      <c r="D115" s="1030"/>
      <c r="E115" s="1031" t="s">
        <v>2532</v>
      </c>
      <c r="F115" s="1032"/>
      <c r="G115" s="1032"/>
      <c r="H115" s="1032"/>
      <c r="I115" s="1032"/>
      <c r="J115" s="1032"/>
      <c r="K115" s="1032"/>
      <c r="L115" s="1032"/>
      <c r="M115" s="1032"/>
      <c r="N115" s="1032"/>
      <c r="O115" s="1032"/>
      <c r="P115" s="1032"/>
      <c r="Q115" s="1032"/>
      <c r="R115" s="1032"/>
      <c r="S115" s="1032"/>
      <c r="T115" s="1032"/>
      <c r="U115" s="1032"/>
      <c r="V115" s="1032"/>
      <c r="W115" s="1032"/>
      <c r="X115" s="1032"/>
      <c r="Y115" s="1032"/>
      <c r="Z115" s="1032"/>
      <c r="AA115" s="1032"/>
      <c r="AB115" s="1032"/>
      <c r="AC115" s="1032"/>
      <c r="AD115" s="1032"/>
      <c r="AE115" s="1032"/>
      <c r="AF115" s="1032"/>
      <c r="AG115" s="1032"/>
      <c r="AH115" s="1032"/>
      <c r="AI115" s="1032"/>
      <c r="AJ115" s="1032"/>
      <c r="AK115" s="1032"/>
      <c r="AL115" s="1032"/>
      <c r="AM115" s="1032"/>
      <c r="AN115" s="1032"/>
      <c r="AO115" s="1032"/>
      <c r="AP115" s="1032"/>
      <c r="AQ115" s="1032"/>
      <c r="AR115" s="1032"/>
      <c r="AS115" s="1032"/>
      <c r="AT115" s="1032"/>
      <c r="AU115" s="1032"/>
      <c r="AV115" s="1032"/>
    </row>
    <row r="116" spans="1:48" ht="35.25" customHeight="1" x14ac:dyDescent="0.2">
      <c r="A116" s="953" t="s">
        <v>24</v>
      </c>
      <c r="B116" s="755"/>
      <c r="C116" s="755"/>
      <c r="D116" s="755"/>
      <c r="E116" s="755"/>
      <c r="F116" s="755"/>
      <c r="G116" s="755"/>
      <c r="H116" s="755"/>
      <c r="I116" s="755"/>
      <c r="J116" s="755"/>
      <c r="K116" s="755"/>
      <c r="L116" s="755"/>
      <c r="M116" s="755"/>
      <c r="N116" s="755"/>
      <c r="O116" s="755"/>
      <c r="P116" s="755"/>
      <c r="Q116" s="755"/>
      <c r="R116" s="755"/>
      <c r="S116" s="755"/>
      <c r="T116" s="755"/>
      <c r="U116" s="755"/>
      <c r="V116" s="755"/>
      <c r="W116" s="755"/>
      <c r="X116" s="755"/>
      <c r="Y116" s="755"/>
      <c r="Z116" s="755"/>
      <c r="AA116" s="755"/>
      <c r="AB116" s="755"/>
      <c r="AC116" s="755"/>
      <c r="AD116" s="755"/>
      <c r="AE116" s="755"/>
      <c r="AF116" s="755"/>
      <c r="AG116" s="755"/>
      <c r="AH116" s="755"/>
      <c r="AI116" s="755"/>
      <c r="AJ116" s="755"/>
      <c r="AK116" s="755"/>
      <c r="AL116" s="755"/>
      <c r="AM116" s="755"/>
      <c r="AN116" s="755"/>
      <c r="AO116" s="755"/>
      <c r="AP116" s="755"/>
      <c r="AQ116" s="755"/>
      <c r="AR116" s="755"/>
      <c r="AS116" s="755"/>
      <c r="AT116" s="755"/>
      <c r="AU116" s="755"/>
      <c r="AV116" s="755"/>
    </row>
    <row r="117" spans="1:48" ht="14.25" customHeight="1" x14ac:dyDescent="0.2">
      <c r="A117" s="893" t="s">
        <v>33</v>
      </c>
      <c r="B117" s="891"/>
      <c r="C117" s="776" t="s">
        <v>84</v>
      </c>
      <c r="D117" s="777"/>
      <c r="E117" s="777"/>
      <c r="F117" s="777"/>
      <c r="G117" s="777"/>
      <c r="H117" s="777"/>
      <c r="I117" s="777"/>
      <c r="J117" s="777"/>
      <c r="K117" s="777"/>
      <c r="L117" s="777"/>
      <c r="M117" s="777"/>
      <c r="N117" s="777"/>
      <c r="O117" s="777"/>
      <c r="P117" s="777"/>
      <c r="Q117" s="777"/>
      <c r="R117" s="777"/>
      <c r="S117" s="777"/>
      <c r="T117" s="777"/>
      <c r="U117" s="777"/>
      <c r="V117" s="777"/>
      <c r="W117" s="777"/>
      <c r="X117" s="777"/>
      <c r="Y117" s="777"/>
      <c r="Z117" s="777"/>
      <c r="AA117" s="777"/>
      <c r="AB117" s="777"/>
      <c r="AC117" s="777"/>
      <c r="AD117" s="777"/>
      <c r="AE117" s="777"/>
      <c r="AF117" s="777"/>
      <c r="AG117" s="777"/>
      <c r="AH117" s="777"/>
      <c r="AI117" s="777"/>
      <c r="AJ117" s="777"/>
      <c r="AK117" s="777"/>
      <c r="AL117" s="777"/>
      <c r="AM117" s="777"/>
      <c r="AN117" s="777"/>
      <c r="AO117" s="777"/>
      <c r="AP117" s="777"/>
      <c r="AQ117" s="777"/>
      <c r="AR117" s="777"/>
      <c r="AS117" s="777"/>
      <c r="AT117" s="777"/>
      <c r="AU117" s="777"/>
      <c r="AV117" s="777"/>
    </row>
    <row r="118" spans="1:48" ht="12.95" customHeight="1" x14ac:dyDescent="0.2">
      <c r="C118" s="25"/>
      <c r="D118" s="25"/>
      <c r="H118" s="21"/>
      <c r="J118" s="27"/>
      <c r="R118" s="27" t="str">
        <f>+Q11</f>
        <v>INFORME N° 25</v>
      </c>
      <c r="U118" s="28"/>
      <c r="V118" s="29"/>
      <c r="AB118" s="886">
        <f>+AB11</f>
        <v>0</v>
      </c>
      <c r="AC118" s="887"/>
      <c r="AD118" s="887"/>
      <c r="AE118" s="887"/>
      <c r="AF118" s="887"/>
    </row>
    <row r="119" spans="1:48" ht="24.95" customHeight="1" x14ac:dyDescent="0.2">
      <c r="A119" s="687">
        <v>1</v>
      </c>
      <c r="B119" s="959"/>
      <c r="C119" s="61" t="s">
        <v>42</v>
      </c>
      <c r="D119" s="36"/>
      <c r="E119" s="36"/>
      <c r="F119" s="36"/>
      <c r="G119" s="36"/>
      <c r="H119" s="36"/>
      <c r="I119" s="36"/>
      <c r="J119" s="62" t="s">
        <v>53</v>
      </c>
      <c r="K119" s="36"/>
      <c r="L119" s="36"/>
      <c r="M119" s="36"/>
      <c r="N119" s="36"/>
      <c r="O119" s="36"/>
    </row>
    <row r="120" spans="1:48" ht="54.95" customHeight="1" x14ac:dyDescent="0.2">
      <c r="C120" s="884" t="s">
        <v>217</v>
      </c>
      <c r="D120" s="885"/>
      <c r="E120" s="885"/>
      <c r="F120" s="885"/>
      <c r="G120" s="885"/>
      <c r="H120" s="885"/>
      <c r="I120" s="885"/>
      <c r="J120" s="885"/>
      <c r="K120" s="885"/>
      <c r="L120" s="885"/>
      <c r="M120" s="885"/>
      <c r="N120" s="885"/>
      <c r="O120" s="885"/>
      <c r="P120" s="885"/>
      <c r="Q120" s="885"/>
      <c r="R120" s="885"/>
      <c r="S120" s="885"/>
      <c r="T120" s="885"/>
      <c r="U120" s="885"/>
      <c r="V120" s="885"/>
      <c r="W120" s="885"/>
      <c r="X120" s="885"/>
      <c r="Y120" s="885"/>
      <c r="Z120" s="885"/>
      <c r="AA120" s="885"/>
      <c r="AB120" s="885"/>
      <c r="AC120" s="885"/>
      <c r="AD120" s="885"/>
      <c r="AE120" s="885"/>
      <c r="AF120" s="885"/>
      <c r="AG120" s="885"/>
      <c r="AH120" s="885"/>
      <c r="AI120" s="885"/>
      <c r="AJ120" s="885"/>
      <c r="AK120" s="885"/>
      <c r="AL120" s="885"/>
      <c r="AM120" s="885"/>
      <c r="AN120" s="885"/>
      <c r="AO120" s="885"/>
      <c r="AP120" s="885"/>
      <c r="AQ120" s="885"/>
      <c r="AR120" s="885"/>
      <c r="AS120" s="885"/>
      <c r="AT120" s="885"/>
      <c r="AU120" s="885"/>
      <c r="AV120" s="885"/>
    </row>
    <row r="121" spans="1:48" ht="5.25" customHeight="1" x14ac:dyDescent="0.2"/>
    <row r="122" spans="1:48" s="136" customFormat="1" ht="13.5" x14ac:dyDescent="0.2">
      <c r="C122" s="690" t="s">
        <v>12</v>
      </c>
      <c r="D122" s="691"/>
      <c r="E122" s="691"/>
      <c r="F122" s="691"/>
      <c r="G122" s="691"/>
      <c r="H122" s="691"/>
      <c r="I122" s="691"/>
      <c r="J122" s="691"/>
      <c r="K122" s="691"/>
      <c r="L122" s="691"/>
      <c r="M122" s="691"/>
      <c r="N122" s="691"/>
      <c r="O122" s="691"/>
      <c r="P122" s="691"/>
      <c r="Q122" s="691"/>
      <c r="R122" s="691"/>
      <c r="S122" s="691"/>
      <c r="T122" s="691"/>
      <c r="U122" s="691"/>
      <c r="V122" s="691"/>
      <c r="W122" s="691"/>
      <c r="X122" s="691"/>
      <c r="Y122" s="691"/>
      <c r="Z122" s="691"/>
      <c r="AA122" s="691"/>
      <c r="AB122" s="691"/>
      <c r="AC122" s="691"/>
      <c r="AD122" s="691"/>
      <c r="AE122" s="691"/>
      <c r="AF122" s="691"/>
      <c r="AG122" s="691"/>
      <c r="AH122" s="691"/>
      <c r="AI122" s="691"/>
      <c r="AJ122" s="691"/>
      <c r="AK122" s="691"/>
      <c r="AL122" s="691"/>
      <c r="AM122" s="691"/>
      <c r="AN122" s="691"/>
      <c r="AO122" s="691"/>
      <c r="AP122" s="691"/>
      <c r="AQ122" s="691"/>
      <c r="AR122" s="691"/>
      <c r="AS122" s="691"/>
      <c r="AT122" s="691"/>
      <c r="AU122" s="691"/>
      <c r="AV122" s="692"/>
    </row>
    <row r="123" spans="1:48" s="90" customFormat="1" ht="3" customHeight="1" x14ac:dyDescent="0.2">
      <c r="M123" s="139"/>
      <c r="N123" s="139"/>
      <c r="O123" s="139"/>
      <c r="P123" s="139"/>
      <c r="Q123" s="139"/>
      <c r="R123" s="139"/>
      <c r="S123" s="139"/>
      <c r="T123" s="139"/>
    </row>
    <row r="124" spans="1:48" s="63" customFormat="1" ht="81.75" customHeight="1" x14ac:dyDescent="0.2">
      <c r="C124" s="693" t="s">
        <v>14</v>
      </c>
      <c r="D124" s="694"/>
      <c r="E124" s="694"/>
      <c r="F124" s="694"/>
      <c r="G124" s="694"/>
      <c r="H124" s="694"/>
      <c r="I124" s="694"/>
      <c r="J124" s="694"/>
      <c r="K124" s="694"/>
      <c r="L124" s="694"/>
      <c r="M124" s="694"/>
      <c r="N124" s="694"/>
      <c r="O124" s="694"/>
      <c r="P124" s="694"/>
      <c r="Q124" s="694"/>
      <c r="R124" s="695" t="s">
        <v>209</v>
      </c>
      <c r="S124" s="696"/>
      <c r="T124" s="697"/>
      <c r="U124" s="695" t="s">
        <v>51</v>
      </c>
      <c r="V124" s="696"/>
      <c r="W124" s="697"/>
      <c r="X124" s="698" t="s">
        <v>210</v>
      </c>
      <c r="Y124" s="699"/>
      <c r="Z124" s="700"/>
      <c r="AA124" s="698" t="s">
        <v>211</v>
      </c>
      <c r="AB124" s="699"/>
      <c r="AC124" s="700"/>
      <c r="AD124" s="788" t="s">
        <v>27</v>
      </c>
      <c r="AE124" s="880"/>
      <c r="AF124" s="881"/>
      <c r="AG124" s="881"/>
      <c r="AH124" s="881"/>
      <c r="AI124" s="788" t="s">
        <v>28</v>
      </c>
      <c r="AJ124" s="880"/>
      <c r="AK124" s="881"/>
      <c r="AL124" s="881"/>
      <c r="AM124" s="881"/>
      <c r="AN124" s="788" t="s">
        <v>26</v>
      </c>
      <c r="AO124" s="789"/>
      <c r="AP124" s="789"/>
      <c r="AQ124" s="789"/>
      <c r="AR124" s="789"/>
      <c r="AS124" s="773" t="s">
        <v>13</v>
      </c>
      <c r="AT124" s="774"/>
      <c r="AU124" s="775"/>
      <c r="AV124" s="775"/>
    </row>
    <row r="125" spans="1:48" s="63" customFormat="1" ht="13.5" x14ac:dyDescent="0.2">
      <c r="C125" s="693" t="s">
        <v>2524</v>
      </c>
      <c r="D125" s="694"/>
      <c r="E125" s="694"/>
      <c r="F125" s="694"/>
      <c r="G125" s="694"/>
      <c r="H125" s="694"/>
      <c r="I125" s="694"/>
      <c r="J125" s="694"/>
      <c r="K125" s="694"/>
      <c r="L125" s="694"/>
      <c r="M125" s="694"/>
      <c r="N125" s="694"/>
      <c r="O125" s="694"/>
      <c r="P125" s="694"/>
      <c r="Q125" s="694"/>
      <c r="R125" s="694"/>
      <c r="S125" s="694"/>
      <c r="T125" s="694"/>
      <c r="U125" s="694"/>
      <c r="V125" s="694"/>
      <c r="W125" s="694"/>
      <c r="X125" s="694"/>
      <c r="Y125" s="694"/>
      <c r="Z125" s="694"/>
      <c r="AA125" s="694"/>
      <c r="AB125" s="694"/>
      <c r="AC125" s="694"/>
      <c r="AD125" s="694"/>
      <c r="AE125" s="694"/>
      <c r="AF125" s="694"/>
      <c r="AG125" s="694"/>
      <c r="AH125" s="694"/>
      <c r="AI125" s="694"/>
      <c r="AJ125" s="694"/>
      <c r="AK125" s="694"/>
      <c r="AL125" s="694"/>
      <c r="AM125" s="694"/>
      <c r="AN125" s="694"/>
      <c r="AO125" s="694"/>
      <c r="AP125" s="694"/>
      <c r="AQ125" s="694"/>
      <c r="AR125" s="694"/>
      <c r="AS125" s="694"/>
      <c r="AT125" s="694"/>
      <c r="AU125" s="694"/>
      <c r="AV125" s="877"/>
    </row>
    <row r="126" spans="1:48" s="142" customFormat="1" ht="84" customHeight="1" x14ac:dyDescent="0.2">
      <c r="C126" s="892"/>
      <c r="D126" s="892"/>
      <c r="E126" s="892"/>
      <c r="F126" s="892"/>
      <c r="G126" s="892"/>
      <c r="H126" s="892"/>
      <c r="I126" s="892"/>
      <c r="J126" s="892"/>
      <c r="K126" s="892"/>
      <c r="L126" s="892"/>
      <c r="M126" s="892"/>
      <c r="N126" s="892"/>
      <c r="O126" s="892"/>
      <c r="P126" s="892"/>
      <c r="Q126" s="892"/>
      <c r="R126" s="782"/>
      <c r="S126" s="782"/>
      <c r="T126" s="782"/>
      <c r="U126" s="782"/>
      <c r="V126" s="782"/>
      <c r="W126" s="782"/>
      <c r="X126" s="871"/>
      <c r="Y126" s="871"/>
      <c r="Z126" s="871"/>
      <c r="AA126" s="782"/>
      <c r="AB126" s="782"/>
      <c r="AC126" s="782"/>
      <c r="AD126" s="713"/>
      <c r="AE126" s="713"/>
      <c r="AF126" s="714"/>
      <c r="AG126" s="714"/>
      <c r="AH126" s="714"/>
      <c r="AI126" s="713"/>
      <c r="AJ126" s="713"/>
      <c r="AK126" s="714"/>
      <c r="AL126" s="714"/>
      <c r="AM126" s="714"/>
      <c r="AN126" s="713">
        <f>+AD126-AI126</f>
        <v>0</v>
      </c>
      <c r="AO126" s="714"/>
      <c r="AP126" s="714"/>
      <c r="AQ126" s="714"/>
      <c r="AR126" s="714"/>
      <c r="AS126" s="715" t="e">
        <f>+AN126/X126</f>
        <v>#DIV/0!</v>
      </c>
      <c r="AT126" s="716"/>
      <c r="AU126" s="717"/>
      <c r="AV126" s="717"/>
    </row>
    <row r="127" spans="1:48" s="142" customFormat="1" ht="88.5" customHeight="1" x14ac:dyDescent="0.2">
      <c r="C127" s="818"/>
      <c r="D127" s="819"/>
      <c r="E127" s="819"/>
      <c r="F127" s="819"/>
      <c r="G127" s="819"/>
      <c r="H127" s="819"/>
      <c r="I127" s="819"/>
      <c r="J127" s="819"/>
      <c r="K127" s="819"/>
      <c r="L127" s="819"/>
      <c r="M127" s="819"/>
      <c r="N127" s="819"/>
      <c r="O127" s="819"/>
      <c r="P127" s="819"/>
      <c r="Q127" s="819"/>
      <c r="R127" s="738"/>
      <c r="S127" s="739"/>
      <c r="T127" s="740"/>
      <c r="U127" s="738"/>
      <c r="V127" s="739"/>
      <c r="W127" s="740"/>
      <c r="X127" s="738"/>
      <c r="Y127" s="739"/>
      <c r="Z127" s="740"/>
      <c r="AA127" s="738"/>
      <c r="AB127" s="739"/>
      <c r="AC127" s="740"/>
      <c r="AD127" s="713"/>
      <c r="AE127" s="713"/>
      <c r="AF127" s="714"/>
      <c r="AG127" s="714"/>
      <c r="AH127" s="714"/>
      <c r="AI127" s="713"/>
      <c r="AJ127" s="713"/>
      <c r="AK127" s="714"/>
      <c r="AL127" s="714"/>
      <c r="AM127" s="714"/>
      <c r="AN127" s="713">
        <f>+AD127-AI127</f>
        <v>0</v>
      </c>
      <c r="AO127" s="714"/>
      <c r="AP127" s="714"/>
      <c r="AQ127" s="714"/>
      <c r="AR127" s="714"/>
      <c r="AS127" s="929" t="e">
        <f>+AN127/X127</f>
        <v>#DIV/0!</v>
      </c>
      <c r="AT127" s="930"/>
      <c r="AU127" s="931"/>
      <c r="AV127" s="931"/>
    </row>
    <row r="128" spans="1:48" s="142" customFormat="1" ht="84" customHeight="1" x14ac:dyDescent="0.2">
      <c r="C128" s="892"/>
      <c r="D128" s="892"/>
      <c r="E128" s="892"/>
      <c r="F128" s="892"/>
      <c r="G128" s="892"/>
      <c r="H128" s="892"/>
      <c r="I128" s="892"/>
      <c r="J128" s="892"/>
      <c r="K128" s="892"/>
      <c r="L128" s="892"/>
      <c r="M128" s="892"/>
      <c r="N128" s="892"/>
      <c r="O128" s="892"/>
      <c r="P128" s="892"/>
      <c r="Q128" s="892"/>
      <c r="R128" s="782"/>
      <c r="S128" s="782"/>
      <c r="T128" s="782"/>
      <c r="U128" s="782"/>
      <c r="V128" s="782"/>
      <c r="W128" s="782"/>
      <c r="X128" s="871"/>
      <c r="Y128" s="871"/>
      <c r="Z128" s="871"/>
      <c r="AA128" s="782"/>
      <c r="AB128" s="782"/>
      <c r="AC128" s="782"/>
      <c r="AD128" s="713"/>
      <c r="AE128" s="713"/>
      <c r="AF128" s="714"/>
      <c r="AG128" s="714"/>
      <c r="AH128" s="714"/>
      <c r="AI128" s="713"/>
      <c r="AJ128" s="713"/>
      <c r="AK128" s="714"/>
      <c r="AL128" s="714"/>
      <c r="AM128" s="714"/>
      <c r="AN128" s="713">
        <f>+AD128-AI128</f>
        <v>0</v>
      </c>
      <c r="AO128" s="714"/>
      <c r="AP128" s="714"/>
      <c r="AQ128" s="714"/>
      <c r="AR128" s="714"/>
      <c r="AS128" s="715" t="e">
        <f>+AN128/X128</f>
        <v>#DIV/0!</v>
      </c>
      <c r="AT128" s="716"/>
      <c r="AU128" s="717"/>
      <c r="AV128" s="717"/>
    </row>
    <row r="129" spans="1:48" s="63" customFormat="1" ht="34.5" customHeight="1" x14ac:dyDescent="0.2">
      <c r="C129" s="876" t="s">
        <v>2525</v>
      </c>
      <c r="D129" s="694"/>
      <c r="E129" s="694"/>
      <c r="F129" s="694"/>
      <c r="G129" s="694"/>
      <c r="H129" s="694"/>
      <c r="I129" s="694"/>
      <c r="J129" s="694"/>
      <c r="K129" s="694"/>
      <c r="L129" s="694"/>
      <c r="M129" s="694"/>
      <c r="N129" s="694"/>
      <c r="O129" s="694"/>
      <c r="P129" s="694"/>
      <c r="Q129" s="694"/>
      <c r="R129" s="694"/>
      <c r="S129" s="694"/>
      <c r="T129" s="694"/>
      <c r="U129" s="694"/>
      <c r="V129" s="694"/>
      <c r="W129" s="694"/>
      <c r="X129" s="694"/>
      <c r="Y129" s="694"/>
      <c r="Z129" s="694"/>
      <c r="AA129" s="694"/>
      <c r="AB129" s="694"/>
      <c r="AC129" s="694"/>
      <c r="AD129" s="694"/>
      <c r="AE129" s="694"/>
      <c r="AF129" s="694"/>
      <c r="AG129" s="694"/>
      <c r="AH129" s="694"/>
      <c r="AI129" s="694"/>
      <c r="AJ129" s="694"/>
      <c r="AK129" s="694"/>
      <c r="AL129" s="694"/>
      <c r="AM129" s="694"/>
      <c r="AN129" s="694"/>
      <c r="AO129" s="694"/>
      <c r="AP129" s="694"/>
      <c r="AQ129" s="694"/>
      <c r="AR129" s="694"/>
      <c r="AS129" s="694"/>
      <c r="AT129" s="694"/>
      <c r="AU129" s="694"/>
      <c r="AV129" s="877"/>
    </row>
    <row r="130" spans="1:48" s="142" customFormat="1" ht="88.5" customHeight="1" thickBot="1" x14ac:dyDescent="0.25">
      <c r="C130" s="896"/>
      <c r="D130" s="897"/>
      <c r="E130" s="897"/>
      <c r="F130" s="897"/>
      <c r="G130" s="897"/>
      <c r="H130" s="897"/>
      <c r="I130" s="897"/>
      <c r="J130" s="897"/>
      <c r="K130" s="897"/>
      <c r="L130" s="897"/>
      <c r="M130" s="897"/>
      <c r="N130" s="897"/>
      <c r="O130" s="897"/>
      <c r="P130" s="897"/>
      <c r="Q130" s="897"/>
      <c r="R130" s="779"/>
      <c r="S130" s="780"/>
      <c r="T130" s="781"/>
      <c r="U130" s="779"/>
      <c r="V130" s="780"/>
      <c r="W130" s="781"/>
      <c r="X130" s="779"/>
      <c r="Y130" s="780"/>
      <c r="Z130" s="781"/>
      <c r="AA130" s="779"/>
      <c r="AB130" s="780"/>
      <c r="AC130" s="781"/>
      <c r="AD130" s="878"/>
      <c r="AE130" s="878"/>
      <c r="AF130" s="879"/>
      <c r="AG130" s="879"/>
      <c r="AH130" s="879"/>
      <c r="AI130" s="878"/>
      <c r="AJ130" s="878"/>
      <c r="AK130" s="879"/>
      <c r="AL130" s="879"/>
      <c r="AM130" s="879"/>
      <c r="AN130" s="878">
        <f>+AD130-AI130</f>
        <v>0</v>
      </c>
      <c r="AO130" s="879"/>
      <c r="AP130" s="879"/>
      <c r="AQ130" s="879"/>
      <c r="AR130" s="879"/>
      <c r="AS130" s="1025" t="e">
        <f>+AN130/X130</f>
        <v>#DIV/0!</v>
      </c>
      <c r="AT130" s="1026"/>
      <c r="AU130" s="1027"/>
      <c r="AV130" s="1027"/>
    </row>
    <row r="131" spans="1:48" s="143" customFormat="1" ht="21" customHeight="1" thickTop="1" x14ac:dyDescent="0.2">
      <c r="A131" s="143" t="s">
        <v>212</v>
      </c>
      <c r="B131" s="144"/>
      <c r="C131" s="707"/>
      <c r="D131" s="708"/>
      <c r="E131" s="708"/>
      <c r="F131" s="708"/>
      <c r="G131" s="708"/>
      <c r="H131" s="708"/>
      <c r="I131" s="708"/>
      <c r="J131" s="708"/>
      <c r="K131" s="708"/>
      <c r="L131" s="708"/>
      <c r="M131" s="708"/>
      <c r="N131" s="708"/>
      <c r="O131" s="708"/>
      <c r="P131" s="708"/>
      <c r="Q131" s="708"/>
      <c r="R131" s="708"/>
      <c r="S131" s="708"/>
      <c r="T131" s="708"/>
      <c r="U131" s="708"/>
      <c r="V131" s="708"/>
      <c r="W131" s="708"/>
      <c r="X131" s="708"/>
      <c r="Y131" s="708"/>
      <c r="Z131" s="708"/>
      <c r="AA131" s="708"/>
      <c r="AB131" s="708"/>
      <c r="AC131" s="708"/>
      <c r="AD131" s="708"/>
      <c r="AE131" s="708"/>
      <c r="AF131" s="708"/>
      <c r="AG131" s="708"/>
      <c r="AH131" s="708"/>
      <c r="AI131" s="708"/>
      <c r="AJ131" s="708"/>
      <c r="AK131" s="708"/>
      <c r="AL131" s="708"/>
      <c r="AM131" s="708"/>
      <c r="AN131" s="708"/>
      <c r="AO131" s="708"/>
      <c r="AP131" s="708"/>
      <c r="AQ131" s="708"/>
      <c r="AR131" s="708"/>
      <c r="AS131" s="708"/>
      <c r="AT131" s="708"/>
      <c r="AU131" s="708"/>
      <c r="AV131" s="709"/>
    </row>
    <row r="132" spans="1:48" s="143" customFormat="1" ht="21" customHeight="1" x14ac:dyDescent="0.2">
      <c r="A132" s="90"/>
      <c r="B132" s="144"/>
      <c r="C132" s="707"/>
      <c r="D132" s="708"/>
      <c r="E132" s="708"/>
      <c r="F132" s="708"/>
      <c r="G132" s="708"/>
      <c r="H132" s="708"/>
      <c r="I132" s="708"/>
      <c r="J132" s="708"/>
      <c r="K132" s="708"/>
      <c r="L132" s="708"/>
      <c r="M132" s="708"/>
      <c r="N132" s="708"/>
      <c r="O132" s="708"/>
      <c r="P132" s="708"/>
      <c r="Q132" s="708"/>
      <c r="R132" s="708"/>
      <c r="S132" s="708"/>
      <c r="T132" s="708"/>
      <c r="U132" s="708"/>
      <c r="V132" s="708"/>
      <c r="W132" s="708"/>
      <c r="X132" s="708"/>
      <c r="Y132" s="708"/>
      <c r="Z132" s="708"/>
      <c r="AA132" s="708"/>
      <c r="AB132" s="708"/>
      <c r="AC132" s="708"/>
      <c r="AD132" s="708"/>
      <c r="AE132" s="708"/>
      <c r="AF132" s="708"/>
      <c r="AG132" s="708"/>
      <c r="AH132" s="708"/>
      <c r="AI132" s="708"/>
      <c r="AJ132" s="708"/>
      <c r="AK132" s="708"/>
      <c r="AL132" s="708"/>
      <c r="AM132" s="708"/>
      <c r="AN132" s="708"/>
      <c r="AO132" s="708"/>
      <c r="AP132" s="708"/>
      <c r="AQ132" s="708"/>
      <c r="AR132" s="708"/>
      <c r="AS132" s="708"/>
      <c r="AT132" s="708"/>
      <c r="AU132" s="708"/>
      <c r="AV132" s="709"/>
    </row>
    <row r="133" spans="1:48" s="143" customFormat="1" ht="21" customHeight="1" x14ac:dyDescent="0.2">
      <c r="A133" s="90"/>
      <c r="B133" s="144"/>
      <c r="C133" s="707"/>
      <c r="D133" s="708"/>
      <c r="E133" s="708"/>
      <c r="F133" s="708"/>
      <c r="G133" s="708"/>
      <c r="H133" s="708"/>
      <c r="I133" s="708"/>
      <c r="J133" s="708"/>
      <c r="K133" s="708"/>
      <c r="L133" s="708"/>
      <c r="M133" s="708"/>
      <c r="N133" s="708"/>
      <c r="O133" s="708"/>
      <c r="P133" s="708"/>
      <c r="Q133" s="708"/>
      <c r="R133" s="708"/>
      <c r="S133" s="708"/>
      <c r="T133" s="708"/>
      <c r="U133" s="708"/>
      <c r="V133" s="708"/>
      <c r="W133" s="708"/>
      <c r="X133" s="708"/>
      <c r="Y133" s="708"/>
      <c r="Z133" s="708"/>
      <c r="AA133" s="708"/>
      <c r="AB133" s="708"/>
      <c r="AC133" s="708"/>
      <c r="AD133" s="708"/>
      <c r="AE133" s="708"/>
      <c r="AF133" s="708"/>
      <c r="AG133" s="708"/>
      <c r="AH133" s="708"/>
      <c r="AI133" s="708"/>
      <c r="AJ133" s="708"/>
      <c r="AK133" s="708"/>
      <c r="AL133" s="708"/>
      <c r="AM133" s="708"/>
      <c r="AN133" s="708"/>
      <c r="AO133" s="708"/>
      <c r="AP133" s="708"/>
      <c r="AQ133" s="708"/>
      <c r="AR133" s="708"/>
      <c r="AS133" s="708"/>
      <c r="AT133" s="708"/>
      <c r="AU133" s="708"/>
      <c r="AV133" s="709"/>
    </row>
    <row r="134" spans="1:48" s="143" customFormat="1" ht="21" customHeight="1" x14ac:dyDescent="0.2">
      <c r="A134" s="90"/>
      <c r="B134" s="144"/>
      <c r="C134" s="707"/>
      <c r="D134" s="708"/>
      <c r="E134" s="708"/>
      <c r="F134" s="708"/>
      <c r="G134" s="708"/>
      <c r="H134" s="708"/>
      <c r="I134" s="708"/>
      <c r="J134" s="708"/>
      <c r="K134" s="708"/>
      <c r="L134" s="708"/>
      <c r="M134" s="708"/>
      <c r="N134" s="708"/>
      <c r="O134" s="708"/>
      <c r="P134" s="708"/>
      <c r="Q134" s="708"/>
      <c r="R134" s="708"/>
      <c r="S134" s="708"/>
      <c r="T134" s="708"/>
      <c r="U134" s="708"/>
      <c r="V134" s="708"/>
      <c r="W134" s="708"/>
      <c r="X134" s="708"/>
      <c r="Y134" s="708"/>
      <c r="Z134" s="708"/>
      <c r="AA134" s="708"/>
      <c r="AB134" s="708"/>
      <c r="AC134" s="708"/>
      <c r="AD134" s="708"/>
      <c r="AE134" s="708"/>
      <c r="AF134" s="708"/>
      <c r="AG134" s="708"/>
      <c r="AH134" s="708"/>
      <c r="AI134" s="708"/>
      <c r="AJ134" s="708"/>
      <c r="AK134" s="708"/>
      <c r="AL134" s="708"/>
      <c r="AM134" s="708"/>
      <c r="AN134" s="708"/>
      <c r="AO134" s="708"/>
      <c r="AP134" s="708"/>
      <c r="AQ134" s="708"/>
      <c r="AR134" s="708"/>
      <c r="AS134" s="708"/>
      <c r="AT134" s="708"/>
      <c r="AU134" s="708"/>
      <c r="AV134" s="709"/>
    </row>
    <row r="135" spans="1:48" s="143" customFormat="1" ht="21" customHeight="1" x14ac:dyDescent="0.2">
      <c r="A135" s="90"/>
      <c r="B135" s="144"/>
      <c r="C135" s="707"/>
      <c r="D135" s="708"/>
      <c r="E135" s="708"/>
      <c r="F135" s="708"/>
      <c r="G135" s="708"/>
      <c r="H135" s="708"/>
      <c r="I135" s="708"/>
      <c r="J135" s="708"/>
      <c r="K135" s="708"/>
      <c r="L135" s="708"/>
      <c r="M135" s="708"/>
      <c r="N135" s="708"/>
      <c r="O135" s="708"/>
      <c r="P135" s="708"/>
      <c r="Q135" s="708"/>
      <c r="R135" s="708"/>
      <c r="S135" s="708"/>
      <c r="T135" s="708"/>
      <c r="U135" s="708"/>
      <c r="V135" s="708"/>
      <c r="W135" s="708"/>
      <c r="X135" s="708"/>
      <c r="Y135" s="708"/>
      <c r="Z135" s="708"/>
      <c r="AA135" s="708"/>
      <c r="AB135" s="708"/>
      <c r="AC135" s="708"/>
      <c r="AD135" s="708"/>
      <c r="AE135" s="708"/>
      <c r="AF135" s="708"/>
      <c r="AG135" s="708"/>
      <c r="AH135" s="708"/>
      <c r="AI135" s="708"/>
      <c r="AJ135" s="708"/>
      <c r="AK135" s="708"/>
      <c r="AL135" s="708"/>
      <c r="AM135" s="708"/>
      <c r="AN135" s="708"/>
      <c r="AO135" s="708"/>
      <c r="AP135" s="708"/>
      <c r="AQ135" s="708"/>
      <c r="AR135" s="708"/>
      <c r="AS135" s="708"/>
      <c r="AT135" s="708"/>
      <c r="AU135" s="708"/>
      <c r="AV135" s="709"/>
    </row>
    <row r="136" spans="1:48" s="143" customFormat="1" ht="21" customHeight="1" x14ac:dyDescent="0.2">
      <c r="B136" s="144"/>
      <c r="C136" s="707"/>
      <c r="D136" s="708"/>
      <c r="E136" s="708"/>
      <c r="F136" s="708"/>
      <c r="G136" s="708"/>
      <c r="H136" s="708"/>
      <c r="I136" s="708"/>
      <c r="J136" s="708"/>
      <c r="K136" s="708"/>
      <c r="L136" s="708"/>
      <c r="M136" s="708"/>
      <c r="N136" s="708"/>
      <c r="O136" s="708"/>
      <c r="P136" s="708"/>
      <c r="Q136" s="708"/>
      <c r="R136" s="708"/>
      <c r="S136" s="708"/>
      <c r="T136" s="708"/>
      <c r="U136" s="708"/>
      <c r="V136" s="708"/>
      <c r="W136" s="708"/>
      <c r="X136" s="708"/>
      <c r="Y136" s="708"/>
      <c r="Z136" s="708"/>
      <c r="AA136" s="708"/>
      <c r="AB136" s="708"/>
      <c r="AC136" s="708"/>
      <c r="AD136" s="708"/>
      <c r="AE136" s="708"/>
      <c r="AF136" s="708"/>
      <c r="AG136" s="708"/>
      <c r="AH136" s="708"/>
      <c r="AI136" s="708"/>
      <c r="AJ136" s="708"/>
      <c r="AK136" s="708"/>
      <c r="AL136" s="708"/>
      <c r="AM136" s="708"/>
      <c r="AN136" s="708"/>
      <c r="AO136" s="708"/>
      <c r="AP136" s="708"/>
      <c r="AQ136" s="708"/>
      <c r="AR136" s="708"/>
      <c r="AS136" s="708"/>
      <c r="AT136" s="708"/>
      <c r="AU136" s="708"/>
      <c r="AV136" s="709"/>
    </row>
    <row r="137" spans="1:48" s="143" customFormat="1" ht="21" customHeight="1" x14ac:dyDescent="0.2">
      <c r="A137" s="90"/>
      <c r="B137" s="144"/>
      <c r="C137" s="707"/>
      <c r="D137" s="708"/>
      <c r="E137" s="708"/>
      <c r="F137" s="708"/>
      <c r="G137" s="708"/>
      <c r="H137" s="708"/>
      <c r="I137" s="708"/>
      <c r="J137" s="708"/>
      <c r="K137" s="708"/>
      <c r="L137" s="708"/>
      <c r="M137" s="708"/>
      <c r="N137" s="708"/>
      <c r="O137" s="708"/>
      <c r="P137" s="708"/>
      <c r="Q137" s="708"/>
      <c r="R137" s="708"/>
      <c r="S137" s="708"/>
      <c r="T137" s="708"/>
      <c r="U137" s="708"/>
      <c r="V137" s="708"/>
      <c r="W137" s="708"/>
      <c r="X137" s="708"/>
      <c r="Y137" s="708"/>
      <c r="Z137" s="708"/>
      <c r="AA137" s="708"/>
      <c r="AB137" s="708"/>
      <c r="AC137" s="708"/>
      <c r="AD137" s="708"/>
      <c r="AE137" s="708"/>
      <c r="AF137" s="708"/>
      <c r="AG137" s="708"/>
      <c r="AH137" s="708"/>
      <c r="AI137" s="708"/>
      <c r="AJ137" s="708"/>
      <c r="AK137" s="708"/>
      <c r="AL137" s="708"/>
      <c r="AM137" s="708"/>
      <c r="AN137" s="708"/>
      <c r="AO137" s="708"/>
      <c r="AP137" s="708"/>
      <c r="AQ137" s="708"/>
      <c r="AR137" s="708"/>
      <c r="AS137" s="708"/>
      <c r="AT137" s="708"/>
      <c r="AU137" s="708"/>
      <c r="AV137" s="709"/>
    </row>
    <row r="138" spans="1:48" s="143" customFormat="1" ht="21" customHeight="1" x14ac:dyDescent="0.2">
      <c r="A138" s="90"/>
      <c r="B138" s="144"/>
      <c r="C138" s="707"/>
      <c r="D138" s="708"/>
      <c r="E138" s="708"/>
      <c r="F138" s="708"/>
      <c r="G138" s="708"/>
      <c r="H138" s="708"/>
      <c r="I138" s="708"/>
      <c r="J138" s="708"/>
      <c r="K138" s="708"/>
      <c r="L138" s="708"/>
      <c r="M138" s="708"/>
      <c r="N138" s="708"/>
      <c r="O138" s="708"/>
      <c r="P138" s="708"/>
      <c r="Q138" s="708"/>
      <c r="R138" s="708"/>
      <c r="S138" s="708"/>
      <c r="T138" s="708"/>
      <c r="U138" s="708"/>
      <c r="V138" s="708"/>
      <c r="W138" s="708"/>
      <c r="X138" s="708"/>
      <c r="Y138" s="708"/>
      <c r="Z138" s="708"/>
      <c r="AA138" s="708"/>
      <c r="AB138" s="708"/>
      <c r="AC138" s="708"/>
      <c r="AD138" s="708"/>
      <c r="AE138" s="708"/>
      <c r="AF138" s="708"/>
      <c r="AG138" s="708"/>
      <c r="AH138" s="708"/>
      <c r="AI138" s="708"/>
      <c r="AJ138" s="708"/>
      <c r="AK138" s="708"/>
      <c r="AL138" s="708"/>
      <c r="AM138" s="708"/>
      <c r="AN138" s="708"/>
      <c r="AO138" s="708"/>
      <c r="AP138" s="708"/>
      <c r="AQ138" s="708"/>
      <c r="AR138" s="708"/>
      <c r="AS138" s="708"/>
      <c r="AT138" s="708"/>
      <c r="AU138" s="708"/>
      <c r="AV138" s="709"/>
    </row>
    <row r="139" spans="1:48" s="143" customFormat="1" ht="21" customHeight="1" x14ac:dyDescent="0.2">
      <c r="A139" s="90"/>
      <c r="B139" s="144"/>
      <c r="C139" s="707"/>
      <c r="D139" s="708"/>
      <c r="E139" s="708"/>
      <c r="F139" s="708"/>
      <c r="G139" s="708"/>
      <c r="H139" s="708"/>
      <c r="I139" s="708"/>
      <c r="J139" s="708"/>
      <c r="K139" s="708"/>
      <c r="L139" s="708"/>
      <c r="M139" s="708"/>
      <c r="N139" s="708"/>
      <c r="O139" s="708"/>
      <c r="P139" s="708"/>
      <c r="Q139" s="708"/>
      <c r="R139" s="708"/>
      <c r="S139" s="708"/>
      <c r="T139" s="708"/>
      <c r="U139" s="708"/>
      <c r="V139" s="708"/>
      <c r="W139" s="708"/>
      <c r="X139" s="708"/>
      <c r="Y139" s="708"/>
      <c r="Z139" s="708"/>
      <c r="AA139" s="708"/>
      <c r="AB139" s="708"/>
      <c r="AC139" s="708"/>
      <c r="AD139" s="708"/>
      <c r="AE139" s="708"/>
      <c r="AF139" s="708"/>
      <c r="AG139" s="708"/>
      <c r="AH139" s="708"/>
      <c r="AI139" s="708"/>
      <c r="AJ139" s="708"/>
      <c r="AK139" s="708"/>
      <c r="AL139" s="708"/>
      <c r="AM139" s="708"/>
      <c r="AN139" s="708"/>
      <c r="AO139" s="708"/>
      <c r="AP139" s="708"/>
      <c r="AQ139" s="708"/>
      <c r="AR139" s="708"/>
      <c r="AS139" s="708"/>
      <c r="AT139" s="708"/>
      <c r="AU139" s="708"/>
      <c r="AV139" s="709"/>
    </row>
    <row r="140" spans="1:48" s="143" customFormat="1" ht="19.5" customHeight="1" x14ac:dyDescent="0.2">
      <c r="A140" s="90"/>
      <c r="B140" s="144"/>
      <c r="C140" s="707"/>
      <c r="D140" s="708"/>
      <c r="E140" s="708"/>
      <c r="F140" s="708"/>
      <c r="G140" s="708"/>
      <c r="H140" s="708"/>
      <c r="I140" s="708"/>
      <c r="J140" s="708"/>
      <c r="K140" s="708"/>
      <c r="L140" s="708"/>
      <c r="M140" s="708"/>
      <c r="N140" s="708"/>
      <c r="O140" s="708"/>
      <c r="P140" s="708"/>
      <c r="Q140" s="708"/>
      <c r="R140" s="708"/>
      <c r="S140" s="708"/>
      <c r="T140" s="708"/>
      <c r="U140" s="708"/>
      <c r="V140" s="708"/>
      <c r="W140" s="708"/>
      <c r="X140" s="708"/>
      <c r="Y140" s="708"/>
      <c r="Z140" s="708"/>
      <c r="AA140" s="708"/>
      <c r="AB140" s="708"/>
      <c r="AC140" s="708"/>
      <c r="AD140" s="708"/>
      <c r="AE140" s="708"/>
      <c r="AF140" s="708"/>
      <c r="AG140" s="708"/>
      <c r="AH140" s="708"/>
      <c r="AI140" s="708"/>
      <c r="AJ140" s="708"/>
      <c r="AK140" s="708"/>
      <c r="AL140" s="708"/>
      <c r="AM140" s="708"/>
      <c r="AN140" s="708"/>
      <c r="AO140" s="708"/>
      <c r="AP140" s="708"/>
      <c r="AQ140" s="708"/>
      <c r="AR140" s="708"/>
      <c r="AS140" s="708"/>
      <c r="AT140" s="708"/>
      <c r="AU140" s="708"/>
      <c r="AV140" s="709"/>
    </row>
    <row r="141" spans="1:48" s="143" customFormat="1" ht="21" customHeight="1" thickBot="1" x14ac:dyDescent="0.25">
      <c r="A141" s="90"/>
      <c r="B141" s="144"/>
      <c r="C141" s="710"/>
      <c r="D141" s="711"/>
      <c r="E141" s="711"/>
      <c r="F141" s="711"/>
      <c r="G141" s="711"/>
      <c r="H141" s="711"/>
      <c r="I141" s="711"/>
      <c r="J141" s="711"/>
      <c r="K141" s="711"/>
      <c r="L141" s="711"/>
      <c r="M141" s="711"/>
      <c r="N141" s="711"/>
      <c r="O141" s="711"/>
      <c r="P141" s="711"/>
      <c r="Q141" s="711"/>
      <c r="R141" s="711"/>
      <c r="S141" s="711"/>
      <c r="T141" s="711"/>
      <c r="U141" s="711"/>
      <c r="V141" s="711"/>
      <c r="W141" s="711"/>
      <c r="X141" s="711"/>
      <c r="Y141" s="711"/>
      <c r="Z141" s="711"/>
      <c r="AA141" s="711"/>
      <c r="AB141" s="711"/>
      <c r="AC141" s="711"/>
      <c r="AD141" s="711"/>
      <c r="AE141" s="711"/>
      <c r="AF141" s="711"/>
      <c r="AG141" s="711"/>
      <c r="AH141" s="711"/>
      <c r="AI141" s="711"/>
      <c r="AJ141" s="711"/>
      <c r="AK141" s="711"/>
      <c r="AL141" s="711"/>
      <c r="AM141" s="711"/>
      <c r="AN141" s="711"/>
      <c r="AO141" s="711"/>
      <c r="AP141" s="711"/>
      <c r="AQ141" s="711"/>
      <c r="AR141" s="711"/>
      <c r="AS141" s="711"/>
      <c r="AT141" s="711"/>
      <c r="AU141" s="711"/>
      <c r="AV141" s="712"/>
    </row>
    <row r="142" spans="1:48" s="136" customFormat="1" ht="84.75" customHeight="1" thickTop="1" x14ac:dyDescent="0.2">
      <c r="C142" s="745"/>
      <c r="D142" s="746"/>
      <c r="E142" s="746"/>
      <c r="F142" s="746"/>
      <c r="G142" s="746"/>
      <c r="H142" s="746"/>
      <c r="I142" s="746"/>
      <c r="J142" s="746"/>
      <c r="K142" s="746"/>
      <c r="L142" s="746"/>
      <c r="M142" s="746"/>
      <c r="N142" s="746"/>
      <c r="O142" s="746"/>
      <c r="P142" s="746"/>
      <c r="Q142" s="746"/>
      <c r="R142" s="746"/>
      <c r="S142" s="746"/>
      <c r="T142" s="746"/>
      <c r="U142" s="746"/>
      <c r="V142" s="746"/>
      <c r="W142" s="746"/>
      <c r="X142" s="746"/>
      <c r="Y142" s="746"/>
      <c r="Z142" s="746"/>
      <c r="AA142" s="746"/>
      <c r="AB142" s="746"/>
      <c r="AC142" s="746"/>
      <c r="AD142" s="746"/>
      <c r="AE142" s="746"/>
      <c r="AF142" s="746"/>
      <c r="AG142" s="746"/>
      <c r="AH142" s="746"/>
      <c r="AI142" s="746"/>
      <c r="AJ142" s="746"/>
      <c r="AK142" s="746"/>
      <c r="AL142" s="746"/>
      <c r="AM142" s="746"/>
      <c r="AN142" s="746"/>
      <c r="AO142" s="746"/>
      <c r="AP142" s="746"/>
      <c r="AQ142" s="746"/>
      <c r="AR142" s="746"/>
      <c r="AS142" s="746"/>
      <c r="AT142" s="746"/>
      <c r="AU142" s="746"/>
      <c r="AV142" s="746"/>
    </row>
    <row r="143" spans="1:48" ht="15.95" customHeight="1" x14ac:dyDescent="0.2">
      <c r="C143" s="874"/>
      <c r="D143" s="875"/>
      <c r="E143" s="875"/>
      <c r="F143" s="875"/>
      <c r="G143" s="875"/>
      <c r="H143" s="875"/>
      <c r="I143" s="875"/>
      <c r="J143" s="875"/>
      <c r="K143" s="875"/>
      <c r="L143" s="875"/>
      <c r="M143" s="875"/>
      <c r="N143" s="875"/>
      <c r="O143" s="875"/>
      <c r="P143" s="875"/>
      <c r="Q143" s="875"/>
      <c r="R143" s="875"/>
      <c r="S143" s="875"/>
      <c r="T143" s="875"/>
      <c r="U143" s="875"/>
      <c r="V143" s="888"/>
      <c r="W143" s="889"/>
      <c r="X143" s="889"/>
      <c r="Y143" s="753"/>
      <c r="Z143" s="753"/>
      <c r="AA143" s="753"/>
      <c r="AB143" s="753"/>
      <c r="AC143" s="729" t="s">
        <v>15</v>
      </c>
      <c r="AD143" s="753"/>
      <c r="AE143" s="753"/>
      <c r="AF143" s="753"/>
      <c r="AG143" s="910"/>
      <c r="AH143" s="910"/>
      <c r="AI143" s="910"/>
      <c r="AJ143" s="910"/>
      <c r="AK143" s="910"/>
      <c r="AL143" s="910"/>
      <c r="AM143" s="910"/>
      <c r="AN143" s="875"/>
      <c r="AO143" s="875"/>
      <c r="AP143" s="875"/>
      <c r="AQ143" s="875"/>
      <c r="AR143" s="875"/>
      <c r="AS143" s="875"/>
      <c r="AT143" s="875"/>
      <c r="AU143" s="875"/>
      <c r="AV143" s="911"/>
    </row>
    <row r="144" spans="1:48" ht="20.25" customHeight="1" x14ac:dyDescent="0.2">
      <c r="C144" s="56" t="s">
        <v>43</v>
      </c>
      <c r="I144" s="65" t="str">
        <f>+J119</f>
        <v>TERRENO</v>
      </c>
      <c r="J144" s="66"/>
    </row>
    <row r="145" spans="1:48" s="90" customFormat="1" ht="20.25" customHeight="1" x14ac:dyDescent="0.2">
      <c r="C145" s="46" t="str">
        <f>+D75</f>
        <v>Departamento N° ….</v>
      </c>
      <c r="I145" s="65"/>
      <c r="J145" s="291"/>
    </row>
    <row r="146" spans="1:48" ht="15.95" customHeight="1" x14ac:dyDescent="0.2">
      <c r="C146" s="45" t="s">
        <v>109</v>
      </c>
      <c r="D146" s="54"/>
      <c r="E146" s="54"/>
      <c r="F146" s="54"/>
      <c r="G146" s="54"/>
      <c r="H146" s="54"/>
      <c r="I146" s="54"/>
      <c r="J146" s="54"/>
      <c r="K146" s="54"/>
      <c r="L146" s="54"/>
      <c r="M146" s="54"/>
      <c r="N146" s="54"/>
      <c r="O146" s="54"/>
      <c r="P146" s="54"/>
      <c r="Q146" s="54"/>
      <c r="R146" s="54"/>
      <c r="S146" s="54"/>
      <c r="T146" s="54"/>
      <c r="U146" s="778">
        <v>1</v>
      </c>
      <c r="V146" s="778"/>
      <c r="W146" s="778"/>
      <c r="X146" s="778"/>
      <c r="Y146" s="54"/>
      <c r="Z146" s="54"/>
      <c r="AA146" s="54"/>
      <c r="AB146" s="54"/>
      <c r="AC146" s="64"/>
      <c r="AD146" s="51"/>
      <c r="AE146" s="51"/>
      <c r="AF146" s="51"/>
      <c r="AG146" s="40"/>
      <c r="AH146" s="40"/>
      <c r="AI146" s="40"/>
      <c r="AJ146" s="40"/>
      <c r="AK146" s="40"/>
      <c r="AL146" s="40"/>
      <c r="AM146" s="40"/>
      <c r="AN146" s="20"/>
      <c r="AO146" s="20"/>
      <c r="AP146" s="20"/>
      <c r="AQ146" s="20"/>
      <c r="AR146" s="20"/>
      <c r="AS146" s="20"/>
      <c r="AT146" s="20"/>
      <c r="AU146" s="20"/>
      <c r="AV146" s="20"/>
    </row>
    <row r="147" spans="1:48" s="47" customFormat="1" ht="17.25" customHeight="1" x14ac:dyDescent="0.2">
      <c r="C147" s="869">
        <f>+AO35</f>
        <v>0</v>
      </c>
      <c r="D147" s="869"/>
      <c r="E147" s="869"/>
      <c r="F147" s="870"/>
      <c r="G147" s="870"/>
      <c r="H147" s="870"/>
      <c r="I147" s="47" t="s">
        <v>9</v>
      </c>
      <c r="L147" s="47" t="s">
        <v>4</v>
      </c>
      <c r="M147" s="67"/>
      <c r="N147" s="872">
        <f>+V143</f>
        <v>0</v>
      </c>
      <c r="O147" s="872"/>
      <c r="P147" s="873"/>
      <c r="Q147" s="873"/>
      <c r="R147" s="873"/>
      <c r="S147" s="873"/>
      <c r="T147" s="873"/>
      <c r="U147" s="68" t="s">
        <v>16</v>
      </c>
      <c r="V147" s="69"/>
      <c r="AF147" s="67" t="s">
        <v>4</v>
      </c>
      <c r="AI147" s="756">
        <f>+U146</f>
        <v>1</v>
      </c>
      <c r="AJ147" s="756"/>
      <c r="AK147" s="755"/>
      <c r="AL147" s="755"/>
      <c r="AM147" s="70" t="s">
        <v>1</v>
      </c>
      <c r="AO147" s="754">
        <f>+C147*N147*AI147</f>
        <v>0</v>
      </c>
      <c r="AP147" s="754"/>
      <c r="AQ147" s="754"/>
      <c r="AR147" s="755"/>
      <c r="AS147" s="755"/>
      <c r="AT147" s="755"/>
      <c r="AU147" s="755"/>
      <c r="AV147" s="755"/>
    </row>
    <row r="148" spans="1:48" s="90" customFormat="1" x14ac:dyDescent="0.2">
      <c r="C148" s="46" t="str">
        <f>+D77</f>
        <v>Estacionamiento N° …</v>
      </c>
      <c r="I148" s="65"/>
      <c r="J148" s="291"/>
    </row>
    <row r="149" spans="1:48" ht="15.95" customHeight="1" x14ac:dyDescent="0.2">
      <c r="C149" s="45" t="s">
        <v>109</v>
      </c>
      <c r="D149" s="54"/>
      <c r="E149" s="54"/>
      <c r="F149" s="54"/>
      <c r="G149" s="54"/>
      <c r="H149" s="54"/>
      <c r="I149" s="54"/>
      <c r="J149" s="54"/>
      <c r="K149" s="54"/>
      <c r="L149" s="54"/>
      <c r="M149" s="54"/>
      <c r="N149" s="54"/>
      <c r="O149" s="54"/>
      <c r="P149" s="54"/>
      <c r="Q149" s="54"/>
      <c r="R149" s="54"/>
      <c r="S149" s="54"/>
      <c r="T149" s="54"/>
      <c r="U149" s="778">
        <v>1</v>
      </c>
      <c r="V149" s="778"/>
      <c r="W149" s="778"/>
      <c r="X149" s="778"/>
      <c r="Y149" s="54"/>
      <c r="Z149" s="54"/>
      <c r="AA149" s="54"/>
      <c r="AB149" s="54"/>
      <c r="AC149" s="64"/>
      <c r="AD149" s="51"/>
      <c r="AE149" s="51"/>
      <c r="AF149" s="51"/>
      <c r="AG149" s="40"/>
      <c r="AH149" s="40"/>
      <c r="AI149" s="40"/>
      <c r="AJ149" s="40"/>
      <c r="AK149" s="40"/>
      <c r="AL149" s="40"/>
      <c r="AM149" s="40"/>
      <c r="AN149" s="20"/>
      <c r="AO149" s="20"/>
      <c r="AP149" s="20"/>
      <c r="AQ149" s="20"/>
      <c r="AR149" s="20"/>
      <c r="AS149" s="20"/>
      <c r="AT149" s="20"/>
      <c r="AU149" s="20"/>
      <c r="AV149" s="20"/>
    </row>
    <row r="150" spans="1:48" s="47" customFormat="1" ht="17.25" customHeight="1" x14ac:dyDescent="0.2">
      <c r="C150" s="869">
        <f>+AO37</f>
        <v>0</v>
      </c>
      <c r="D150" s="869"/>
      <c r="E150" s="869"/>
      <c r="F150" s="870"/>
      <c r="G150" s="870"/>
      <c r="H150" s="870"/>
      <c r="I150" s="47" t="s">
        <v>9</v>
      </c>
      <c r="L150" s="47" t="s">
        <v>4</v>
      </c>
      <c r="M150" s="67"/>
      <c r="N150" s="934">
        <f>+N147</f>
        <v>0</v>
      </c>
      <c r="O150" s="872"/>
      <c r="P150" s="873"/>
      <c r="Q150" s="873"/>
      <c r="R150" s="873"/>
      <c r="S150" s="873"/>
      <c r="T150" s="873"/>
      <c r="U150" s="68" t="s">
        <v>16</v>
      </c>
      <c r="V150" s="69"/>
      <c r="AF150" s="67" t="s">
        <v>4</v>
      </c>
      <c r="AI150" s="756">
        <f>+U149</f>
        <v>1</v>
      </c>
      <c r="AJ150" s="756"/>
      <c r="AK150" s="755"/>
      <c r="AL150" s="755"/>
      <c r="AM150" s="70" t="s">
        <v>1</v>
      </c>
      <c r="AO150" s="754">
        <f>+C150*N150*AI150</f>
        <v>0</v>
      </c>
      <c r="AP150" s="754"/>
      <c r="AQ150" s="754"/>
      <c r="AR150" s="755"/>
      <c r="AS150" s="755"/>
      <c r="AT150" s="755"/>
      <c r="AU150" s="755"/>
      <c r="AV150" s="755"/>
    </row>
    <row r="151" spans="1:48" s="90" customFormat="1" x14ac:dyDescent="0.2">
      <c r="C151" s="46" t="str">
        <f>+D78</f>
        <v>Depósito N°..</v>
      </c>
      <c r="I151" s="65"/>
      <c r="J151" s="291"/>
    </row>
    <row r="152" spans="1:48" ht="15.95" customHeight="1" x14ac:dyDescent="0.2">
      <c r="C152" s="45" t="s">
        <v>109</v>
      </c>
      <c r="D152" s="54"/>
      <c r="E152" s="54"/>
      <c r="F152" s="54"/>
      <c r="G152" s="54"/>
      <c r="H152" s="54"/>
      <c r="I152" s="54"/>
      <c r="J152" s="54"/>
      <c r="K152" s="54"/>
      <c r="L152" s="54"/>
      <c r="M152" s="54"/>
      <c r="N152" s="54"/>
      <c r="O152" s="54"/>
      <c r="P152" s="54"/>
      <c r="Q152" s="54"/>
      <c r="R152" s="54"/>
      <c r="S152" s="54"/>
      <c r="T152" s="54"/>
      <c r="U152" s="778">
        <v>1</v>
      </c>
      <c r="V152" s="778"/>
      <c r="W152" s="778"/>
      <c r="X152" s="778"/>
      <c r="Y152" s="54"/>
      <c r="Z152" s="54"/>
      <c r="AA152" s="54"/>
      <c r="AB152" s="54"/>
      <c r="AC152" s="64"/>
      <c r="AD152" s="51"/>
      <c r="AE152" s="51"/>
      <c r="AF152" s="51"/>
      <c r="AG152" s="40"/>
      <c r="AH152" s="40"/>
      <c r="AI152" s="40"/>
      <c r="AJ152" s="40"/>
      <c r="AK152" s="40"/>
      <c r="AL152" s="40"/>
      <c r="AM152" s="40"/>
      <c r="AN152" s="20"/>
      <c r="AO152" s="20"/>
      <c r="AP152" s="20"/>
      <c r="AQ152" s="20"/>
      <c r="AR152" s="20"/>
      <c r="AS152" s="20"/>
      <c r="AT152" s="20"/>
      <c r="AU152" s="20"/>
      <c r="AV152" s="20"/>
    </row>
    <row r="153" spans="1:48" s="47" customFormat="1" ht="17.25" customHeight="1" x14ac:dyDescent="0.2">
      <c r="C153" s="869">
        <f>+AO39</f>
        <v>0</v>
      </c>
      <c r="D153" s="869"/>
      <c r="E153" s="869"/>
      <c r="F153" s="870"/>
      <c r="G153" s="870"/>
      <c r="H153" s="870"/>
      <c r="I153" s="47" t="s">
        <v>9</v>
      </c>
      <c r="L153" s="47" t="s">
        <v>4</v>
      </c>
      <c r="M153" s="67"/>
      <c r="N153" s="872">
        <f>+N150</f>
        <v>0</v>
      </c>
      <c r="O153" s="872"/>
      <c r="P153" s="873"/>
      <c r="Q153" s="873"/>
      <c r="R153" s="873"/>
      <c r="S153" s="873"/>
      <c r="T153" s="873"/>
      <c r="U153" s="68" t="s">
        <v>16</v>
      </c>
      <c r="V153" s="69"/>
      <c r="AF153" s="67" t="s">
        <v>4</v>
      </c>
      <c r="AI153" s="756">
        <f>+U152</f>
        <v>1</v>
      </c>
      <c r="AJ153" s="756"/>
      <c r="AK153" s="755"/>
      <c r="AL153" s="755"/>
      <c r="AM153" s="70" t="s">
        <v>1</v>
      </c>
      <c r="AO153" s="754">
        <f>+C153*N153*AI153</f>
        <v>0</v>
      </c>
      <c r="AP153" s="754"/>
      <c r="AQ153" s="754"/>
      <c r="AR153" s="755"/>
      <c r="AS153" s="755"/>
      <c r="AT153" s="755"/>
      <c r="AU153" s="755"/>
      <c r="AV153" s="755"/>
    </row>
    <row r="154" spans="1:48" s="71" customFormat="1" ht="13.5" customHeight="1" thickBot="1" x14ac:dyDescent="0.25">
      <c r="C154" s="262" t="str">
        <f>+C119</f>
        <v>VALOR DEL</v>
      </c>
      <c r="D154" s="263"/>
      <c r="E154" s="263"/>
      <c r="F154" s="263"/>
      <c r="G154" s="264"/>
      <c r="H154" s="265"/>
      <c r="I154" s="266"/>
      <c r="J154" s="266"/>
      <c r="K154" s="267" t="str">
        <f>+J119</f>
        <v>TERRENO</v>
      </c>
      <c r="L154" s="264"/>
      <c r="M154" s="264"/>
      <c r="N154" s="264"/>
      <c r="O154" s="264"/>
      <c r="P154" s="264"/>
      <c r="Q154" s="264"/>
      <c r="R154" s="264"/>
      <c r="S154" s="264"/>
      <c r="T154" s="264"/>
      <c r="U154" s="264"/>
      <c r="V154" s="264"/>
      <c r="W154" s="264"/>
      <c r="X154" s="264"/>
      <c r="Y154" s="264"/>
      <c r="Z154" s="264"/>
      <c r="AA154" s="264"/>
      <c r="AB154" s="264"/>
      <c r="AC154" s="264"/>
      <c r="AD154" s="264"/>
      <c r="AE154" s="264"/>
      <c r="AF154" s="264"/>
      <c r="AG154" s="264"/>
      <c r="AH154" s="264"/>
      <c r="AI154" s="264"/>
      <c r="AJ154" s="264"/>
      <c r="AK154" s="264"/>
      <c r="AL154" s="264"/>
      <c r="AM154" s="268" t="s">
        <v>1</v>
      </c>
      <c r="AN154" s="264"/>
      <c r="AO154" s="908">
        <f>SUM(AO147:AV153)</f>
        <v>0</v>
      </c>
      <c r="AP154" s="908"/>
      <c r="AQ154" s="908"/>
      <c r="AR154" s="909"/>
      <c r="AS154" s="909"/>
      <c r="AT154" s="909"/>
      <c r="AU154" s="909"/>
      <c r="AV154" s="909"/>
    </row>
    <row r="155" spans="1:48" ht="30" customHeight="1" thickTop="1" x14ac:dyDescent="0.2">
      <c r="A155" s="749">
        <f>1+A119</f>
        <v>2</v>
      </c>
      <c r="B155" s="894"/>
      <c r="C155" s="38" t="s">
        <v>85</v>
      </c>
    </row>
    <row r="156" spans="1:48" s="90" customFormat="1" ht="20.25" customHeight="1" x14ac:dyDescent="0.2">
      <c r="C156" s="46" t="str">
        <f>+C145</f>
        <v>Departamento N° ….</v>
      </c>
      <c r="I156" s="65"/>
      <c r="J156" s="291"/>
    </row>
    <row r="157" spans="1:48" s="90" customFormat="1" ht="20.25" customHeight="1" x14ac:dyDescent="0.2">
      <c r="C157" s="46" t="s">
        <v>2534</v>
      </c>
      <c r="I157" s="65"/>
      <c r="J157" s="291"/>
    </row>
    <row r="158" spans="1:48" s="47" customFormat="1" x14ac:dyDescent="0.2">
      <c r="C158" s="869">
        <f>+V75</f>
        <v>0</v>
      </c>
      <c r="D158" s="870"/>
      <c r="E158" s="870"/>
      <c r="F158" s="870"/>
      <c r="G158" s="870"/>
      <c r="H158" s="870"/>
      <c r="I158" s="47" t="s">
        <v>9</v>
      </c>
      <c r="L158" s="47" t="s">
        <v>4</v>
      </c>
      <c r="M158" s="67"/>
      <c r="N158" s="754">
        <f>+AR96</f>
        <v>0</v>
      </c>
      <c r="O158" s="754"/>
      <c r="P158" s="868"/>
      <c r="Q158" s="755"/>
      <c r="R158" s="755"/>
      <c r="S158" s="755"/>
      <c r="T158" s="68" t="s">
        <v>16</v>
      </c>
      <c r="Y158" s="67" t="s">
        <v>4</v>
      </c>
      <c r="AA158" s="756">
        <f>1-AC100</f>
        <v>1</v>
      </c>
      <c r="AB158" s="756"/>
      <c r="AC158" s="755"/>
      <c r="AD158" s="755"/>
      <c r="AF158" s="67" t="s">
        <v>4</v>
      </c>
      <c r="AI158" s="756">
        <f>+AI147</f>
        <v>1</v>
      </c>
      <c r="AJ158" s="756"/>
      <c r="AK158" s="755"/>
      <c r="AL158" s="755"/>
      <c r="AM158" s="68" t="s">
        <v>1</v>
      </c>
      <c r="AO158" s="754">
        <f>+C158*N158*AA158*AI158</f>
        <v>0</v>
      </c>
      <c r="AP158" s="754"/>
      <c r="AQ158" s="754"/>
      <c r="AR158" s="755"/>
      <c r="AS158" s="755"/>
      <c r="AT158" s="755"/>
      <c r="AU158" s="755"/>
      <c r="AV158" s="755"/>
    </row>
    <row r="159" spans="1:48" s="90" customFormat="1" ht="20.25" customHeight="1" x14ac:dyDescent="0.2">
      <c r="C159" s="46" t="s">
        <v>2535</v>
      </c>
      <c r="I159" s="65"/>
      <c r="J159" s="291"/>
    </row>
    <row r="160" spans="1:48" s="47" customFormat="1" x14ac:dyDescent="0.2">
      <c r="C160" s="869">
        <f>+AD75-V75</f>
        <v>0</v>
      </c>
      <c r="D160" s="870"/>
      <c r="E160" s="870"/>
      <c r="F160" s="870"/>
      <c r="G160" s="870"/>
      <c r="H160" s="870"/>
      <c r="I160" s="47" t="s">
        <v>9</v>
      </c>
      <c r="L160" s="47" t="s">
        <v>4</v>
      </c>
      <c r="M160" s="67"/>
      <c r="N160" s="766"/>
      <c r="O160" s="766"/>
      <c r="P160" s="767"/>
      <c r="Q160" s="768"/>
      <c r="R160" s="768"/>
      <c r="S160" s="768"/>
      <c r="T160" s="68" t="s">
        <v>16</v>
      </c>
      <c r="Y160" s="67" t="s">
        <v>4</v>
      </c>
      <c r="AA160" s="756">
        <f>+AA158</f>
        <v>1</v>
      </c>
      <c r="AB160" s="756"/>
      <c r="AC160" s="755"/>
      <c r="AD160" s="755"/>
      <c r="AF160" s="67" t="s">
        <v>4</v>
      </c>
      <c r="AI160" s="756">
        <f>+AI158</f>
        <v>1</v>
      </c>
      <c r="AJ160" s="756"/>
      <c r="AK160" s="755"/>
      <c r="AL160" s="755"/>
      <c r="AM160" s="68" t="s">
        <v>1</v>
      </c>
      <c r="AO160" s="754">
        <f>+C160*N160*AA160*AI160</f>
        <v>0</v>
      </c>
      <c r="AP160" s="754"/>
      <c r="AQ160" s="754"/>
      <c r="AR160" s="755"/>
      <c r="AS160" s="755"/>
      <c r="AT160" s="755"/>
      <c r="AU160" s="755"/>
      <c r="AV160" s="755"/>
    </row>
    <row r="161" spans="1:48" s="90" customFormat="1" ht="20.25" customHeight="1" x14ac:dyDescent="0.2">
      <c r="C161" s="46" t="str">
        <f>+C148</f>
        <v>Estacionamiento N° …</v>
      </c>
      <c r="I161" s="65"/>
      <c r="J161" s="291"/>
    </row>
    <row r="162" spans="1:48" s="47" customFormat="1" x14ac:dyDescent="0.2">
      <c r="C162" s="869">
        <f>+V77</f>
        <v>0</v>
      </c>
      <c r="D162" s="870"/>
      <c r="E162" s="870"/>
      <c r="F162" s="870"/>
      <c r="G162" s="870"/>
      <c r="H162" s="870"/>
      <c r="I162" s="47" t="s">
        <v>9</v>
      </c>
      <c r="L162" s="47" t="s">
        <v>4</v>
      </c>
      <c r="M162" s="67"/>
      <c r="N162" s="766">
        <v>200</v>
      </c>
      <c r="O162" s="766"/>
      <c r="P162" s="767"/>
      <c r="Q162" s="768"/>
      <c r="R162" s="768"/>
      <c r="S162" s="768"/>
      <c r="T162" s="68" t="s">
        <v>16</v>
      </c>
      <c r="Y162" s="67" t="s">
        <v>4</v>
      </c>
      <c r="AA162" s="756">
        <f>+AA158</f>
        <v>1</v>
      </c>
      <c r="AB162" s="756"/>
      <c r="AC162" s="755"/>
      <c r="AD162" s="755"/>
      <c r="AF162" s="67" t="s">
        <v>4</v>
      </c>
      <c r="AI162" s="756">
        <f>+AI150</f>
        <v>1</v>
      </c>
      <c r="AJ162" s="756"/>
      <c r="AK162" s="755"/>
      <c r="AL162" s="755"/>
      <c r="AM162" s="68" t="s">
        <v>1</v>
      </c>
      <c r="AO162" s="754">
        <f>+C162*N162*AA162*AI162</f>
        <v>0</v>
      </c>
      <c r="AP162" s="754"/>
      <c r="AQ162" s="754"/>
      <c r="AR162" s="755"/>
      <c r="AS162" s="755"/>
      <c r="AT162" s="755"/>
      <c r="AU162" s="755"/>
      <c r="AV162" s="755"/>
    </row>
    <row r="163" spans="1:48" s="90" customFormat="1" ht="20.25" customHeight="1" x14ac:dyDescent="0.2">
      <c r="C163" s="46" t="str">
        <f>+C151</f>
        <v>Depósito N°..</v>
      </c>
      <c r="I163" s="65"/>
      <c r="J163" s="291"/>
      <c r="N163" s="410"/>
      <c r="O163" s="410"/>
      <c r="P163" s="410"/>
      <c r="Q163" s="410"/>
      <c r="R163" s="410"/>
      <c r="S163" s="410"/>
    </row>
    <row r="164" spans="1:48" s="47" customFormat="1" x14ac:dyDescent="0.2">
      <c r="C164" s="869">
        <f>+V78</f>
        <v>0</v>
      </c>
      <c r="D164" s="870"/>
      <c r="E164" s="870"/>
      <c r="F164" s="870"/>
      <c r="G164" s="870"/>
      <c r="H164" s="870"/>
      <c r="I164" s="47" t="s">
        <v>9</v>
      </c>
      <c r="L164" s="47" t="s">
        <v>4</v>
      </c>
      <c r="M164" s="67"/>
      <c r="N164" s="766">
        <v>200</v>
      </c>
      <c r="O164" s="766"/>
      <c r="P164" s="767"/>
      <c r="Q164" s="768"/>
      <c r="R164" s="768"/>
      <c r="S164" s="768"/>
      <c r="T164" s="68" t="s">
        <v>16</v>
      </c>
      <c r="Y164" s="67" t="s">
        <v>4</v>
      </c>
      <c r="AA164" s="756">
        <f>+AA162</f>
        <v>1</v>
      </c>
      <c r="AB164" s="756"/>
      <c r="AC164" s="755"/>
      <c r="AD164" s="755"/>
      <c r="AF164" s="67" t="s">
        <v>4</v>
      </c>
      <c r="AI164" s="756">
        <f>+AI153</f>
        <v>1</v>
      </c>
      <c r="AJ164" s="756"/>
      <c r="AK164" s="755"/>
      <c r="AL164" s="755"/>
      <c r="AM164" s="68" t="s">
        <v>1</v>
      </c>
      <c r="AO164" s="754">
        <f>+C164*N164*AA164*AI164</f>
        <v>0</v>
      </c>
      <c r="AP164" s="754"/>
      <c r="AQ164" s="754"/>
      <c r="AR164" s="755"/>
      <c r="AS164" s="755"/>
      <c r="AT164" s="755"/>
      <c r="AU164" s="755"/>
      <c r="AV164" s="755"/>
    </row>
    <row r="165" spans="1:48" s="34" customFormat="1" ht="15" customHeight="1" thickBot="1" x14ac:dyDescent="0.25">
      <c r="C165" s="269" t="str">
        <f>+C155</f>
        <v>VALOR DE LA EDIFICACIÓN</v>
      </c>
      <c r="D165" s="270"/>
      <c r="E165" s="270"/>
      <c r="F165" s="270"/>
      <c r="G165" s="271"/>
      <c r="H165" s="272"/>
      <c r="I165" s="273"/>
      <c r="J165" s="274"/>
      <c r="K165" s="275"/>
      <c r="L165" s="271"/>
      <c r="M165" s="271"/>
      <c r="N165" s="271"/>
      <c r="O165" s="271"/>
      <c r="P165" s="271"/>
      <c r="Q165" s="271"/>
      <c r="R165" s="271"/>
      <c r="S165" s="271"/>
      <c r="T165" s="271"/>
      <c r="U165" s="271"/>
      <c r="V165" s="271"/>
      <c r="W165" s="271"/>
      <c r="X165" s="271"/>
      <c r="Y165" s="271"/>
      <c r="Z165" s="271"/>
      <c r="AA165" s="271"/>
      <c r="AB165" s="271"/>
      <c r="AC165" s="271"/>
      <c r="AD165" s="271"/>
      <c r="AE165" s="271"/>
      <c r="AF165" s="271"/>
      <c r="AG165" s="271"/>
      <c r="AH165" s="271"/>
      <c r="AI165" s="271"/>
      <c r="AJ165" s="271"/>
      <c r="AK165" s="271"/>
      <c r="AL165" s="271"/>
      <c r="AM165" s="276" t="s">
        <v>1</v>
      </c>
      <c r="AN165" s="271"/>
      <c r="AO165" s="763">
        <f>SUM(AO158:AV164)</f>
        <v>0</v>
      </c>
      <c r="AP165" s="763"/>
      <c r="AQ165" s="763"/>
      <c r="AR165" s="765"/>
      <c r="AS165" s="765"/>
      <c r="AT165" s="765"/>
      <c r="AU165" s="765"/>
      <c r="AV165" s="765"/>
    </row>
    <row r="166" spans="1:48" s="137" customFormat="1" ht="24.95" customHeight="1" thickTop="1" x14ac:dyDescent="0.2">
      <c r="A166" s="749">
        <f>1+A155</f>
        <v>3</v>
      </c>
      <c r="B166" s="750"/>
      <c r="C166" s="296" t="s">
        <v>2333</v>
      </c>
      <c r="D166" s="90"/>
      <c r="E166" s="90"/>
      <c r="F166" s="90"/>
      <c r="G166" s="138"/>
      <c r="H166" s="149"/>
      <c r="I166" s="290"/>
      <c r="J166" s="291"/>
      <c r="K166" s="141"/>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292"/>
      <c r="AN166" s="138"/>
      <c r="AO166" s="297"/>
      <c r="AP166" s="297"/>
      <c r="AQ166" s="297"/>
      <c r="AR166" s="90"/>
      <c r="AS166" s="90"/>
      <c r="AT166" s="90"/>
      <c r="AU166" s="90"/>
      <c r="AV166" s="90"/>
    </row>
    <row r="167" spans="1:48" s="90" customFormat="1" ht="20.25" customHeight="1" x14ac:dyDescent="0.2">
      <c r="C167" s="46" t="str">
        <f>+C156</f>
        <v>Departamento N° ….</v>
      </c>
      <c r="I167" s="65"/>
      <c r="J167" s="291"/>
    </row>
    <row r="168" spans="1:48" s="137" customFormat="1" x14ac:dyDescent="0.2">
      <c r="C168" s="751">
        <v>0.15</v>
      </c>
      <c r="D168" s="751"/>
      <c r="E168" s="743"/>
      <c r="F168" s="743"/>
      <c r="G168" s="743"/>
      <c r="H168" s="743"/>
      <c r="I168" s="743"/>
      <c r="J168" s="298"/>
      <c r="K168" s="299"/>
      <c r="L168" s="137" t="s">
        <v>2334</v>
      </c>
      <c r="N168" s="741">
        <f>+AO158+AO160</f>
        <v>0</v>
      </c>
      <c r="O168" s="741"/>
      <c r="P168" s="741"/>
      <c r="Q168" s="743"/>
      <c r="R168" s="743"/>
      <c r="S168" s="743"/>
      <c r="T168" s="743"/>
      <c r="U168" s="743"/>
      <c r="AM168" s="141" t="s">
        <v>1</v>
      </c>
      <c r="AN168" s="138"/>
      <c r="AO168" s="741">
        <f>+C168*N168</f>
        <v>0</v>
      </c>
      <c r="AP168" s="741"/>
      <c r="AQ168" s="741"/>
      <c r="AR168" s="743"/>
      <c r="AS168" s="743"/>
      <c r="AT168" s="743"/>
      <c r="AU168" s="743"/>
      <c r="AV168" s="743"/>
    </row>
    <row r="169" spans="1:48" s="90" customFormat="1" ht="20.25" customHeight="1" x14ac:dyDescent="0.2">
      <c r="C169" s="46" t="str">
        <f>+C161</f>
        <v>Estacionamiento N° …</v>
      </c>
      <c r="I169" s="65"/>
      <c r="J169" s="291"/>
    </row>
    <row r="170" spans="1:48" s="137" customFormat="1" x14ac:dyDescent="0.2">
      <c r="C170" s="751">
        <v>0.15</v>
      </c>
      <c r="D170" s="751"/>
      <c r="E170" s="743"/>
      <c r="F170" s="743"/>
      <c r="G170" s="743"/>
      <c r="H170" s="743"/>
      <c r="I170" s="743"/>
      <c r="J170" s="298"/>
      <c r="K170" s="299"/>
      <c r="L170" s="137" t="s">
        <v>2334</v>
      </c>
      <c r="N170" s="741">
        <f>+AO162</f>
        <v>0</v>
      </c>
      <c r="O170" s="741"/>
      <c r="P170" s="741"/>
      <c r="Q170" s="743"/>
      <c r="R170" s="743"/>
      <c r="S170" s="743"/>
      <c r="T170" s="743"/>
      <c r="U170" s="743"/>
      <c r="AM170" s="141" t="s">
        <v>1</v>
      </c>
      <c r="AN170" s="138"/>
      <c r="AO170" s="741">
        <f>+C170*N170</f>
        <v>0</v>
      </c>
      <c r="AP170" s="741"/>
      <c r="AQ170" s="741"/>
      <c r="AR170" s="743"/>
      <c r="AS170" s="743"/>
      <c r="AT170" s="743"/>
      <c r="AU170" s="743"/>
      <c r="AV170" s="743"/>
    </row>
    <row r="171" spans="1:48" s="90" customFormat="1" ht="20.25" customHeight="1" x14ac:dyDescent="0.2">
      <c r="C171" s="46" t="str">
        <f>+C163</f>
        <v>Depósito N°..</v>
      </c>
      <c r="I171" s="65"/>
      <c r="J171" s="291"/>
    </row>
    <row r="172" spans="1:48" s="137" customFormat="1" x14ac:dyDescent="0.2">
      <c r="C172" s="751">
        <v>0.15</v>
      </c>
      <c r="D172" s="751"/>
      <c r="E172" s="743"/>
      <c r="F172" s="743"/>
      <c r="G172" s="743"/>
      <c r="H172" s="743"/>
      <c r="I172" s="743"/>
      <c r="J172" s="298"/>
      <c r="K172" s="299"/>
      <c r="L172" s="137" t="s">
        <v>2334</v>
      </c>
      <c r="N172" s="741">
        <f>+AO164</f>
        <v>0</v>
      </c>
      <c r="O172" s="741"/>
      <c r="P172" s="741"/>
      <c r="Q172" s="743"/>
      <c r="R172" s="743"/>
      <c r="S172" s="743"/>
      <c r="T172" s="743"/>
      <c r="U172" s="743"/>
      <c r="AM172" s="141" t="s">
        <v>1</v>
      </c>
      <c r="AN172" s="138"/>
      <c r="AO172" s="741">
        <f>+C172*N172</f>
        <v>0</v>
      </c>
      <c r="AP172" s="741"/>
      <c r="AQ172" s="741"/>
      <c r="AR172" s="743"/>
      <c r="AS172" s="743"/>
      <c r="AT172" s="743"/>
      <c r="AU172" s="743"/>
      <c r="AV172" s="743"/>
    </row>
    <row r="173" spans="1:48" s="137" customFormat="1" ht="16.5" customHeight="1" thickBot="1" x14ac:dyDescent="0.25">
      <c r="C173" s="269" t="str">
        <f>+C166</f>
        <v>VALOR DE LAS ÁREAS COMUNES</v>
      </c>
      <c r="D173" s="300"/>
      <c r="E173" s="300"/>
      <c r="F173" s="300"/>
      <c r="G173" s="301"/>
      <c r="H173" s="302"/>
      <c r="I173" s="303"/>
      <c r="J173" s="304"/>
      <c r="K173" s="305"/>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6" t="s">
        <v>1</v>
      </c>
      <c r="AN173" s="301"/>
      <c r="AO173" s="763">
        <f>SUM(AO168:AV172)</f>
        <v>0</v>
      </c>
      <c r="AP173" s="763"/>
      <c r="AQ173" s="763"/>
      <c r="AR173" s="764"/>
      <c r="AS173" s="764"/>
      <c r="AT173" s="764"/>
      <c r="AU173" s="764"/>
      <c r="AV173" s="764"/>
    </row>
    <row r="174" spans="1:48" s="137" customFormat="1" ht="27" customHeight="1" thickTop="1" x14ac:dyDescent="0.2">
      <c r="A174" s="749">
        <f>+A166+1</f>
        <v>4</v>
      </c>
      <c r="B174" s="750"/>
      <c r="C174" s="38" t="s">
        <v>2471</v>
      </c>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row>
    <row r="175" spans="1:48" s="137" customFormat="1" ht="3" customHeight="1" x14ac:dyDescent="0.2">
      <c r="A175" s="90"/>
      <c r="B175" s="90"/>
      <c r="C175" s="345"/>
      <c r="D175" s="90"/>
      <c r="E175" s="90"/>
      <c r="F175" s="90"/>
      <c r="G175" s="90"/>
      <c r="H175" s="90"/>
      <c r="I175" s="90"/>
      <c r="J175" s="90"/>
      <c r="K175" s="90"/>
      <c r="L175" s="90"/>
      <c r="M175" s="90"/>
      <c r="N175" s="90"/>
      <c r="O175" s="90"/>
      <c r="P175" s="346"/>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row>
    <row r="176" spans="1:48" s="137" customFormat="1" x14ac:dyDescent="0.2">
      <c r="A176" s="90"/>
      <c r="B176" s="90"/>
      <c r="C176" s="354" t="str">
        <f>+C167</f>
        <v>Departamento N° ….</v>
      </c>
      <c r="D176" s="90"/>
      <c r="E176" s="90"/>
      <c r="F176" s="90"/>
      <c r="G176" s="90"/>
      <c r="H176" s="90"/>
      <c r="I176" s="90"/>
      <c r="J176" s="90"/>
      <c r="K176" s="90"/>
      <c r="L176" s="90"/>
      <c r="M176" s="90"/>
      <c r="N176" s="90"/>
      <c r="O176" s="90"/>
      <c r="P176" s="346"/>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row>
    <row r="177" spans="1:48" s="137" customFormat="1" ht="27" customHeight="1" x14ac:dyDescent="0.2">
      <c r="A177" s="347"/>
      <c r="B177" s="347"/>
      <c r="C177" s="783" t="s">
        <v>87</v>
      </c>
      <c r="D177" s="784"/>
      <c r="E177" s="784"/>
      <c r="F177" s="784"/>
      <c r="G177" s="784"/>
      <c r="H177" s="784"/>
      <c r="I177" s="784"/>
      <c r="J177" s="784"/>
      <c r="K177" s="784"/>
      <c r="L177" s="784"/>
      <c r="M177" s="784"/>
      <c r="N177" s="784"/>
      <c r="O177" s="784"/>
      <c r="P177" s="784"/>
      <c r="Q177" s="784"/>
      <c r="R177" s="784"/>
      <c r="S177" s="784"/>
      <c r="T177" s="784"/>
      <c r="U177" s="857" t="s">
        <v>2472</v>
      </c>
      <c r="V177" s="784"/>
      <c r="W177" s="784"/>
      <c r="X177" s="784"/>
      <c r="Y177" s="784"/>
      <c r="Z177" s="785"/>
      <c r="AA177" s="858" t="s">
        <v>2473</v>
      </c>
      <c r="AB177" s="784"/>
      <c r="AC177" s="784"/>
      <c r="AD177" s="784"/>
      <c r="AE177" s="784"/>
      <c r="AF177" s="783" t="s">
        <v>2477</v>
      </c>
      <c r="AG177" s="784"/>
      <c r="AH177" s="784"/>
      <c r="AI177" s="784"/>
      <c r="AJ177" s="785"/>
      <c r="AK177" s="857" t="s">
        <v>2478</v>
      </c>
      <c r="AL177" s="784"/>
      <c r="AM177" s="784"/>
      <c r="AN177" s="784"/>
      <c r="AO177" s="785"/>
      <c r="AP177" s="783" t="s">
        <v>2474</v>
      </c>
      <c r="AQ177" s="784"/>
      <c r="AR177" s="784"/>
      <c r="AS177" s="784"/>
      <c r="AT177" s="784"/>
      <c r="AU177" s="785"/>
    </row>
    <row r="178" spans="1:48" s="137" customFormat="1" ht="12" customHeight="1" x14ac:dyDescent="0.2">
      <c r="A178" s="348"/>
      <c r="B178" s="348"/>
      <c r="C178" s="912"/>
      <c r="D178" s="913"/>
      <c r="E178" s="913"/>
      <c r="F178" s="913"/>
      <c r="G178" s="913"/>
      <c r="H178" s="913"/>
      <c r="I178" s="913"/>
      <c r="J178" s="913"/>
      <c r="K178" s="913"/>
      <c r="L178" s="913"/>
      <c r="M178" s="913"/>
      <c r="N178" s="913"/>
      <c r="O178" s="913"/>
      <c r="P178" s="913"/>
      <c r="Q178" s="913"/>
      <c r="R178" s="913"/>
      <c r="S178" s="913"/>
      <c r="T178" s="914"/>
      <c r="U178" s="984"/>
      <c r="V178" s="916"/>
      <c r="W178" s="916"/>
      <c r="X178" s="916"/>
      <c r="Y178" s="916" t="s">
        <v>2483</v>
      </c>
      <c r="Z178" s="917"/>
      <c r="AA178" s="983"/>
      <c r="AB178" s="983"/>
      <c r="AC178" s="983"/>
      <c r="AD178" s="983"/>
      <c r="AE178" s="983"/>
      <c r="AF178" s="915">
        <f>+AA158</f>
        <v>1</v>
      </c>
      <c r="AG178" s="916"/>
      <c r="AH178" s="916"/>
      <c r="AI178" s="916"/>
      <c r="AJ178" s="917"/>
      <c r="AK178" s="915">
        <f>+AI147</f>
        <v>1</v>
      </c>
      <c r="AL178" s="916"/>
      <c r="AM178" s="916"/>
      <c r="AN178" s="916"/>
      <c r="AO178" s="917"/>
      <c r="AP178" s="918">
        <f>+U178*AA178*AF178*AK178</f>
        <v>0</v>
      </c>
      <c r="AQ178" s="919"/>
      <c r="AR178" s="919"/>
      <c r="AS178" s="919"/>
      <c r="AT178" s="919"/>
      <c r="AU178" s="920"/>
    </row>
    <row r="179" spans="1:48" s="137" customFormat="1" ht="12" customHeight="1" x14ac:dyDescent="0.2">
      <c r="A179" s="348"/>
      <c r="B179" s="348"/>
      <c r="C179" s="912"/>
      <c r="D179" s="913"/>
      <c r="E179" s="913"/>
      <c r="F179" s="913"/>
      <c r="G179" s="913"/>
      <c r="H179" s="913"/>
      <c r="I179" s="913"/>
      <c r="J179" s="913"/>
      <c r="K179" s="913"/>
      <c r="L179" s="913"/>
      <c r="M179" s="913"/>
      <c r="N179" s="913"/>
      <c r="O179" s="913"/>
      <c r="P179" s="913"/>
      <c r="Q179" s="913"/>
      <c r="R179" s="913"/>
      <c r="S179" s="913"/>
      <c r="T179" s="914"/>
      <c r="U179" s="984"/>
      <c r="V179" s="916"/>
      <c r="W179" s="916"/>
      <c r="X179" s="916"/>
      <c r="Y179" s="916" t="s">
        <v>2479</v>
      </c>
      <c r="Z179" s="917"/>
      <c r="AA179" s="983"/>
      <c r="AB179" s="983"/>
      <c r="AC179" s="983"/>
      <c r="AD179" s="983"/>
      <c r="AE179" s="983"/>
      <c r="AF179" s="915">
        <f>+AF178</f>
        <v>1</v>
      </c>
      <c r="AG179" s="916"/>
      <c r="AH179" s="916"/>
      <c r="AI179" s="916"/>
      <c r="AJ179" s="917"/>
      <c r="AK179" s="915">
        <f>+AK178</f>
        <v>1</v>
      </c>
      <c r="AL179" s="916"/>
      <c r="AM179" s="916"/>
      <c r="AN179" s="916"/>
      <c r="AO179" s="917"/>
      <c r="AP179" s="918">
        <f>+U179*AA179*AF179*AK179</f>
        <v>0</v>
      </c>
      <c r="AQ179" s="919"/>
      <c r="AR179" s="919"/>
      <c r="AS179" s="919"/>
      <c r="AT179" s="919"/>
      <c r="AU179" s="920"/>
    </row>
    <row r="180" spans="1:48" s="137" customFormat="1" x14ac:dyDescent="0.2">
      <c r="A180" s="72"/>
      <c r="B180" s="72"/>
      <c r="C180" s="360" t="s">
        <v>2480</v>
      </c>
      <c r="D180" s="361"/>
      <c r="E180" s="361"/>
      <c r="F180" s="361"/>
      <c r="G180" s="361"/>
      <c r="H180" s="361"/>
      <c r="I180" s="361"/>
      <c r="J180" s="361"/>
      <c r="K180" s="361"/>
      <c r="L180" s="361"/>
      <c r="M180" s="361"/>
      <c r="N180" s="361"/>
      <c r="O180" s="361"/>
      <c r="P180" s="361"/>
      <c r="Q180" s="361"/>
      <c r="R180" s="361"/>
      <c r="S180" s="361"/>
      <c r="T180" s="361"/>
      <c r="U180" s="362"/>
      <c r="V180" s="362"/>
      <c r="W180" s="362"/>
      <c r="X180" s="362"/>
      <c r="Y180" s="362"/>
      <c r="Z180" s="362"/>
      <c r="AA180" s="362"/>
      <c r="AB180" s="362"/>
      <c r="AC180" s="362"/>
      <c r="AD180" s="362"/>
      <c r="AE180" s="362"/>
      <c r="AF180" s="362"/>
      <c r="AG180" s="362"/>
      <c r="AH180" s="362"/>
      <c r="AI180" s="362"/>
      <c r="AJ180" s="362"/>
      <c r="AK180" s="362"/>
      <c r="AL180" s="362"/>
      <c r="AM180" s="362"/>
      <c r="AN180" s="362"/>
      <c r="AO180" s="362"/>
      <c r="AP180" s="757">
        <f>+SUM(AP178:AU179)</f>
        <v>0</v>
      </c>
      <c r="AQ180" s="758"/>
      <c r="AR180" s="758"/>
      <c r="AS180" s="758"/>
      <c r="AT180" s="758"/>
      <c r="AU180" s="759"/>
    </row>
    <row r="181" spans="1:48" s="137" customFormat="1" x14ac:dyDescent="0.2">
      <c r="A181" s="72"/>
      <c r="B181" s="72"/>
      <c r="C181" s="360" t="s">
        <v>2476</v>
      </c>
      <c r="D181" s="361"/>
      <c r="E181" s="361"/>
      <c r="F181" s="361"/>
      <c r="G181" s="361"/>
      <c r="H181" s="361"/>
      <c r="I181" s="361"/>
      <c r="J181" s="361"/>
      <c r="K181" s="361"/>
      <c r="L181" s="361"/>
      <c r="M181" s="361"/>
      <c r="N181" s="361"/>
      <c r="O181" s="361"/>
      <c r="P181" s="361"/>
      <c r="Q181" s="361"/>
      <c r="R181" s="361"/>
      <c r="S181" s="361"/>
      <c r="T181" s="361"/>
      <c r="U181" s="362"/>
      <c r="V181" s="362"/>
      <c r="W181" s="362"/>
      <c r="X181" s="362"/>
      <c r="Y181" s="362"/>
      <c r="Z181" s="362"/>
      <c r="AA181" s="362"/>
      <c r="AB181" s="362"/>
      <c r="AC181" s="362"/>
      <c r="AD181" s="362"/>
      <c r="AE181" s="362"/>
      <c r="AF181" s="362"/>
      <c r="AG181" s="362"/>
      <c r="AH181" s="362"/>
      <c r="AI181" s="362"/>
      <c r="AJ181" s="362"/>
      <c r="AK181" s="362"/>
      <c r="AL181" s="362"/>
      <c r="AM181" s="362"/>
      <c r="AN181" s="362"/>
      <c r="AO181" s="362"/>
      <c r="AP181" s="760">
        <f>+AO34</f>
        <v>0</v>
      </c>
      <c r="AQ181" s="761"/>
      <c r="AR181" s="761"/>
      <c r="AS181" s="761"/>
      <c r="AT181" s="761"/>
      <c r="AU181" s="762"/>
    </row>
    <row r="182" spans="1:48" s="137" customFormat="1" ht="15" customHeight="1" thickBot="1" x14ac:dyDescent="0.25">
      <c r="C182" s="363" t="str">
        <f>+C174</f>
        <v>VALOR DE LAS OBRAS COMPLEMENTARIAS</v>
      </c>
      <c r="D182" s="300"/>
      <c r="E182" s="300"/>
      <c r="F182" s="300"/>
      <c r="G182" s="301"/>
      <c r="H182" s="364"/>
      <c r="I182" s="303"/>
      <c r="J182" s="304"/>
      <c r="K182" s="305"/>
      <c r="L182" s="301"/>
      <c r="M182" s="301"/>
      <c r="N182" s="301"/>
      <c r="O182" s="301"/>
      <c r="P182" s="301"/>
      <c r="Q182" s="301"/>
      <c r="R182" s="301"/>
      <c r="S182" s="365"/>
      <c r="T182" s="301"/>
      <c r="U182" s="301"/>
      <c r="V182" s="366"/>
      <c r="W182" s="367"/>
      <c r="X182" s="364"/>
      <c r="Y182" s="368"/>
      <c r="Z182" s="399" t="str">
        <f>UPPER(C176)</f>
        <v>DEPARTAMENTO N° ….</v>
      </c>
      <c r="AA182" s="369"/>
      <c r="AB182" s="369"/>
      <c r="AC182" s="366"/>
      <c r="AD182" s="301"/>
      <c r="AE182" s="301"/>
      <c r="AF182" s="301"/>
      <c r="AG182" s="301"/>
      <c r="AH182" s="301"/>
      <c r="AI182" s="301"/>
      <c r="AJ182" s="301"/>
      <c r="AK182" s="301"/>
      <c r="AL182" s="301"/>
      <c r="AM182" s="306"/>
      <c r="AN182" s="301"/>
      <c r="AO182" s="323"/>
      <c r="AP182" s="323"/>
      <c r="AQ182" s="985">
        <f>+AP180*AP181</f>
        <v>0</v>
      </c>
      <c r="AR182" s="986"/>
      <c r="AS182" s="986"/>
      <c r="AT182" s="986"/>
      <c r="AU182" s="986"/>
      <c r="AV182" s="986"/>
    </row>
    <row r="183" spans="1:48" s="137" customFormat="1" ht="13.5" thickTop="1" x14ac:dyDescent="0.2">
      <c r="A183" s="90"/>
      <c r="B183" s="90"/>
      <c r="C183" s="354" t="str">
        <f>+C169</f>
        <v>Estacionamiento N° …</v>
      </c>
      <c r="D183" s="90"/>
      <c r="E183" s="90"/>
      <c r="F183" s="90"/>
      <c r="G183" s="90"/>
      <c r="H183" s="90"/>
      <c r="I183" s="90"/>
      <c r="J183" s="90"/>
      <c r="K183" s="90"/>
      <c r="L183" s="90"/>
      <c r="M183" s="90"/>
      <c r="N183" s="90"/>
      <c r="O183" s="90"/>
      <c r="P183" s="346"/>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row>
    <row r="184" spans="1:48" s="137" customFormat="1" ht="12" customHeight="1" x14ac:dyDescent="0.2">
      <c r="A184" s="348"/>
      <c r="B184" s="348"/>
      <c r="C184" s="912">
        <f>+C178</f>
        <v>0</v>
      </c>
      <c r="D184" s="913"/>
      <c r="E184" s="913"/>
      <c r="F184" s="913"/>
      <c r="G184" s="913"/>
      <c r="H184" s="913"/>
      <c r="I184" s="913"/>
      <c r="J184" s="913"/>
      <c r="K184" s="913"/>
      <c r="L184" s="913"/>
      <c r="M184" s="913"/>
      <c r="N184" s="913"/>
      <c r="O184" s="913"/>
      <c r="P184" s="913"/>
      <c r="Q184" s="913"/>
      <c r="R184" s="913"/>
      <c r="S184" s="913"/>
      <c r="T184" s="914"/>
      <c r="U184" s="984">
        <f>+U178</f>
        <v>0</v>
      </c>
      <c r="V184" s="916"/>
      <c r="W184" s="916"/>
      <c r="X184" s="916"/>
      <c r="Y184" s="916" t="str">
        <f>+Y178</f>
        <v>Und</v>
      </c>
      <c r="Z184" s="917"/>
      <c r="AA184" s="983">
        <f>+AA178</f>
        <v>0</v>
      </c>
      <c r="AB184" s="983"/>
      <c r="AC184" s="983"/>
      <c r="AD184" s="983"/>
      <c r="AE184" s="983"/>
      <c r="AF184" s="915">
        <f>+AF178</f>
        <v>1</v>
      </c>
      <c r="AG184" s="916"/>
      <c r="AH184" s="916"/>
      <c r="AI184" s="916"/>
      <c r="AJ184" s="917"/>
      <c r="AK184" s="915">
        <f>+AI150</f>
        <v>1</v>
      </c>
      <c r="AL184" s="916"/>
      <c r="AM184" s="916"/>
      <c r="AN184" s="916"/>
      <c r="AO184" s="917"/>
      <c r="AP184" s="918">
        <f>+U184*AA184*AF184*AK184</f>
        <v>0</v>
      </c>
      <c r="AQ184" s="919"/>
      <c r="AR184" s="919"/>
      <c r="AS184" s="919"/>
      <c r="AT184" s="919"/>
      <c r="AU184" s="920"/>
    </row>
    <row r="185" spans="1:48" s="137" customFormat="1" ht="12" customHeight="1" x14ac:dyDescent="0.2">
      <c r="A185" s="348"/>
      <c r="B185" s="348"/>
      <c r="C185" s="912">
        <f>+C179</f>
        <v>0</v>
      </c>
      <c r="D185" s="913"/>
      <c r="E185" s="913"/>
      <c r="F185" s="913"/>
      <c r="G185" s="913"/>
      <c r="H185" s="913"/>
      <c r="I185" s="913"/>
      <c r="J185" s="913"/>
      <c r="K185" s="913"/>
      <c r="L185" s="913"/>
      <c r="M185" s="913"/>
      <c r="N185" s="913"/>
      <c r="O185" s="913"/>
      <c r="P185" s="913"/>
      <c r="Q185" s="913"/>
      <c r="R185" s="913"/>
      <c r="S185" s="913"/>
      <c r="T185" s="914"/>
      <c r="U185" s="984">
        <f>+U179</f>
        <v>0</v>
      </c>
      <c r="V185" s="916"/>
      <c r="W185" s="916"/>
      <c r="X185" s="916"/>
      <c r="Y185" s="916" t="str">
        <f>+Y179</f>
        <v>m3</v>
      </c>
      <c r="Z185" s="917"/>
      <c r="AA185" s="983">
        <f>+AA179</f>
        <v>0</v>
      </c>
      <c r="AB185" s="983"/>
      <c r="AC185" s="983"/>
      <c r="AD185" s="983"/>
      <c r="AE185" s="983"/>
      <c r="AF185" s="915">
        <f>+AF179</f>
        <v>1</v>
      </c>
      <c r="AG185" s="916"/>
      <c r="AH185" s="916"/>
      <c r="AI185" s="916"/>
      <c r="AJ185" s="917"/>
      <c r="AK185" s="915">
        <f>+AK184</f>
        <v>1</v>
      </c>
      <c r="AL185" s="916"/>
      <c r="AM185" s="916"/>
      <c r="AN185" s="916"/>
      <c r="AO185" s="917"/>
      <c r="AP185" s="918">
        <f>+U185*AA185*AF185*AK185</f>
        <v>0</v>
      </c>
      <c r="AQ185" s="919"/>
      <c r="AR185" s="919"/>
      <c r="AS185" s="919"/>
      <c r="AT185" s="919"/>
      <c r="AU185" s="920"/>
    </row>
    <row r="186" spans="1:48" s="137" customFormat="1" x14ac:dyDescent="0.2">
      <c r="A186" s="72"/>
      <c r="B186" s="72"/>
      <c r="C186" s="360" t="s">
        <v>2480</v>
      </c>
      <c r="D186" s="361"/>
      <c r="E186" s="361"/>
      <c r="F186" s="361"/>
      <c r="G186" s="361"/>
      <c r="H186" s="361"/>
      <c r="I186" s="361"/>
      <c r="J186" s="361"/>
      <c r="K186" s="361"/>
      <c r="L186" s="361"/>
      <c r="M186" s="361"/>
      <c r="N186" s="361"/>
      <c r="O186" s="361"/>
      <c r="P186" s="361"/>
      <c r="Q186" s="361"/>
      <c r="R186" s="361"/>
      <c r="S186" s="361"/>
      <c r="T186" s="361"/>
      <c r="U186" s="362"/>
      <c r="V186" s="362"/>
      <c r="W186" s="362"/>
      <c r="X186" s="362"/>
      <c r="Y186" s="362"/>
      <c r="Z186" s="362"/>
      <c r="AA186" s="362"/>
      <c r="AB186" s="362"/>
      <c r="AC186" s="362"/>
      <c r="AD186" s="362"/>
      <c r="AE186" s="362"/>
      <c r="AF186" s="362"/>
      <c r="AG186" s="362"/>
      <c r="AH186" s="362"/>
      <c r="AI186" s="362"/>
      <c r="AJ186" s="362"/>
      <c r="AK186" s="362"/>
      <c r="AL186" s="362"/>
      <c r="AM186" s="362"/>
      <c r="AN186" s="362"/>
      <c r="AO186" s="362"/>
      <c r="AP186" s="757">
        <f>+SUM(AP184:AU185)</f>
        <v>0</v>
      </c>
      <c r="AQ186" s="758"/>
      <c r="AR186" s="758"/>
      <c r="AS186" s="758"/>
      <c r="AT186" s="758"/>
      <c r="AU186" s="759"/>
    </row>
    <row r="187" spans="1:48" s="137" customFormat="1" x14ac:dyDescent="0.2">
      <c r="A187" s="72"/>
      <c r="B187" s="72"/>
      <c r="C187" s="360" t="s">
        <v>2481</v>
      </c>
      <c r="D187" s="361"/>
      <c r="E187" s="361"/>
      <c r="F187" s="361"/>
      <c r="G187" s="361"/>
      <c r="H187" s="361"/>
      <c r="I187" s="361"/>
      <c r="J187" s="361"/>
      <c r="K187" s="361"/>
      <c r="L187" s="361"/>
      <c r="M187" s="361"/>
      <c r="N187" s="361"/>
      <c r="O187" s="361"/>
      <c r="P187" s="361"/>
      <c r="Q187" s="361"/>
      <c r="R187" s="361"/>
      <c r="S187" s="361"/>
      <c r="T187" s="361"/>
      <c r="U187" s="362"/>
      <c r="V187" s="362"/>
      <c r="W187" s="362"/>
      <c r="X187" s="362"/>
      <c r="Y187" s="362"/>
      <c r="Z187" s="362"/>
      <c r="AA187" s="362"/>
      <c r="AB187" s="362"/>
      <c r="AC187" s="362"/>
      <c r="AD187" s="362"/>
      <c r="AE187" s="362"/>
      <c r="AF187" s="362"/>
      <c r="AG187" s="362"/>
      <c r="AH187" s="362"/>
      <c r="AI187" s="362"/>
      <c r="AJ187" s="362"/>
      <c r="AK187" s="362"/>
      <c r="AL187" s="362"/>
      <c r="AM187" s="362"/>
      <c r="AN187" s="362"/>
      <c r="AO187" s="362"/>
      <c r="AP187" s="760">
        <f>+AO36</f>
        <v>0</v>
      </c>
      <c r="AQ187" s="761"/>
      <c r="AR187" s="761"/>
      <c r="AS187" s="761"/>
      <c r="AT187" s="761"/>
      <c r="AU187" s="762"/>
    </row>
    <row r="188" spans="1:48" s="137" customFormat="1" ht="15" customHeight="1" thickBot="1" x14ac:dyDescent="0.25">
      <c r="C188" s="363" t="str">
        <f>+C174</f>
        <v>VALOR DE LAS OBRAS COMPLEMENTARIAS</v>
      </c>
      <c r="D188" s="300"/>
      <c r="E188" s="300"/>
      <c r="F188" s="300"/>
      <c r="G188" s="301"/>
      <c r="H188" s="364"/>
      <c r="I188" s="303"/>
      <c r="J188" s="304"/>
      <c r="K188" s="305"/>
      <c r="L188" s="301"/>
      <c r="M188" s="301"/>
      <c r="N188" s="301"/>
      <c r="O188" s="301"/>
      <c r="P188" s="301"/>
      <c r="Q188" s="301"/>
      <c r="R188" s="301"/>
      <c r="S188" s="365"/>
      <c r="T188" s="301"/>
      <c r="U188" s="301"/>
      <c r="V188" s="366"/>
      <c r="W188" s="367"/>
      <c r="X188" s="364"/>
      <c r="Y188" s="368"/>
      <c r="Z188" s="399" t="str">
        <f>UPPER(C183)</f>
        <v>ESTACIONAMIENTO N° …</v>
      </c>
      <c r="AA188" s="369"/>
      <c r="AB188" s="369"/>
      <c r="AC188" s="366"/>
      <c r="AD188" s="301"/>
      <c r="AE188" s="301"/>
      <c r="AF188" s="301"/>
      <c r="AG188" s="301"/>
      <c r="AH188" s="301"/>
      <c r="AI188" s="301"/>
      <c r="AJ188" s="301"/>
      <c r="AK188" s="301"/>
      <c r="AL188" s="301"/>
      <c r="AM188" s="306"/>
      <c r="AN188" s="301"/>
      <c r="AO188" s="323"/>
      <c r="AP188" s="323"/>
      <c r="AQ188" s="985">
        <f>+AP186*AP187</f>
        <v>0</v>
      </c>
      <c r="AR188" s="986"/>
      <c r="AS188" s="986"/>
      <c r="AT188" s="986"/>
      <c r="AU188" s="986"/>
      <c r="AV188" s="986"/>
    </row>
    <row r="189" spans="1:48" s="137" customFormat="1" ht="13.5" thickTop="1" x14ac:dyDescent="0.2">
      <c r="A189" s="90"/>
      <c r="B189" s="90"/>
      <c r="C189" s="354" t="str">
        <f>+C171</f>
        <v>Depósito N°..</v>
      </c>
      <c r="D189" s="90"/>
      <c r="E189" s="90"/>
      <c r="F189" s="90"/>
      <c r="G189" s="90"/>
      <c r="H189" s="90"/>
      <c r="I189" s="90"/>
      <c r="J189" s="90"/>
      <c r="K189" s="90"/>
      <c r="L189" s="90"/>
      <c r="M189" s="90"/>
      <c r="N189" s="90"/>
      <c r="O189" s="90"/>
      <c r="P189" s="346"/>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row>
    <row r="190" spans="1:48" s="137" customFormat="1" ht="12" customHeight="1" x14ac:dyDescent="0.2">
      <c r="A190" s="348"/>
      <c r="B190" s="348"/>
      <c r="C190" s="912">
        <f>+C184</f>
        <v>0</v>
      </c>
      <c r="D190" s="913"/>
      <c r="E190" s="913"/>
      <c r="F190" s="913"/>
      <c r="G190" s="913"/>
      <c r="H190" s="913"/>
      <c r="I190" s="913"/>
      <c r="J190" s="913"/>
      <c r="K190" s="913"/>
      <c r="L190" s="913"/>
      <c r="M190" s="913"/>
      <c r="N190" s="913"/>
      <c r="O190" s="913"/>
      <c r="P190" s="913"/>
      <c r="Q190" s="913"/>
      <c r="R190" s="913"/>
      <c r="S190" s="913"/>
      <c r="T190" s="914"/>
      <c r="U190" s="984">
        <f>+U184</f>
        <v>0</v>
      </c>
      <c r="V190" s="916"/>
      <c r="W190" s="916"/>
      <c r="X190" s="916"/>
      <c r="Y190" s="916" t="str">
        <f>+Y184</f>
        <v>Und</v>
      </c>
      <c r="Z190" s="917"/>
      <c r="AA190" s="983">
        <f>+AA184</f>
        <v>0</v>
      </c>
      <c r="AB190" s="983"/>
      <c r="AC190" s="983"/>
      <c r="AD190" s="983"/>
      <c r="AE190" s="983"/>
      <c r="AF190" s="915">
        <f>+AF184</f>
        <v>1</v>
      </c>
      <c r="AG190" s="916"/>
      <c r="AH190" s="916"/>
      <c r="AI190" s="916"/>
      <c r="AJ190" s="917"/>
      <c r="AK190" s="915">
        <f>+AI153</f>
        <v>1</v>
      </c>
      <c r="AL190" s="916"/>
      <c r="AM190" s="916"/>
      <c r="AN190" s="916"/>
      <c r="AO190" s="917"/>
      <c r="AP190" s="918">
        <f>+U190*AA190*AF190*AK190</f>
        <v>0</v>
      </c>
      <c r="AQ190" s="919"/>
      <c r="AR190" s="919"/>
      <c r="AS190" s="919"/>
      <c r="AT190" s="919"/>
      <c r="AU190" s="920"/>
    </row>
    <row r="191" spans="1:48" s="137" customFormat="1" ht="12" customHeight="1" x14ac:dyDescent="0.2">
      <c r="A191" s="348"/>
      <c r="B191" s="348"/>
      <c r="C191" s="912">
        <f>+C185</f>
        <v>0</v>
      </c>
      <c r="D191" s="913"/>
      <c r="E191" s="913"/>
      <c r="F191" s="913"/>
      <c r="G191" s="913"/>
      <c r="H191" s="913"/>
      <c r="I191" s="913"/>
      <c r="J191" s="913"/>
      <c r="K191" s="913"/>
      <c r="L191" s="913"/>
      <c r="M191" s="913"/>
      <c r="N191" s="913"/>
      <c r="O191" s="913"/>
      <c r="P191" s="913"/>
      <c r="Q191" s="913"/>
      <c r="R191" s="913"/>
      <c r="S191" s="913"/>
      <c r="T191" s="914"/>
      <c r="U191" s="984">
        <f>+U185</f>
        <v>0</v>
      </c>
      <c r="V191" s="916"/>
      <c r="W191" s="916"/>
      <c r="X191" s="916"/>
      <c r="Y191" s="916" t="str">
        <f>+Y185</f>
        <v>m3</v>
      </c>
      <c r="Z191" s="917"/>
      <c r="AA191" s="983">
        <f>+AA185</f>
        <v>0</v>
      </c>
      <c r="AB191" s="983"/>
      <c r="AC191" s="983"/>
      <c r="AD191" s="983"/>
      <c r="AE191" s="983"/>
      <c r="AF191" s="915">
        <f>+AF190</f>
        <v>1</v>
      </c>
      <c r="AG191" s="916"/>
      <c r="AH191" s="916"/>
      <c r="AI191" s="916"/>
      <c r="AJ191" s="917"/>
      <c r="AK191" s="915">
        <f>+AK190</f>
        <v>1</v>
      </c>
      <c r="AL191" s="916"/>
      <c r="AM191" s="916"/>
      <c r="AN191" s="916"/>
      <c r="AO191" s="917"/>
      <c r="AP191" s="918">
        <f>+U191*AA191*AF191*AK191</f>
        <v>0</v>
      </c>
      <c r="AQ191" s="919"/>
      <c r="AR191" s="919"/>
      <c r="AS191" s="919"/>
      <c r="AT191" s="919"/>
      <c r="AU191" s="920"/>
    </row>
    <row r="192" spans="1:48" s="137" customFormat="1" x14ac:dyDescent="0.2">
      <c r="A192" s="72"/>
      <c r="B192" s="72"/>
      <c r="C192" s="360" t="s">
        <v>2480</v>
      </c>
      <c r="D192" s="361"/>
      <c r="E192" s="361"/>
      <c r="F192" s="361"/>
      <c r="G192" s="361"/>
      <c r="H192" s="361"/>
      <c r="I192" s="361"/>
      <c r="J192" s="361"/>
      <c r="K192" s="361"/>
      <c r="L192" s="361"/>
      <c r="M192" s="361"/>
      <c r="N192" s="361"/>
      <c r="O192" s="361"/>
      <c r="P192" s="361"/>
      <c r="Q192" s="361"/>
      <c r="R192" s="361"/>
      <c r="S192" s="361"/>
      <c r="T192" s="361"/>
      <c r="U192" s="362"/>
      <c r="V192" s="362"/>
      <c r="W192" s="362"/>
      <c r="X192" s="362"/>
      <c r="Y192" s="362"/>
      <c r="Z192" s="362"/>
      <c r="AA192" s="362"/>
      <c r="AB192" s="362"/>
      <c r="AC192" s="362"/>
      <c r="AD192" s="362"/>
      <c r="AE192" s="362"/>
      <c r="AF192" s="362"/>
      <c r="AG192" s="362"/>
      <c r="AH192" s="362"/>
      <c r="AI192" s="362"/>
      <c r="AJ192" s="362"/>
      <c r="AK192" s="362"/>
      <c r="AL192" s="362"/>
      <c r="AM192" s="362"/>
      <c r="AN192" s="362"/>
      <c r="AO192" s="362"/>
      <c r="AP192" s="757">
        <f>+SUM(AP190:AU191)</f>
        <v>0</v>
      </c>
      <c r="AQ192" s="758"/>
      <c r="AR192" s="758"/>
      <c r="AS192" s="758"/>
      <c r="AT192" s="758"/>
      <c r="AU192" s="759"/>
    </row>
    <row r="193" spans="1:48" s="137" customFormat="1" x14ac:dyDescent="0.2">
      <c r="A193" s="72"/>
      <c r="B193" s="72"/>
      <c r="C193" s="360" t="s">
        <v>2482</v>
      </c>
      <c r="D193" s="361"/>
      <c r="E193" s="361"/>
      <c r="F193" s="361"/>
      <c r="G193" s="361"/>
      <c r="H193" s="361"/>
      <c r="I193" s="361"/>
      <c r="J193" s="361"/>
      <c r="K193" s="361"/>
      <c r="L193" s="361"/>
      <c r="M193" s="361"/>
      <c r="N193" s="361"/>
      <c r="O193" s="361"/>
      <c r="P193" s="361"/>
      <c r="Q193" s="361"/>
      <c r="R193" s="361"/>
      <c r="S193" s="361"/>
      <c r="T193" s="361"/>
      <c r="U193" s="362"/>
      <c r="V193" s="362"/>
      <c r="W193" s="362"/>
      <c r="X193" s="362"/>
      <c r="Y193" s="362"/>
      <c r="Z193" s="362"/>
      <c r="AA193" s="362"/>
      <c r="AB193" s="362"/>
      <c r="AC193" s="362"/>
      <c r="AD193" s="362"/>
      <c r="AE193" s="362"/>
      <c r="AF193" s="362"/>
      <c r="AG193" s="362"/>
      <c r="AH193" s="362"/>
      <c r="AI193" s="362"/>
      <c r="AJ193" s="362"/>
      <c r="AK193" s="362"/>
      <c r="AL193" s="362"/>
      <c r="AM193" s="362"/>
      <c r="AN193" s="362"/>
      <c r="AO193" s="362"/>
      <c r="AP193" s="760">
        <f>+AO38</f>
        <v>0</v>
      </c>
      <c r="AQ193" s="761"/>
      <c r="AR193" s="761"/>
      <c r="AS193" s="761"/>
      <c r="AT193" s="761"/>
      <c r="AU193" s="762"/>
    </row>
    <row r="194" spans="1:48" s="137" customFormat="1" ht="15" customHeight="1" thickBot="1" x14ac:dyDescent="0.25">
      <c r="C194" s="363" t="str">
        <f>+C174</f>
        <v>VALOR DE LAS OBRAS COMPLEMENTARIAS</v>
      </c>
      <c r="D194" s="300"/>
      <c r="E194" s="300"/>
      <c r="F194" s="300"/>
      <c r="G194" s="301"/>
      <c r="H194" s="364"/>
      <c r="I194" s="303"/>
      <c r="J194" s="304"/>
      <c r="K194" s="305"/>
      <c r="L194" s="301"/>
      <c r="M194" s="301"/>
      <c r="N194" s="301"/>
      <c r="O194" s="301"/>
      <c r="P194" s="301"/>
      <c r="Q194" s="301"/>
      <c r="R194" s="301"/>
      <c r="S194" s="365"/>
      <c r="T194" s="301"/>
      <c r="U194" s="301"/>
      <c r="V194" s="366"/>
      <c r="W194" s="367"/>
      <c r="X194" s="364"/>
      <c r="Y194" s="368"/>
      <c r="Z194" s="399" t="str">
        <f>UPPER(C189)</f>
        <v>DEPÓSITO N°..</v>
      </c>
      <c r="AA194" s="369"/>
      <c r="AB194" s="369"/>
      <c r="AC194" s="366"/>
      <c r="AD194" s="301"/>
      <c r="AE194" s="301"/>
      <c r="AF194" s="301"/>
      <c r="AG194" s="301"/>
      <c r="AH194" s="301"/>
      <c r="AI194" s="301"/>
      <c r="AJ194" s="301"/>
      <c r="AK194" s="301"/>
      <c r="AL194" s="301"/>
      <c r="AM194" s="306"/>
      <c r="AN194" s="301"/>
      <c r="AO194" s="323"/>
      <c r="AP194" s="323"/>
      <c r="AQ194" s="985">
        <f>+AP192*AP193</f>
        <v>0</v>
      </c>
      <c r="AR194" s="986"/>
      <c r="AS194" s="986"/>
      <c r="AT194" s="986"/>
      <c r="AU194" s="986"/>
      <c r="AV194" s="986"/>
    </row>
    <row r="195" spans="1:48" ht="16.5" customHeight="1" thickTop="1" x14ac:dyDescent="0.2">
      <c r="C195" s="890" t="s">
        <v>24</v>
      </c>
      <c r="D195" s="777"/>
      <c r="E195" s="777"/>
      <c r="F195" s="777"/>
      <c r="G195" s="777"/>
      <c r="H195" s="777"/>
      <c r="I195" s="777"/>
      <c r="J195" s="777"/>
      <c r="K195" s="777"/>
      <c r="L195" s="777"/>
      <c r="M195" s="777"/>
      <c r="N195" s="777"/>
      <c r="O195" s="777"/>
      <c r="P195" s="777"/>
      <c r="Q195" s="777"/>
      <c r="R195" s="777"/>
      <c r="S195" s="777"/>
      <c r="T195" s="777"/>
      <c r="U195" s="891"/>
      <c r="V195" s="891"/>
      <c r="W195" s="891"/>
      <c r="X195" s="891"/>
      <c r="Y195" s="891"/>
      <c r="Z195" s="891"/>
      <c r="AA195" s="891"/>
      <c r="AB195" s="891"/>
      <c r="AC195" s="891"/>
      <c r="AD195" s="891"/>
      <c r="AE195" s="891"/>
      <c r="AF195" s="891"/>
      <c r="AG195" s="891"/>
      <c r="AH195" s="891"/>
      <c r="AI195" s="891"/>
      <c r="AJ195" s="891"/>
      <c r="AK195" s="891"/>
      <c r="AL195" s="891"/>
      <c r="AM195" s="891"/>
      <c r="AN195" s="891"/>
      <c r="AO195" s="891"/>
      <c r="AP195" s="891"/>
      <c r="AQ195" s="891"/>
      <c r="AR195" s="891"/>
      <c r="AS195" s="891"/>
      <c r="AT195" s="891"/>
      <c r="AU195" s="891"/>
      <c r="AV195" s="891"/>
    </row>
    <row r="196" spans="1:48" s="143" customFormat="1" ht="22.5" customHeight="1" x14ac:dyDescent="0.25">
      <c r="A196" s="147" t="s">
        <v>45</v>
      </c>
      <c r="C196" s="993" t="s">
        <v>213</v>
      </c>
      <c r="D196" s="994"/>
      <c r="E196" s="994"/>
      <c r="F196" s="994"/>
      <c r="G196" s="994"/>
      <c r="H196" s="994"/>
      <c r="I196" s="994"/>
      <c r="J196" s="994"/>
      <c r="K196" s="994"/>
      <c r="L196" s="994"/>
      <c r="M196" s="994"/>
      <c r="N196" s="994"/>
      <c r="O196" s="994"/>
      <c r="P196" s="994"/>
      <c r="Q196" s="994"/>
      <c r="R196" s="994"/>
      <c r="S196" s="994"/>
      <c r="T196" s="994"/>
      <c r="U196" s="995"/>
      <c r="V196" s="995"/>
      <c r="W196" s="995"/>
      <c r="X196" s="995"/>
      <c r="Y196" s="995"/>
      <c r="Z196" s="995"/>
      <c r="AA196" s="995"/>
      <c r="AB196" s="995"/>
      <c r="AC196" s="995"/>
      <c r="AD196" s="995"/>
      <c r="AE196" s="995"/>
      <c r="AF196" s="995"/>
      <c r="AG196" s="995"/>
      <c r="AH196" s="995"/>
      <c r="AI196" s="995"/>
      <c r="AJ196" s="995"/>
      <c r="AK196" s="995"/>
      <c r="AL196" s="995"/>
      <c r="AM196" s="995"/>
      <c r="AN196" s="995"/>
      <c r="AO196" s="995"/>
      <c r="AP196" s="995"/>
      <c r="AQ196" s="995"/>
      <c r="AR196" s="995"/>
      <c r="AS196" s="995"/>
      <c r="AT196" s="995"/>
      <c r="AU196" s="995"/>
      <c r="AV196" s="995"/>
    </row>
    <row r="197" spans="1:48" s="90" customFormat="1" ht="12.75" customHeight="1" x14ac:dyDescent="0.2">
      <c r="C197" s="25"/>
      <c r="D197" s="25"/>
      <c r="H197" s="26"/>
      <c r="J197" s="27"/>
      <c r="R197" s="27" t="str">
        <f>+R118</f>
        <v>INFORME N° 25</v>
      </c>
      <c r="U197" s="28"/>
      <c r="V197" s="29"/>
      <c r="AB197" s="886">
        <f>+AB118</f>
        <v>0</v>
      </c>
      <c r="AC197" s="1028"/>
      <c r="AD197" s="1028"/>
      <c r="AE197" s="1028"/>
      <c r="AF197" s="1028"/>
    </row>
    <row r="198" spans="1:48" s="78" customFormat="1" ht="30" customHeight="1" x14ac:dyDescent="0.2">
      <c r="A198" s="736">
        <v>1</v>
      </c>
      <c r="B198" s="737"/>
      <c r="C198" s="52" t="s">
        <v>214</v>
      </c>
      <c r="D198" s="77"/>
      <c r="E198" s="77"/>
      <c r="F198" s="77"/>
      <c r="G198" s="77"/>
      <c r="H198" s="77"/>
      <c r="I198" s="77"/>
      <c r="J198" s="77"/>
      <c r="K198" s="77"/>
      <c r="L198" s="77"/>
      <c r="M198" s="85"/>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c r="AP198" s="77"/>
      <c r="AQ198" s="77"/>
      <c r="AR198" s="77"/>
      <c r="AS198" s="77"/>
      <c r="AT198" s="77"/>
      <c r="AU198" s="77"/>
      <c r="AV198" s="77"/>
    </row>
    <row r="199" spans="1:48" s="143" customFormat="1" ht="12" x14ac:dyDescent="0.2">
      <c r="A199" s="16"/>
      <c r="B199" s="16"/>
      <c r="C199" s="152" t="s">
        <v>215</v>
      </c>
      <c r="D199" s="153"/>
      <c r="E199" s="153"/>
      <c r="F199" s="153"/>
      <c r="G199" s="153"/>
      <c r="H199" s="153"/>
      <c r="I199" s="153"/>
      <c r="J199" s="153"/>
      <c r="K199" s="153"/>
      <c r="L199" s="154"/>
      <c r="M199" s="153"/>
      <c r="N199" s="155"/>
      <c r="O199" s="155"/>
      <c r="P199" s="153"/>
      <c r="Q199" s="153"/>
      <c r="R199" s="153"/>
      <c r="S199" s="153"/>
      <c r="T199" s="153"/>
      <c r="U199" s="153"/>
      <c r="V199" s="153"/>
      <c r="W199" s="153"/>
      <c r="X199" s="153"/>
      <c r="Y199" s="153"/>
      <c r="Z199" s="153"/>
      <c r="AA199" s="153"/>
      <c r="AB199" s="153"/>
      <c r="AC199" s="153"/>
      <c r="AD199" s="153"/>
      <c r="AE199" s="153"/>
      <c r="AF199" s="153"/>
      <c r="AG199" s="153"/>
      <c r="AH199" s="154"/>
      <c r="AI199" s="153"/>
      <c r="AJ199" s="154"/>
      <c r="AK199" s="1029"/>
      <c r="AL199" s="1029"/>
      <c r="AM199" s="156"/>
      <c r="AN199" s="156"/>
      <c r="AO199" s="156"/>
      <c r="AP199" s="153"/>
      <c r="AQ199" s="153"/>
      <c r="AR199" s="153"/>
      <c r="AS199" s="153"/>
      <c r="AT199" s="153"/>
      <c r="AU199" s="153"/>
      <c r="AV199" s="153"/>
    </row>
    <row r="200" spans="1:48" s="90" customFormat="1" ht="30" customHeight="1" x14ac:dyDescent="0.2">
      <c r="A200" s="749">
        <f>1+A198</f>
        <v>2</v>
      </c>
      <c r="B200" s="688"/>
      <c r="C200" s="38" t="s">
        <v>85</v>
      </c>
    </row>
    <row r="201" spans="1:48" s="90" customFormat="1" ht="20.25" customHeight="1" x14ac:dyDescent="0.2">
      <c r="A201" s="43"/>
      <c r="B201" s="148"/>
      <c r="C201" s="344" t="str">
        <f>+C156</f>
        <v>Departamento N° ….</v>
      </c>
    </row>
    <row r="202" spans="1:48" s="90" customFormat="1" ht="20.25" customHeight="1" x14ac:dyDescent="0.2">
      <c r="A202" s="43"/>
      <c r="B202" s="148"/>
      <c r="C202" s="344" t="str">
        <f>+C157</f>
        <v>Área techada</v>
      </c>
    </row>
    <row r="203" spans="1:48" s="138" customFormat="1" x14ac:dyDescent="0.2">
      <c r="C203" s="752">
        <f>+C158</f>
        <v>0</v>
      </c>
      <c r="D203" s="752"/>
      <c r="E203" s="752"/>
      <c r="F203" s="752"/>
      <c r="G203" s="752"/>
      <c r="H203" s="752"/>
      <c r="I203" s="138" t="s">
        <v>9</v>
      </c>
      <c r="L203" s="138" t="s">
        <v>4</v>
      </c>
      <c r="M203" s="149"/>
      <c r="N203" s="741">
        <f>+N158</f>
        <v>0</v>
      </c>
      <c r="O203" s="741"/>
      <c r="P203" s="742"/>
      <c r="Q203" s="743"/>
      <c r="R203" s="743"/>
      <c r="S203" s="743"/>
      <c r="T203" s="141" t="s">
        <v>16</v>
      </c>
      <c r="Y203" s="149"/>
      <c r="AA203" s="744"/>
      <c r="AB203" s="744"/>
      <c r="AC203" s="743"/>
      <c r="AD203" s="743"/>
      <c r="AF203" s="149"/>
      <c r="AI203" s="744"/>
      <c r="AJ203" s="744"/>
      <c r="AK203" s="743"/>
      <c r="AL203" s="743"/>
      <c r="AM203" s="141" t="s">
        <v>1</v>
      </c>
      <c r="AO203" s="741">
        <f>+C203*N203</f>
        <v>0</v>
      </c>
      <c r="AP203" s="741"/>
      <c r="AQ203" s="741"/>
      <c r="AR203" s="743"/>
      <c r="AS203" s="743"/>
      <c r="AT203" s="743"/>
      <c r="AU203" s="743"/>
      <c r="AV203" s="743"/>
    </row>
    <row r="204" spans="1:48" s="90" customFormat="1" ht="20.25" customHeight="1" x14ac:dyDescent="0.2">
      <c r="A204" s="43"/>
      <c r="B204" s="148"/>
      <c r="C204" s="344" t="str">
        <f>+C159</f>
        <v>Área sin techar</v>
      </c>
    </row>
    <row r="205" spans="1:48" s="138" customFormat="1" x14ac:dyDescent="0.2">
      <c r="C205" s="752">
        <f>+C160</f>
        <v>0</v>
      </c>
      <c r="D205" s="752"/>
      <c r="E205" s="752"/>
      <c r="F205" s="752"/>
      <c r="G205" s="752"/>
      <c r="H205" s="752"/>
      <c r="I205" s="138" t="s">
        <v>9</v>
      </c>
      <c r="L205" s="138" t="s">
        <v>4</v>
      </c>
      <c r="M205" s="149"/>
      <c r="N205" s="741">
        <f>+N160</f>
        <v>0</v>
      </c>
      <c r="O205" s="741"/>
      <c r="P205" s="742"/>
      <c r="Q205" s="743"/>
      <c r="R205" s="743"/>
      <c r="S205" s="743"/>
      <c r="T205" s="141" t="s">
        <v>16</v>
      </c>
      <c r="Y205" s="149"/>
      <c r="AA205" s="744"/>
      <c r="AB205" s="744"/>
      <c r="AC205" s="743"/>
      <c r="AD205" s="743"/>
      <c r="AF205" s="149"/>
      <c r="AI205" s="744"/>
      <c r="AJ205" s="744"/>
      <c r="AK205" s="743"/>
      <c r="AL205" s="743"/>
      <c r="AM205" s="141" t="s">
        <v>1</v>
      </c>
      <c r="AO205" s="741">
        <f>+C205*N205</f>
        <v>0</v>
      </c>
      <c r="AP205" s="741"/>
      <c r="AQ205" s="741"/>
      <c r="AR205" s="743"/>
      <c r="AS205" s="743"/>
      <c r="AT205" s="743"/>
      <c r="AU205" s="743"/>
      <c r="AV205" s="743"/>
    </row>
    <row r="206" spans="1:48" s="90" customFormat="1" ht="20.25" customHeight="1" x14ac:dyDescent="0.2">
      <c r="A206" s="43"/>
      <c r="B206" s="148"/>
      <c r="C206" s="344" t="str">
        <f t="shared" ref="C206:C209" si="0">+C161</f>
        <v>Estacionamiento N° …</v>
      </c>
    </row>
    <row r="207" spans="1:48" s="138" customFormat="1" x14ac:dyDescent="0.2">
      <c r="C207" s="752">
        <f t="shared" si="0"/>
        <v>0</v>
      </c>
      <c r="D207" s="752"/>
      <c r="E207" s="752"/>
      <c r="F207" s="752"/>
      <c r="G207" s="752"/>
      <c r="H207" s="752"/>
      <c r="I207" s="138" t="s">
        <v>9</v>
      </c>
      <c r="L207" s="138" t="s">
        <v>4</v>
      </c>
      <c r="M207" s="149"/>
      <c r="N207" s="741">
        <f>+N162</f>
        <v>200</v>
      </c>
      <c r="O207" s="741"/>
      <c r="P207" s="742"/>
      <c r="Q207" s="743"/>
      <c r="R207" s="743"/>
      <c r="S207" s="743"/>
      <c r="T207" s="141" t="s">
        <v>16</v>
      </c>
      <c r="Y207" s="149"/>
      <c r="AA207" s="744"/>
      <c r="AB207" s="744"/>
      <c r="AC207" s="743"/>
      <c r="AD207" s="743"/>
      <c r="AF207" s="149"/>
      <c r="AI207" s="744"/>
      <c r="AJ207" s="744"/>
      <c r="AK207" s="743"/>
      <c r="AL207" s="743"/>
      <c r="AM207" s="141" t="s">
        <v>1</v>
      </c>
      <c r="AO207" s="741">
        <f>+C207*N207</f>
        <v>0</v>
      </c>
      <c r="AP207" s="741"/>
      <c r="AQ207" s="741"/>
      <c r="AR207" s="743"/>
      <c r="AS207" s="743"/>
      <c r="AT207" s="743"/>
      <c r="AU207" s="743"/>
      <c r="AV207" s="743"/>
    </row>
    <row r="208" spans="1:48" s="90" customFormat="1" ht="20.25" customHeight="1" x14ac:dyDescent="0.2">
      <c r="A208" s="43"/>
      <c r="B208" s="148"/>
      <c r="C208" s="344" t="str">
        <f t="shared" si="0"/>
        <v>Depósito N°..</v>
      </c>
    </row>
    <row r="209" spans="1:48" s="138" customFormat="1" x14ac:dyDescent="0.2">
      <c r="C209" s="752">
        <f t="shared" si="0"/>
        <v>0</v>
      </c>
      <c r="D209" s="752"/>
      <c r="E209" s="752"/>
      <c r="F209" s="752"/>
      <c r="G209" s="752"/>
      <c r="H209" s="752"/>
      <c r="I209" s="138" t="s">
        <v>9</v>
      </c>
      <c r="L209" s="138" t="s">
        <v>4</v>
      </c>
      <c r="M209" s="149"/>
      <c r="N209" s="741">
        <f>+N164</f>
        <v>200</v>
      </c>
      <c r="O209" s="741"/>
      <c r="P209" s="742"/>
      <c r="Q209" s="743"/>
      <c r="R209" s="743"/>
      <c r="S209" s="743"/>
      <c r="T209" s="141" t="s">
        <v>16</v>
      </c>
      <c r="Y209" s="149"/>
      <c r="AA209" s="744"/>
      <c r="AB209" s="744"/>
      <c r="AC209" s="743"/>
      <c r="AD209" s="743"/>
      <c r="AF209" s="149"/>
      <c r="AI209" s="744"/>
      <c r="AJ209" s="744"/>
      <c r="AK209" s="743"/>
      <c r="AL209" s="743"/>
      <c r="AM209" s="141" t="s">
        <v>1</v>
      </c>
      <c r="AO209" s="741">
        <f>+C209*N209</f>
        <v>0</v>
      </c>
      <c r="AP209" s="741"/>
      <c r="AQ209" s="741"/>
      <c r="AR209" s="743"/>
      <c r="AS209" s="743"/>
      <c r="AT209" s="743"/>
      <c r="AU209" s="743"/>
      <c r="AV209" s="743"/>
    </row>
    <row r="210" spans="1:48" s="137" customFormat="1" ht="15" customHeight="1" thickBot="1" x14ac:dyDescent="0.25">
      <c r="C210" s="157" t="str">
        <f>+C200</f>
        <v>VALOR DE LA EDIFICACIÓN</v>
      </c>
      <c r="D210" s="158"/>
      <c r="E210" s="158"/>
      <c r="F210" s="158"/>
      <c r="G210" s="159"/>
      <c r="H210" s="160"/>
      <c r="I210" s="161"/>
      <c r="J210" s="162"/>
      <c r="K210" s="163"/>
      <c r="L210" s="159"/>
      <c r="M210" s="159"/>
      <c r="N210" s="159"/>
      <c r="O210" s="159"/>
      <c r="P210" s="159"/>
      <c r="Q210" s="159"/>
      <c r="R210" s="159"/>
      <c r="S210" s="159"/>
      <c r="T210" s="159"/>
      <c r="U210" s="159"/>
      <c r="V210" s="159"/>
      <c r="W210" s="159"/>
      <c r="X210" s="159"/>
      <c r="Y210" s="159"/>
      <c r="Z210" s="159"/>
      <c r="AA210" s="159"/>
      <c r="AB210" s="159"/>
      <c r="AC210" s="159"/>
      <c r="AD210" s="159"/>
      <c r="AE210" s="159"/>
      <c r="AF210" s="159"/>
      <c r="AG210" s="159"/>
      <c r="AH210" s="159"/>
      <c r="AI210" s="159"/>
      <c r="AJ210" s="159"/>
      <c r="AK210" s="159"/>
      <c r="AL210" s="159"/>
      <c r="AM210" s="164" t="s">
        <v>1</v>
      </c>
      <c r="AN210" s="159"/>
      <c r="AO210" s="747">
        <f>SUM(AO203:AV209)</f>
        <v>0</v>
      </c>
      <c r="AP210" s="747"/>
      <c r="AQ210" s="747"/>
      <c r="AR210" s="748"/>
      <c r="AS210" s="748"/>
      <c r="AT210" s="748"/>
      <c r="AU210" s="748"/>
      <c r="AV210" s="748"/>
    </row>
    <row r="211" spans="1:48" s="137" customFormat="1" ht="2.25" customHeight="1" thickTop="1" x14ac:dyDescent="0.2">
      <c r="A211" s="72"/>
      <c r="B211" s="72"/>
      <c r="C211" s="150"/>
      <c r="D211" s="150"/>
      <c r="E211" s="150"/>
      <c r="F211" s="150"/>
      <c r="G211" s="150"/>
      <c r="H211" s="150"/>
      <c r="I211" s="150"/>
      <c r="J211" s="150"/>
      <c r="K211" s="150"/>
      <c r="L211" s="150"/>
      <c r="M211" s="150"/>
      <c r="N211" s="150"/>
      <c r="O211" s="150"/>
      <c r="P211" s="150"/>
      <c r="Q211" s="150"/>
      <c r="R211" s="150"/>
      <c r="S211" s="150"/>
      <c r="T211" s="150"/>
      <c r="U211" s="72"/>
      <c r="V211" s="72"/>
      <c r="W211" s="72"/>
      <c r="X211" s="72"/>
      <c r="Y211" s="72"/>
      <c r="Z211" s="72"/>
      <c r="AA211" s="72"/>
      <c r="AB211" s="72"/>
      <c r="AC211" s="72"/>
      <c r="AD211" s="72"/>
      <c r="AE211" s="72"/>
      <c r="AF211" s="151"/>
      <c r="AG211" s="18"/>
      <c r="AH211" s="18"/>
      <c r="AI211" s="18"/>
      <c r="AJ211" s="18"/>
      <c r="AK211" s="18"/>
    </row>
    <row r="212" spans="1:48" s="137" customFormat="1" ht="24.75" customHeight="1" x14ac:dyDescent="0.2">
      <c r="A212" s="749">
        <f>1+A200</f>
        <v>3</v>
      </c>
      <c r="B212" s="750"/>
      <c r="C212" s="296" t="s">
        <v>2333</v>
      </c>
      <c r="D212" s="90"/>
      <c r="E212" s="90"/>
      <c r="F212" s="90"/>
      <c r="G212" s="138"/>
      <c r="H212" s="149"/>
      <c r="I212" s="290"/>
      <c r="J212" s="291"/>
      <c r="K212" s="141"/>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292"/>
      <c r="AN212" s="138"/>
      <c r="AO212" s="297"/>
      <c r="AP212" s="297"/>
      <c r="AQ212" s="297"/>
      <c r="AR212" s="90"/>
      <c r="AS212" s="90"/>
      <c r="AT212" s="90"/>
      <c r="AU212" s="90"/>
      <c r="AV212" s="90"/>
    </row>
    <row r="213" spans="1:48" s="90" customFormat="1" ht="20.25" customHeight="1" x14ac:dyDescent="0.2">
      <c r="A213" s="43"/>
      <c r="B213" s="148"/>
      <c r="C213" s="344" t="str">
        <f>+C201</f>
        <v>Departamento N° ….</v>
      </c>
    </row>
    <row r="214" spans="1:48" s="137" customFormat="1" x14ac:dyDescent="0.2">
      <c r="C214" s="751">
        <f>+C168</f>
        <v>0.15</v>
      </c>
      <c r="D214" s="751"/>
      <c r="E214" s="743"/>
      <c r="F214" s="743"/>
      <c r="G214" s="743"/>
      <c r="H214" s="743"/>
      <c r="I214" s="743"/>
      <c r="J214" s="298"/>
      <c r="K214" s="299"/>
      <c r="L214" s="137" t="s">
        <v>2334</v>
      </c>
      <c r="N214" s="741">
        <f>+AO203+AO205</f>
        <v>0</v>
      </c>
      <c r="O214" s="741"/>
      <c r="P214" s="741"/>
      <c r="Q214" s="743"/>
      <c r="R214" s="743"/>
      <c r="S214" s="743"/>
      <c r="T214" s="743"/>
      <c r="U214" s="743"/>
      <c r="AM214" s="141" t="s">
        <v>1</v>
      </c>
      <c r="AN214" s="138"/>
      <c r="AO214" s="741">
        <f>+C214*N214</f>
        <v>0</v>
      </c>
      <c r="AP214" s="741"/>
      <c r="AQ214" s="741"/>
      <c r="AR214" s="743"/>
      <c r="AS214" s="743"/>
      <c r="AT214" s="743"/>
      <c r="AU214" s="743"/>
      <c r="AV214" s="743"/>
    </row>
    <row r="215" spans="1:48" s="90" customFormat="1" ht="20.25" customHeight="1" x14ac:dyDescent="0.2">
      <c r="A215" s="43"/>
      <c r="B215" s="148"/>
      <c r="C215" s="344" t="str">
        <f>+C206</f>
        <v>Estacionamiento N° …</v>
      </c>
    </row>
    <row r="216" spans="1:48" s="137" customFormat="1" x14ac:dyDescent="0.2">
      <c r="C216" s="751">
        <f>+C170</f>
        <v>0.15</v>
      </c>
      <c r="D216" s="751"/>
      <c r="E216" s="743"/>
      <c r="F216" s="743"/>
      <c r="G216" s="743"/>
      <c r="H216" s="743"/>
      <c r="I216" s="743"/>
      <c r="J216" s="298"/>
      <c r="K216" s="299"/>
      <c r="L216" s="137" t="s">
        <v>2334</v>
      </c>
      <c r="N216" s="741">
        <f>+AO207</f>
        <v>0</v>
      </c>
      <c r="O216" s="741"/>
      <c r="P216" s="741"/>
      <c r="Q216" s="743"/>
      <c r="R216" s="743"/>
      <c r="S216" s="743"/>
      <c r="T216" s="743"/>
      <c r="U216" s="743"/>
      <c r="AM216" s="141" t="s">
        <v>1</v>
      </c>
      <c r="AN216" s="138"/>
      <c r="AO216" s="741">
        <f>+C216*N216</f>
        <v>0</v>
      </c>
      <c r="AP216" s="741"/>
      <c r="AQ216" s="741"/>
      <c r="AR216" s="743"/>
      <c r="AS216" s="743"/>
      <c r="AT216" s="743"/>
      <c r="AU216" s="743"/>
      <c r="AV216" s="743"/>
    </row>
    <row r="217" spans="1:48" s="90" customFormat="1" ht="20.25" customHeight="1" x14ac:dyDescent="0.2">
      <c r="A217" s="43"/>
      <c r="B217" s="148"/>
      <c r="C217" s="344" t="str">
        <f>+C208</f>
        <v>Depósito N°..</v>
      </c>
    </row>
    <row r="218" spans="1:48" s="137" customFormat="1" x14ac:dyDescent="0.2">
      <c r="C218" s="751">
        <f>+C172</f>
        <v>0.15</v>
      </c>
      <c r="D218" s="751"/>
      <c r="E218" s="743"/>
      <c r="F218" s="743"/>
      <c r="G218" s="743"/>
      <c r="H218" s="743"/>
      <c r="I218" s="743"/>
      <c r="J218" s="298"/>
      <c r="K218" s="299"/>
      <c r="L218" s="137" t="s">
        <v>2334</v>
      </c>
      <c r="N218" s="741">
        <f>+AO209</f>
        <v>0</v>
      </c>
      <c r="O218" s="741"/>
      <c r="P218" s="741"/>
      <c r="Q218" s="743"/>
      <c r="R218" s="743"/>
      <c r="S218" s="743"/>
      <c r="T218" s="743"/>
      <c r="U218" s="743"/>
      <c r="AM218" s="141" t="s">
        <v>1</v>
      </c>
      <c r="AN218" s="138"/>
      <c r="AO218" s="741">
        <f>+C218*N218</f>
        <v>0</v>
      </c>
      <c r="AP218" s="741"/>
      <c r="AQ218" s="741"/>
      <c r="AR218" s="743"/>
      <c r="AS218" s="743"/>
      <c r="AT218" s="743"/>
      <c r="AU218" s="743"/>
      <c r="AV218" s="743"/>
    </row>
    <row r="219" spans="1:48" s="137" customFormat="1" ht="16.5" customHeight="1" thickBot="1" x14ac:dyDescent="0.25">
      <c r="C219" s="157" t="str">
        <f>+C212</f>
        <v>VALOR DE LAS ÁREAS COMUNES</v>
      </c>
      <c r="D219" s="158"/>
      <c r="E219" s="158"/>
      <c r="F219" s="158"/>
      <c r="G219" s="159"/>
      <c r="H219" s="160"/>
      <c r="I219" s="161"/>
      <c r="J219" s="162"/>
      <c r="K219" s="163"/>
      <c r="L219" s="159"/>
      <c r="M219" s="159"/>
      <c r="N219" s="159"/>
      <c r="O219" s="159"/>
      <c r="P219" s="159"/>
      <c r="Q219" s="159"/>
      <c r="R219" s="159"/>
      <c r="S219" s="159"/>
      <c r="T219" s="159"/>
      <c r="U219" s="159"/>
      <c r="V219" s="159"/>
      <c r="W219" s="159"/>
      <c r="X219" s="159"/>
      <c r="Y219" s="159"/>
      <c r="Z219" s="159"/>
      <c r="AA219" s="159"/>
      <c r="AB219" s="159"/>
      <c r="AC219" s="159"/>
      <c r="AD219" s="159"/>
      <c r="AE219" s="159"/>
      <c r="AF219" s="159"/>
      <c r="AG219" s="159"/>
      <c r="AH219" s="159"/>
      <c r="AI219" s="159"/>
      <c r="AJ219" s="159"/>
      <c r="AK219" s="159"/>
      <c r="AL219" s="159"/>
      <c r="AM219" s="164" t="s">
        <v>1</v>
      </c>
      <c r="AN219" s="159"/>
      <c r="AO219" s="747">
        <f>SUM(AO214:AV218)</f>
        <v>0</v>
      </c>
      <c r="AP219" s="747"/>
      <c r="AQ219" s="747"/>
      <c r="AR219" s="748"/>
      <c r="AS219" s="748"/>
      <c r="AT219" s="748"/>
      <c r="AU219" s="748"/>
      <c r="AV219" s="748"/>
    </row>
    <row r="220" spans="1:48" s="137" customFormat="1" ht="27" customHeight="1" thickTop="1" x14ac:dyDescent="0.2">
      <c r="A220" s="749">
        <f>+A212+1</f>
        <v>4</v>
      </c>
      <c r="B220" s="750"/>
      <c r="C220" s="38" t="s">
        <v>2471</v>
      </c>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row>
    <row r="221" spans="1:48" s="137" customFormat="1" ht="6.75" customHeight="1" x14ac:dyDescent="0.2">
      <c r="A221" s="90"/>
      <c r="B221" s="90"/>
      <c r="C221" s="354"/>
      <c r="D221" s="90"/>
      <c r="E221" s="90"/>
      <c r="F221" s="90"/>
      <c r="G221" s="90"/>
      <c r="H221" s="90"/>
      <c r="I221" s="90"/>
      <c r="J221" s="90"/>
      <c r="K221" s="90"/>
      <c r="L221" s="90"/>
      <c r="M221" s="90"/>
      <c r="N221" s="90"/>
      <c r="O221" s="90"/>
      <c r="P221" s="346"/>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row>
    <row r="222" spans="1:48" s="137" customFormat="1" ht="27" customHeight="1" x14ac:dyDescent="0.2">
      <c r="A222" s="347"/>
      <c r="B222" s="347"/>
      <c r="C222" s="1001" t="s">
        <v>87</v>
      </c>
      <c r="D222" s="1002"/>
      <c r="E222" s="1002"/>
      <c r="F222" s="1002"/>
      <c r="G222" s="1002"/>
      <c r="H222" s="1002"/>
      <c r="I222" s="1002"/>
      <c r="J222" s="1002"/>
      <c r="K222" s="1002"/>
      <c r="L222" s="1002"/>
      <c r="M222" s="1002"/>
      <c r="N222" s="1002"/>
      <c r="O222" s="1002"/>
      <c r="P222" s="1002"/>
      <c r="Q222" s="1002"/>
      <c r="R222" s="1002"/>
      <c r="S222" s="1002"/>
      <c r="T222" s="1002"/>
      <c r="U222" s="1003" t="s">
        <v>2472</v>
      </c>
      <c r="V222" s="1002"/>
      <c r="W222" s="1002"/>
      <c r="X222" s="1002"/>
      <c r="Y222" s="1002"/>
      <c r="Z222" s="1004"/>
      <c r="AA222" s="1005" t="s">
        <v>2473</v>
      </c>
      <c r="AB222" s="1002"/>
      <c r="AC222" s="1002"/>
      <c r="AD222" s="1002"/>
      <c r="AE222" s="1002"/>
      <c r="AF222" s="1001" t="s">
        <v>2474</v>
      </c>
      <c r="AG222" s="1002"/>
      <c r="AH222" s="1002"/>
      <c r="AI222" s="1002"/>
      <c r="AJ222" s="1002"/>
      <c r="AK222" s="1004"/>
    </row>
    <row r="223" spans="1:48" s="137" customFormat="1" ht="12" customHeight="1" x14ac:dyDescent="0.2">
      <c r="A223" s="348"/>
      <c r="B223" s="348"/>
      <c r="C223" s="912">
        <f>+C178</f>
        <v>0</v>
      </c>
      <c r="D223" s="913"/>
      <c r="E223" s="913"/>
      <c r="F223" s="913"/>
      <c r="G223" s="913"/>
      <c r="H223" s="913"/>
      <c r="I223" s="913"/>
      <c r="J223" s="913"/>
      <c r="K223" s="913"/>
      <c r="L223" s="913"/>
      <c r="M223" s="913"/>
      <c r="N223" s="913"/>
      <c r="O223" s="913"/>
      <c r="P223" s="913"/>
      <c r="Q223" s="913"/>
      <c r="R223" s="913"/>
      <c r="S223" s="913"/>
      <c r="T223" s="914"/>
      <c r="U223" s="984">
        <f>+U178</f>
        <v>0</v>
      </c>
      <c r="V223" s="916"/>
      <c r="W223" s="916"/>
      <c r="X223" s="916"/>
      <c r="Y223" s="349" t="str">
        <f>+Y178</f>
        <v>Und</v>
      </c>
      <c r="Z223" s="350"/>
      <c r="AA223" s="983">
        <f>+AA178</f>
        <v>0</v>
      </c>
      <c r="AB223" s="983"/>
      <c r="AC223" s="983"/>
      <c r="AD223" s="983"/>
      <c r="AE223" s="983"/>
      <c r="AF223" s="918">
        <f>+U223*AA223</f>
        <v>0</v>
      </c>
      <c r="AG223" s="919"/>
      <c r="AH223" s="919"/>
      <c r="AI223" s="919"/>
      <c r="AJ223" s="919"/>
      <c r="AK223" s="920"/>
    </row>
    <row r="224" spans="1:48" s="137" customFormat="1" ht="12" customHeight="1" x14ac:dyDescent="0.2">
      <c r="A224" s="348"/>
      <c r="B224" s="348"/>
      <c r="C224" s="912">
        <f>+C179</f>
        <v>0</v>
      </c>
      <c r="D224" s="913"/>
      <c r="E224" s="913"/>
      <c r="F224" s="913"/>
      <c r="G224" s="913"/>
      <c r="H224" s="913"/>
      <c r="I224" s="913"/>
      <c r="J224" s="913"/>
      <c r="K224" s="913"/>
      <c r="L224" s="913"/>
      <c r="M224" s="913"/>
      <c r="N224" s="913"/>
      <c r="O224" s="913"/>
      <c r="P224" s="913"/>
      <c r="Q224" s="913"/>
      <c r="R224" s="913"/>
      <c r="S224" s="913"/>
      <c r="T224" s="914"/>
      <c r="U224" s="984">
        <f>+U179</f>
        <v>0</v>
      </c>
      <c r="V224" s="916"/>
      <c r="W224" s="916"/>
      <c r="X224" s="916"/>
      <c r="Y224" s="349" t="str">
        <f>+Y179</f>
        <v>m3</v>
      </c>
      <c r="Z224" s="350"/>
      <c r="AA224" s="983">
        <f>+AA179</f>
        <v>0</v>
      </c>
      <c r="AB224" s="983"/>
      <c r="AC224" s="983"/>
      <c r="AD224" s="983"/>
      <c r="AE224" s="983"/>
      <c r="AF224" s="918">
        <f>+U224*AA224</f>
        <v>0</v>
      </c>
      <c r="AG224" s="919"/>
      <c r="AH224" s="919"/>
      <c r="AI224" s="919"/>
      <c r="AJ224" s="919"/>
      <c r="AK224" s="920"/>
    </row>
    <row r="225" spans="1:48" s="137" customFormat="1" x14ac:dyDescent="0.2">
      <c r="A225" s="72"/>
      <c r="B225" s="72"/>
      <c r="C225" s="351" t="s">
        <v>2475</v>
      </c>
      <c r="D225" s="352"/>
      <c r="E225" s="352"/>
      <c r="F225" s="352"/>
      <c r="G225" s="352"/>
      <c r="H225" s="352"/>
      <c r="I225" s="352"/>
      <c r="J225" s="352"/>
      <c r="K225" s="352"/>
      <c r="L225" s="352"/>
      <c r="M225" s="352"/>
      <c r="N225" s="352"/>
      <c r="O225" s="352"/>
      <c r="P225" s="352"/>
      <c r="Q225" s="352"/>
      <c r="R225" s="352"/>
      <c r="S225" s="352"/>
      <c r="T225" s="352"/>
      <c r="U225" s="353"/>
      <c r="V225" s="353"/>
      <c r="W225" s="353"/>
      <c r="X225" s="353"/>
      <c r="Y225" s="353"/>
      <c r="Z225" s="353"/>
      <c r="AA225" s="353"/>
      <c r="AB225" s="353"/>
      <c r="AC225" s="353"/>
      <c r="AD225" s="353"/>
      <c r="AE225" s="353"/>
      <c r="AF225" s="987">
        <f>SUM(AF223:AK224)</f>
        <v>0</v>
      </c>
      <c r="AG225" s="988"/>
      <c r="AH225" s="988"/>
      <c r="AI225" s="988"/>
      <c r="AJ225" s="988"/>
      <c r="AK225" s="989"/>
    </row>
    <row r="226" spans="1:48" s="137" customFormat="1" x14ac:dyDescent="0.2">
      <c r="A226" s="72"/>
      <c r="B226" s="72"/>
      <c r="C226" s="351">
        <f>+C179</f>
        <v>0</v>
      </c>
      <c r="D226" s="352"/>
      <c r="E226" s="352"/>
      <c r="F226" s="352"/>
      <c r="G226" s="352"/>
      <c r="H226" s="352"/>
      <c r="I226" s="352"/>
      <c r="J226" s="352"/>
      <c r="K226" s="352"/>
      <c r="L226" s="352"/>
      <c r="M226" s="352"/>
      <c r="N226" s="352"/>
      <c r="O226" s="352"/>
      <c r="P226" s="352"/>
      <c r="Q226" s="352"/>
      <c r="R226" s="352"/>
      <c r="S226" s="352"/>
      <c r="T226" s="352"/>
      <c r="U226" s="353"/>
      <c r="V226" s="353"/>
      <c r="W226" s="353"/>
      <c r="X226" s="353"/>
      <c r="Y226" s="353"/>
      <c r="Z226" s="353"/>
      <c r="AA226" s="353"/>
      <c r="AB226" s="353"/>
      <c r="AC226" s="353"/>
      <c r="AD226" s="353"/>
      <c r="AE226" s="353"/>
      <c r="AF226" s="990">
        <f>+AP181</f>
        <v>0</v>
      </c>
      <c r="AG226" s="991"/>
      <c r="AH226" s="991"/>
      <c r="AI226" s="991"/>
      <c r="AJ226" s="991"/>
      <c r="AK226" s="992"/>
    </row>
    <row r="227" spans="1:48" s="137" customFormat="1" x14ac:dyDescent="0.2">
      <c r="A227" s="72"/>
      <c r="B227" s="72"/>
      <c r="C227" s="351" t="str">
        <f>+C220</f>
        <v>VALOR DE LAS OBRAS COMPLEMENTARIAS</v>
      </c>
      <c r="D227" s="352"/>
      <c r="E227" s="352"/>
      <c r="F227" s="352"/>
      <c r="G227" s="352"/>
      <c r="H227" s="352"/>
      <c r="I227" s="352"/>
      <c r="J227" s="352"/>
      <c r="K227" s="352"/>
      <c r="L227" s="352"/>
      <c r="M227" s="352"/>
      <c r="N227" s="352"/>
      <c r="O227" s="352"/>
      <c r="P227" s="352"/>
      <c r="Q227" s="352"/>
      <c r="R227" s="352"/>
      <c r="S227" s="355"/>
      <c r="T227" s="352" t="str">
        <f>+C213</f>
        <v>Departamento N° ….</v>
      </c>
      <c r="U227" s="353"/>
      <c r="V227" s="353"/>
      <c r="W227" s="353"/>
      <c r="X227" s="353"/>
      <c r="Y227" s="353"/>
      <c r="Z227" s="353"/>
      <c r="AA227" s="353"/>
      <c r="AB227" s="353"/>
      <c r="AC227" s="353"/>
      <c r="AD227" s="353"/>
      <c r="AE227" s="353"/>
      <c r="AF227" s="987">
        <f>+AF226*AF225</f>
        <v>0</v>
      </c>
      <c r="AG227" s="988"/>
      <c r="AH227" s="988"/>
      <c r="AI227" s="988"/>
      <c r="AJ227" s="988"/>
      <c r="AK227" s="989"/>
    </row>
    <row r="228" spans="1:48" s="137" customFormat="1" ht="2.25" customHeight="1" x14ac:dyDescent="0.2">
      <c r="A228" s="72"/>
      <c r="B228" s="72"/>
      <c r="C228" s="356"/>
      <c r="D228" s="357"/>
      <c r="E228" s="357"/>
      <c r="F228" s="357"/>
      <c r="G228" s="357"/>
      <c r="H228" s="357"/>
      <c r="I228" s="357"/>
      <c r="J228" s="357"/>
      <c r="K228" s="357"/>
      <c r="L228" s="357"/>
      <c r="M228" s="357"/>
      <c r="N228" s="357"/>
      <c r="O228" s="357"/>
      <c r="P228" s="357"/>
      <c r="Q228" s="357"/>
      <c r="R228" s="357"/>
      <c r="S228" s="357"/>
      <c r="T228" s="357"/>
      <c r="U228" s="358"/>
      <c r="V228" s="358"/>
      <c r="W228" s="358"/>
      <c r="X228" s="358"/>
      <c r="Y228" s="358"/>
      <c r="Z228" s="358"/>
      <c r="AA228" s="358"/>
      <c r="AB228" s="358"/>
      <c r="AC228" s="358"/>
      <c r="AD228" s="358"/>
      <c r="AE228" s="358"/>
      <c r="AF228" s="359"/>
      <c r="AG228" s="349"/>
      <c r="AH228" s="349"/>
      <c r="AI228" s="349"/>
      <c r="AJ228" s="349"/>
      <c r="AK228" s="350"/>
    </row>
    <row r="229" spans="1:48" s="137" customFormat="1" x14ac:dyDescent="0.2">
      <c r="A229" s="72"/>
      <c r="B229" s="72"/>
      <c r="C229" s="351" t="s">
        <v>2475</v>
      </c>
      <c r="D229" s="352"/>
      <c r="E229" s="352"/>
      <c r="F229" s="352"/>
      <c r="G229" s="352"/>
      <c r="H229" s="352"/>
      <c r="I229" s="352"/>
      <c r="J229" s="352"/>
      <c r="K229" s="352"/>
      <c r="L229" s="352"/>
      <c r="M229" s="352"/>
      <c r="N229" s="352"/>
      <c r="O229" s="352"/>
      <c r="P229" s="352"/>
      <c r="Q229" s="352"/>
      <c r="R229" s="352"/>
      <c r="S229" s="352"/>
      <c r="T229" s="352"/>
      <c r="U229" s="353"/>
      <c r="V229" s="353"/>
      <c r="W229" s="353"/>
      <c r="X229" s="353"/>
      <c r="Y229" s="353"/>
      <c r="Z229" s="353"/>
      <c r="AA229" s="353"/>
      <c r="AB229" s="353"/>
      <c r="AC229" s="353"/>
      <c r="AD229" s="353"/>
      <c r="AE229" s="353"/>
      <c r="AF229" s="987">
        <f>+AF225</f>
        <v>0</v>
      </c>
      <c r="AG229" s="988"/>
      <c r="AH229" s="988"/>
      <c r="AI229" s="988"/>
      <c r="AJ229" s="988"/>
      <c r="AK229" s="989"/>
    </row>
    <row r="230" spans="1:48" s="137" customFormat="1" x14ac:dyDescent="0.2">
      <c r="A230" s="72"/>
      <c r="B230" s="72"/>
      <c r="C230" s="351">
        <f>+C185</f>
        <v>0</v>
      </c>
      <c r="D230" s="352"/>
      <c r="E230" s="352"/>
      <c r="F230" s="352"/>
      <c r="G230" s="352"/>
      <c r="H230" s="352"/>
      <c r="I230" s="352"/>
      <c r="J230" s="352"/>
      <c r="K230" s="352"/>
      <c r="L230" s="352"/>
      <c r="M230" s="352"/>
      <c r="N230" s="352"/>
      <c r="O230" s="352"/>
      <c r="P230" s="352"/>
      <c r="Q230" s="352"/>
      <c r="R230" s="352"/>
      <c r="S230" s="352"/>
      <c r="T230" s="352"/>
      <c r="U230" s="353"/>
      <c r="V230" s="353"/>
      <c r="W230" s="353"/>
      <c r="X230" s="353"/>
      <c r="Y230" s="353"/>
      <c r="Z230" s="353"/>
      <c r="AA230" s="353"/>
      <c r="AB230" s="353"/>
      <c r="AC230" s="353"/>
      <c r="AD230" s="353"/>
      <c r="AE230" s="353"/>
      <c r="AF230" s="990">
        <f>+AP187</f>
        <v>0</v>
      </c>
      <c r="AG230" s="991"/>
      <c r="AH230" s="991"/>
      <c r="AI230" s="991"/>
      <c r="AJ230" s="991"/>
      <c r="AK230" s="992"/>
    </row>
    <row r="231" spans="1:48" s="137" customFormat="1" x14ac:dyDescent="0.2">
      <c r="A231" s="72"/>
      <c r="B231" s="72"/>
      <c r="C231" s="351" t="str">
        <f>+C220</f>
        <v>VALOR DE LAS OBRAS COMPLEMENTARIAS</v>
      </c>
      <c r="D231" s="352"/>
      <c r="E231" s="352"/>
      <c r="F231" s="352"/>
      <c r="G231" s="352"/>
      <c r="H231" s="352"/>
      <c r="I231" s="352"/>
      <c r="J231" s="352"/>
      <c r="K231" s="352"/>
      <c r="L231" s="352"/>
      <c r="M231" s="352"/>
      <c r="N231" s="352"/>
      <c r="O231" s="352"/>
      <c r="P231" s="352"/>
      <c r="Q231" s="352"/>
      <c r="R231" s="352"/>
      <c r="S231" s="355"/>
      <c r="T231" s="352" t="str">
        <f>+C215</f>
        <v>Estacionamiento N° …</v>
      </c>
      <c r="U231" s="353"/>
      <c r="V231" s="353"/>
      <c r="W231" s="353"/>
      <c r="X231" s="353"/>
      <c r="Y231" s="353"/>
      <c r="Z231" s="353"/>
      <c r="AA231" s="353"/>
      <c r="AB231" s="353"/>
      <c r="AC231" s="353"/>
      <c r="AD231" s="353"/>
      <c r="AE231" s="353"/>
      <c r="AF231" s="987">
        <f>+AF230*AF229</f>
        <v>0</v>
      </c>
      <c r="AG231" s="988"/>
      <c r="AH231" s="988"/>
      <c r="AI231" s="988"/>
      <c r="AJ231" s="988"/>
      <c r="AK231" s="989"/>
    </row>
    <row r="232" spans="1:48" s="137" customFormat="1" ht="2.25" customHeight="1" x14ac:dyDescent="0.2">
      <c r="A232" s="72"/>
      <c r="B232" s="72"/>
      <c r="C232" s="356"/>
      <c r="D232" s="357"/>
      <c r="E232" s="357"/>
      <c r="F232" s="357"/>
      <c r="G232" s="357"/>
      <c r="H232" s="357"/>
      <c r="I232" s="357"/>
      <c r="J232" s="357"/>
      <c r="K232" s="357"/>
      <c r="L232" s="357"/>
      <c r="M232" s="357"/>
      <c r="N232" s="357"/>
      <c r="O232" s="357"/>
      <c r="P232" s="357"/>
      <c r="Q232" s="357"/>
      <c r="R232" s="357"/>
      <c r="S232" s="357"/>
      <c r="T232" s="357"/>
      <c r="U232" s="358"/>
      <c r="V232" s="358"/>
      <c r="W232" s="358"/>
      <c r="X232" s="358"/>
      <c r="Y232" s="358"/>
      <c r="Z232" s="358"/>
      <c r="AA232" s="358"/>
      <c r="AB232" s="358"/>
      <c r="AC232" s="358"/>
      <c r="AD232" s="358"/>
      <c r="AE232" s="358"/>
      <c r="AF232" s="359"/>
      <c r="AG232" s="349"/>
      <c r="AH232" s="349"/>
      <c r="AI232" s="349"/>
      <c r="AJ232" s="349"/>
      <c r="AK232" s="350"/>
    </row>
    <row r="233" spans="1:48" s="137" customFormat="1" x14ac:dyDescent="0.2">
      <c r="A233" s="72"/>
      <c r="B233" s="72"/>
      <c r="C233" s="351" t="s">
        <v>2475</v>
      </c>
      <c r="D233" s="352"/>
      <c r="E233" s="352"/>
      <c r="F233" s="352"/>
      <c r="G233" s="352"/>
      <c r="H233" s="352"/>
      <c r="I233" s="352"/>
      <c r="J233" s="352"/>
      <c r="K233" s="352"/>
      <c r="L233" s="352"/>
      <c r="M233" s="352"/>
      <c r="N233" s="352"/>
      <c r="O233" s="352"/>
      <c r="P233" s="352"/>
      <c r="Q233" s="352"/>
      <c r="R233" s="352"/>
      <c r="S233" s="352"/>
      <c r="T233" s="352"/>
      <c r="U233" s="353"/>
      <c r="V233" s="353"/>
      <c r="W233" s="353"/>
      <c r="X233" s="353"/>
      <c r="Y233" s="353"/>
      <c r="Z233" s="353"/>
      <c r="AA233" s="353"/>
      <c r="AB233" s="353"/>
      <c r="AC233" s="353"/>
      <c r="AD233" s="353"/>
      <c r="AE233" s="353"/>
      <c r="AF233" s="987">
        <f>+AF225</f>
        <v>0</v>
      </c>
      <c r="AG233" s="988"/>
      <c r="AH233" s="988"/>
      <c r="AI233" s="988"/>
      <c r="AJ233" s="988"/>
      <c r="AK233" s="989"/>
    </row>
    <row r="234" spans="1:48" s="137" customFormat="1" x14ac:dyDescent="0.2">
      <c r="A234" s="72"/>
      <c r="B234" s="72"/>
      <c r="C234" s="351">
        <f>+C191</f>
        <v>0</v>
      </c>
      <c r="D234" s="352"/>
      <c r="E234" s="352"/>
      <c r="F234" s="352"/>
      <c r="G234" s="352"/>
      <c r="H234" s="352"/>
      <c r="I234" s="352"/>
      <c r="J234" s="352"/>
      <c r="K234" s="352"/>
      <c r="L234" s="352"/>
      <c r="M234" s="352"/>
      <c r="N234" s="352"/>
      <c r="O234" s="352"/>
      <c r="P234" s="352"/>
      <c r="Q234" s="352"/>
      <c r="R234" s="352"/>
      <c r="S234" s="352"/>
      <c r="T234" s="352"/>
      <c r="U234" s="353"/>
      <c r="V234" s="353"/>
      <c r="W234" s="353"/>
      <c r="X234" s="353"/>
      <c r="Y234" s="353"/>
      <c r="Z234" s="353"/>
      <c r="AA234" s="353"/>
      <c r="AB234" s="353"/>
      <c r="AC234" s="353"/>
      <c r="AD234" s="353"/>
      <c r="AE234" s="353"/>
      <c r="AF234" s="990">
        <f>+AP193</f>
        <v>0</v>
      </c>
      <c r="AG234" s="991"/>
      <c r="AH234" s="991"/>
      <c r="AI234" s="991"/>
      <c r="AJ234" s="991"/>
      <c r="AK234" s="992"/>
    </row>
    <row r="235" spans="1:48" s="137" customFormat="1" x14ac:dyDescent="0.2">
      <c r="A235" s="72"/>
      <c r="B235" s="72"/>
      <c r="C235" s="351" t="str">
        <f>+C220</f>
        <v>VALOR DE LAS OBRAS COMPLEMENTARIAS</v>
      </c>
      <c r="D235" s="352"/>
      <c r="E235" s="352"/>
      <c r="F235" s="352"/>
      <c r="G235" s="352"/>
      <c r="H235" s="352"/>
      <c r="I235" s="352"/>
      <c r="J235" s="352"/>
      <c r="K235" s="352"/>
      <c r="L235" s="352"/>
      <c r="M235" s="352"/>
      <c r="N235" s="352"/>
      <c r="O235" s="352"/>
      <c r="P235" s="352"/>
      <c r="Q235" s="352"/>
      <c r="R235" s="352"/>
      <c r="S235" s="355"/>
      <c r="T235" s="352" t="str">
        <f>+C217</f>
        <v>Depósito N°..</v>
      </c>
      <c r="U235" s="353"/>
      <c r="V235" s="353"/>
      <c r="W235" s="353"/>
      <c r="X235" s="353"/>
      <c r="Y235" s="353"/>
      <c r="Z235" s="353"/>
      <c r="AA235" s="353"/>
      <c r="AB235" s="353"/>
      <c r="AC235" s="353"/>
      <c r="AD235" s="353"/>
      <c r="AE235" s="353"/>
      <c r="AF235" s="987">
        <f>+AF234*AF233</f>
        <v>0</v>
      </c>
      <c r="AG235" s="988"/>
      <c r="AH235" s="988"/>
      <c r="AI235" s="988"/>
      <c r="AJ235" s="988"/>
      <c r="AK235" s="989"/>
    </row>
    <row r="236" spans="1:48" ht="16.5" customHeight="1" x14ac:dyDescent="0.2">
      <c r="C236" s="890" t="s">
        <v>24</v>
      </c>
      <c r="D236" s="777"/>
      <c r="E236" s="777"/>
      <c r="F236" s="777"/>
      <c r="G236" s="777"/>
      <c r="H236" s="777"/>
      <c r="I236" s="777"/>
      <c r="J236" s="777"/>
      <c r="K236" s="777"/>
      <c r="L236" s="777"/>
      <c r="M236" s="777"/>
      <c r="N236" s="777"/>
      <c r="O236" s="777"/>
      <c r="P236" s="777"/>
      <c r="Q236" s="777"/>
      <c r="R236" s="777"/>
      <c r="S236" s="777"/>
      <c r="T236" s="777"/>
      <c r="U236" s="891"/>
      <c r="V236" s="891"/>
      <c r="W236" s="891"/>
      <c r="X236" s="891"/>
      <c r="Y236" s="891"/>
      <c r="Z236" s="891"/>
      <c r="AA236" s="891"/>
      <c r="AB236" s="891"/>
      <c r="AC236" s="891"/>
      <c r="AD236" s="891"/>
      <c r="AE236" s="891"/>
      <c r="AF236" s="891"/>
      <c r="AG236" s="891"/>
      <c r="AH236" s="891"/>
      <c r="AI236" s="891"/>
      <c r="AJ236" s="891"/>
      <c r="AK236" s="891"/>
      <c r="AL236" s="891"/>
      <c r="AM236" s="891"/>
      <c r="AN236" s="891"/>
      <c r="AO236" s="891"/>
      <c r="AP236" s="891"/>
      <c r="AQ236" s="891"/>
      <c r="AR236" s="891"/>
      <c r="AS236" s="891"/>
      <c r="AT236" s="891"/>
      <c r="AU236" s="891"/>
      <c r="AV236" s="891"/>
    </row>
    <row r="237" spans="1:48" s="90" customFormat="1" ht="12.95" customHeight="1" x14ac:dyDescent="0.2">
      <c r="C237" s="25"/>
      <c r="D237" s="25"/>
      <c r="H237" s="21"/>
      <c r="J237" s="27"/>
      <c r="Q237" s="27" t="str">
        <f>+R197</f>
        <v>INFORME N° 25</v>
      </c>
      <c r="U237" s="28"/>
      <c r="V237" s="29"/>
      <c r="AB237" s="886">
        <f>+AB197</f>
        <v>0</v>
      </c>
      <c r="AC237" s="998"/>
      <c r="AD237" s="998"/>
      <c r="AE237" s="998"/>
      <c r="AF237" s="998"/>
    </row>
    <row r="238" spans="1:48" s="90" customFormat="1" ht="13.5" x14ac:dyDescent="0.2">
      <c r="A238" s="687">
        <v>1</v>
      </c>
      <c r="B238" s="688"/>
      <c r="C238" s="27" t="s">
        <v>42</v>
      </c>
      <c r="J238" s="307" t="s">
        <v>2335</v>
      </c>
    </row>
    <row r="239" spans="1:48" s="90" customFormat="1" ht="31.5" customHeight="1" x14ac:dyDescent="0.2">
      <c r="A239" s="293"/>
      <c r="B239" s="148"/>
      <c r="C239" s="689" t="s">
        <v>2336</v>
      </c>
      <c r="D239" s="689"/>
      <c r="E239" s="689"/>
      <c r="F239" s="689"/>
      <c r="G239" s="689"/>
      <c r="H239" s="689"/>
      <c r="I239" s="689"/>
      <c r="J239" s="689"/>
      <c r="K239" s="689"/>
      <c r="L239" s="689"/>
      <c r="M239" s="689"/>
      <c r="N239" s="689"/>
      <c r="O239" s="689"/>
      <c r="P239" s="689"/>
      <c r="Q239" s="689"/>
      <c r="R239" s="689"/>
      <c r="S239" s="689"/>
      <c r="T239" s="689"/>
      <c r="U239" s="689"/>
      <c r="V239" s="689"/>
      <c r="W239" s="689"/>
      <c r="X239" s="689"/>
      <c r="Y239" s="689"/>
      <c r="Z239" s="689"/>
      <c r="AA239" s="689"/>
      <c r="AB239" s="689"/>
      <c r="AC239" s="689"/>
      <c r="AD239" s="689"/>
      <c r="AE239" s="689"/>
      <c r="AF239" s="689"/>
      <c r="AG239" s="689"/>
      <c r="AH239" s="689"/>
      <c r="AI239" s="689"/>
      <c r="AJ239" s="689"/>
      <c r="AK239" s="689"/>
      <c r="AL239" s="689"/>
      <c r="AM239" s="689"/>
      <c r="AN239" s="689"/>
      <c r="AO239" s="689"/>
      <c r="AP239" s="689"/>
      <c r="AQ239" s="689"/>
      <c r="AR239" s="689"/>
      <c r="AS239" s="689"/>
      <c r="AT239" s="689"/>
      <c r="AU239" s="689"/>
      <c r="AV239" s="689"/>
    </row>
    <row r="240" spans="1:48" s="136" customFormat="1" ht="13.5" x14ac:dyDescent="0.2">
      <c r="C240" s="690" t="s">
        <v>12</v>
      </c>
      <c r="D240" s="691"/>
      <c r="E240" s="691"/>
      <c r="F240" s="691"/>
      <c r="G240" s="691"/>
      <c r="H240" s="691"/>
      <c r="I240" s="691"/>
      <c r="J240" s="691"/>
      <c r="K240" s="691"/>
      <c r="L240" s="691"/>
      <c r="M240" s="691"/>
      <c r="N240" s="691"/>
      <c r="O240" s="691"/>
      <c r="P240" s="691"/>
      <c r="Q240" s="691"/>
      <c r="R240" s="691"/>
      <c r="S240" s="691"/>
      <c r="T240" s="691"/>
      <c r="U240" s="691"/>
      <c r="V240" s="691"/>
      <c r="W240" s="691"/>
      <c r="X240" s="691"/>
      <c r="Y240" s="691"/>
      <c r="Z240" s="691"/>
      <c r="AA240" s="691"/>
      <c r="AB240" s="691"/>
      <c r="AC240" s="691"/>
      <c r="AD240" s="691"/>
      <c r="AE240" s="691"/>
      <c r="AF240" s="691"/>
      <c r="AG240" s="691"/>
      <c r="AH240" s="691"/>
      <c r="AI240" s="691"/>
      <c r="AJ240" s="691"/>
      <c r="AK240" s="691"/>
      <c r="AL240" s="691"/>
      <c r="AM240" s="691"/>
      <c r="AN240" s="691"/>
      <c r="AO240" s="691"/>
      <c r="AP240" s="691"/>
      <c r="AQ240" s="691"/>
      <c r="AR240" s="691"/>
      <c r="AS240" s="691"/>
      <c r="AT240" s="691"/>
      <c r="AU240" s="691"/>
      <c r="AV240" s="692"/>
    </row>
    <row r="241" spans="1:48" s="90" customFormat="1" ht="3" customHeight="1" x14ac:dyDescent="0.2">
      <c r="M241" s="139"/>
      <c r="N241" s="139"/>
      <c r="O241" s="139"/>
      <c r="P241" s="139"/>
      <c r="Q241" s="139"/>
      <c r="R241" s="139"/>
      <c r="S241" s="139"/>
      <c r="T241" s="139"/>
    </row>
    <row r="242" spans="1:48" s="63" customFormat="1" ht="81.75" customHeight="1" x14ac:dyDescent="0.2">
      <c r="C242" s="693" t="s">
        <v>14</v>
      </c>
      <c r="D242" s="694"/>
      <c r="E242" s="694"/>
      <c r="F242" s="694"/>
      <c r="G242" s="694"/>
      <c r="H242" s="694"/>
      <c r="I242" s="694"/>
      <c r="J242" s="694"/>
      <c r="K242" s="694"/>
      <c r="L242" s="694"/>
      <c r="M242" s="694"/>
      <c r="N242" s="694"/>
      <c r="O242" s="694"/>
      <c r="P242" s="694"/>
      <c r="Q242" s="694"/>
      <c r="R242" s="695" t="s">
        <v>209</v>
      </c>
      <c r="S242" s="696"/>
      <c r="T242" s="697"/>
      <c r="U242" s="695" t="s">
        <v>51</v>
      </c>
      <c r="V242" s="696"/>
      <c r="W242" s="697"/>
      <c r="X242" s="698" t="s">
        <v>210</v>
      </c>
      <c r="Y242" s="699"/>
      <c r="Z242" s="700"/>
      <c r="AA242" s="698" t="s">
        <v>211</v>
      </c>
      <c r="AB242" s="699"/>
      <c r="AC242" s="700"/>
      <c r="AD242" s="788" t="s">
        <v>27</v>
      </c>
      <c r="AE242" s="880"/>
      <c r="AF242" s="881"/>
      <c r="AG242" s="881"/>
      <c r="AH242" s="881"/>
      <c r="AI242" s="788" t="s">
        <v>28</v>
      </c>
      <c r="AJ242" s="880"/>
      <c r="AK242" s="881"/>
      <c r="AL242" s="881"/>
      <c r="AM242" s="881"/>
      <c r="AN242" s="788" t="s">
        <v>26</v>
      </c>
      <c r="AO242" s="789"/>
      <c r="AP242" s="789"/>
      <c r="AQ242" s="789"/>
      <c r="AR242" s="789"/>
      <c r="AS242" s="773" t="s">
        <v>2337</v>
      </c>
      <c r="AT242" s="774"/>
      <c r="AU242" s="775"/>
      <c r="AV242" s="775"/>
    </row>
    <row r="243" spans="1:48" s="63" customFormat="1" ht="13.5" x14ac:dyDescent="0.2">
      <c r="C243" s="693" t="s">
        <v>2524</v>
      </c>
      <c r="D243" s="694"/>
      <c r="E243" s="694"/>
      <c r="F243" s="694"/>
      <c r="G243" s="694"/>
      <c r="H243" s="694"/>
      <c r="I243" s="694"/>
      <c r="J243" s="694"/>
      <c r="K243" s="694"/>
      <c r="L243" s="694"/>
      <c r="M243" s="694"/>
      <c r="N243" s="694"/>
      <c r="O243" s="694"/>
      <c r="P243" s="694"/>
      <c r="Q243" s="694"/>
      <c r="R243" s="694"/>
      <c r="S243" s="694"/>
      <c r="T243" s="694"/>
      <c r="U243" s="694"/>
      <c r="V243" s="694"/>
      <c r="W243" s="694"/>
      <c r="X243" s="694"/>
      <c r="Y243" s="694"/>
      <c r="Z243" s="694"/>
      <c r="AA243" s="694"/>
      <c r="AB243" s="694"/>
      <c r="AC243" s="694"/>
      <c r="AD243" s="694"/>
      <c r="AE243" s="694"/>
      <c r="AF243" s="694"/>
      <c r="AG243" s="694"/>
      <c r="AH243" s="694"/>
      <c r="AI243" s="694"/>
      <c r="AJ243" s="694"/>
      <c r="AK243" s="694"/>
      <c r="AL243" s="694"/>
      <c r="AM243" s="694"/>
      <c r="AN243" s="694"/>
      <c r="AO243" s="694"/>
      <c r="AP243" s="694"/>
      <c r="AQ243" s="694"/>
      <c r="AR243" s="694"/>
      <c r="AS243" s="694"/>
      <c r="AT243" s="694"/>
      <c r="AU243" s="694"/>
      <c r="AV243" s="877"/>
    </row>
    <row r="244" spans="1:48" s="142" customFormat="1" ht="104.25" customHeight="1" x14ac:dyDescent="0.2">
      <c r="C244" s="999"/>
      <c r="D244" s="1000"/>
      <c r="E244" s="1000"/>
      <c r="F244" s="1000"/>
      <c r="G244" s="1000"/>
      <c r="H244" s="1000"/>
      <c r="I244" s="1000"/>
      <c r="J244" s="1000"/>
      <c r="K244" s="1000"/>
      <c r="L244" s="1000"/>
      <c r="M244" s="1000"/>
      <c r="N244" s="1000"/>
      <c r="O244" s="1000"/>
      <c r="P244" s="1000"/>
      <c r="Q244" s="1000"/>
      <c r="R244" s="738"/>
      <c r="S244" s="739"/>
      <c r="T244" s="740"/>
      <c r="U244" s="738"/>
      <c r="V244" s="739"/>
      <c r="W244" s="740"/>
      <c r="X244" s="738"/>
      <c r="Y244" s="739"/>
      <c r="Z244" s="740"/>
      <c r="AA244" s="738"/>
      <c r="AB244" s="739"/>
      <c r="AC244" s="740"/>
      <c r="AD244" s="713"/>
      <c r="AE244" s="713"/>
      <c r="AF244" s="714"/>
      <c r="AG244" s="714"/>
      <c r="AH244" s="714"/>
      <c r="AI244" s="713"/>
      <c r="AJ244" s="713"/>
      <c r="AK244" s="714"/>
      <c r="AL244" s="714"/>
      <c r="AM244" s="714"/>
      <c r="AN244" s="713"/>
      <c r="AO244" s="714"/>
      <c r="AP244" s="714"/>
      <c r="AQ244" s="714"/>
      <c r="AR244" s="714"/>
      <c r="AS244" s="715" t="e">
        <f>+AD244/AA244</f>
        <v>#DIV/0!</v>
      </c>
      <c r="AT244" s="716"/>
      <c r="AU244" s="717"/>
      <c r="AV244" s="717"/>
    </row>
    <row r="245" spans="1:48" s="142" customFormat="1" ht="55.5" customHeight="1" x14ac:dyDescent="0.2">
      <c r="C245" s="718"/>
      <c r="D245" s="719"/>
      <c r="E245" s="719"/>
      <c r="F245" s="719"/>
      <c r="G245" s="719"/>
      <c r="H245" s="719"/>
      <c r="I245" s="719"/>
      <c r="J245" s="719"/>
      <c r="K245" s="719"/>
      <c r="L245" s="719"/>
      <c r="M245" s="719"/>
      <c r="N245" s="719"/>
      <c r="O245" s="719"/>
      <c r="P245" s="719"/>
      <c r="Q245" s="719"/>
      <c r="R245" s="720"/>
      <c r="S245" s="721"/>
      <c r="T245" s="722"/>
      <c r="U245" s="720"/>
      <c r="V245" s="721"/>
      <c r="W245" s="722"/>
      <c r="X245" s="720"/>
      <c r="Y245" s="721"/>
      <c r="Z245" s="722"/>
      <c r="AA245" s="720"/>
      <c r="AB245" s="721"/>
      <c r="AC245" s="722"/>
      <c r="AD245" s="996"/>
      <c r="AE245" s="996"/>
      <c r="AF245" s="997"/>
      <c r="AG245" s="997"/>
      <c r="AH245" s="997"/>
      <c r="AI245" s="996"/>
      <c r="AJ245" s="996"/>
      <c r="AK245" s="997"/>
      <c r="AL245" s="997"/>
      <c r="AM245" s="997"/>
      <c r="AN245" s="996"/>
      <c r="AO245" s="997"/>
      <c r="AP245" s="997"/>
      <c r="AQ245" s="997"/>
      <c r="AR245" s="997"/>
      <c r="AS245" s="730" t="e">
        <f>+AD245/AA245</f>
        <v>#DIV/0!</v>
      </c>
      <c r="AT245" s="731"/>
      <c r="AU245" s="732"/>
      <c r="AV245" s="732"/>
    </row>
    <row r="246" spans="1:48" s="63" customFormat="1" ht="34.5" customHeight="1" x14ac:dyDescent="0.2">
      <c r="C246" s="876" t="s">
        <v>2525</v>
      </c>
      <c r="D246" s="694"/>
      <c r="E246" s="694"/>
      <c r="F246" s="694"/>
      <c r="G246" s="694"/>
      <c r="H246" s="694"/>
      <c r="I246" s="694"/>
      <c r="J246" s="694"/>
      <c r="K246" s="694"/>
      <c r="L246" s="694"/>
      <c r="M246" s="694"/>
      <c r="N246" s="694"/>
      <c r="O246" s="694"/>
      <c r="P246" s="694"/>
      <c r="Q246" s="694"/>
      <c r="R246" s="694"/>
      <c r="S246" s="694"/>
      <c r="T246" s="694"/>
      <c r="U246" s="694"/>
      <c r="V246" s="694"/>
      <c r="W246" s="694"/>
      <c r="X246" s="694"/>
      <c r="Y246" s="694"/>
      <c r="Z246" s="694"/>
      <c r="AA246" s="694"/>
      <c r="AB246" s="694"/>
      <c r="AC246" s="694"/>
      <c r="AD246" s="694"/>
      <c r="AE246" s="694"/>
      <c r="AF246" s="694"/>
      <c r="AG246" s="694"/>
      <c r="AH246" s="694"/>
      <c r="AI246" s="694"/>
      <c r="AJ246" s="694"/>
      <c r="AK246" s="694"/>
      <c r="AL246" s="694"/>
      <c r="AM246" s="694"/>
      <c r="AN246" s="694"/>
      <c r="AO246" s="694"/>
      <c r="AP246" s="694"/>
      <c r="AQ246" s="694"/>
      <c r="AR246" s="694"/>
      <c r="AS246" s="694"/>
      <c r="AT246" s="694"/>
      <c r="AU246" s="694"/>
      <c r="AV246" s="877"/>
    </row>
    <row r="247" spans="1:48" s="142" customFormat="1" ht="90.75" customHeight="1" thickBot="1" x14ac:dyDescent="0.25">
      <c r="C247" s="723"/>
      <c r="D247" s="724"/>
      <c r="E247" s="724"/>
      <c r="F247" s="724"/>
      <c r="G247" s="724"/>
      <c r="H247" s="724"/>
      <c r="I247" s="724"/>
      <c r="J247" s="724"/>
      <c r="K247" s="724"/>
      <c r="L247" s="724"/>
      <c r="M247" s="724"/>
      <c r="N247" s="724"/>
      <c r="O247" s="724"/>
      <c r="P247" s="724"/>
      <c r="Q247" s="725"/>
      <c r="R247" s="733"/>
      <c r="S247" s="734"/>
      <c r="T247" s="735"/>
      <c r="U247" s="733"/>
      <c r="V247" s="734"/>
      <c r="W247" s="735"/>
      <c r="X247" s="733"/>
      <c r="Y247" s="734"/>
      <c r="Z247" s="735"/>
      <c r="AA247" s="733"/>
      <c r="AB247" s="734"/>
      <c r="AC247" s="735"/>
      <c r="AD247" s="702"/>
      <c r="AE247" s="702"/>
      <c r="AF247" s="703"/>
      <c r="AG247" s="703"/>
      <c r="AH247" s="703"/>
      <c r="AI247" s="702"/>
      <c r="AJ247" s="702"/>
      <c r="AK247" s="703"/>
      <c r="AL247" s="703"/>
      <c r="AM247" s="703"/>
      <c r="AN247" s="702"/>
      <c r="AO247" s="703"/>
      <c r="AP247" s="703"/>
      <c r="AQ247" s="703"/>
      <c r="AR247" s="703"/>
      <c r="AS247" s="704" t="e">
        <f>+AD247/AA247</f>
        <v>#DIV/0!</v>
      </c>
      <c r="AT247" s="705"/>
      <c r="AU247" s="706"/>
      <c r="AV247" s="706"/>
    </row>
    <row r="248" spans="1:48" s="143" customFormat="1" ht="21" customHeight="1" thickTop="1" x14ac:dyDescent="0.2">
      <c r="A248" s="143" t="s">
        <v>212</v>
      </c>
      <c r="B248" s="144"/>
      <c r="C248" s="707"/>
      <c r="D248" s="708"/>
      <c r="E248" s="708"/>
      <c r="F248" s="708"/>
      <c r="G248" s="708"/>
      <c r="H248" s="708"/>
      <c r="I248" s="708"/>
      <c r="J248" s="708"/>
      <c r="K248" s="708"/>
      <c r="L248" s="708"/>
      <c r="M248" s="708"/>
      <c r="N248" s="708"/>
      <c r="O248" s="708"/>
      <c r="P248" s="708"/>
      <c r="Q248" s="708"/>
      <c r="R248" s="708"/>
      <c r="S248" s="708"/>
      <c r="T248" s="708"/>
      <c r="U248" s="708"/>
      <c r="V248" s="708"/>
      <c r="W248" s="708"/>
      <c r="X248" s="708"/>
      <c r="Y248" s="708"/>
      <c r="Z248" s="708"/>
      <c r="AA248" s="708"/>
      <c r="AB248" s="708"/>
      <c r="AC248" s="708"/>
      <c r="AD248" s="708"/>
      <c r="AE248" s="708"/>
      <c r="AF248" s="708"/>
      <c r="AG248" s="708"/>
      <c r="AH248" s="708"/>
      <c r="AI248" s="708"/>
      <c r="AJ248" s="708"/>
      <c r="AK248" s="708"/>
      <c r="AL248" s="708"/>
      <c r="AM248" s="708"/>
      <c r="AN248" s="708"/>
      <c r="AO248" s="708"/>
      <c r="AP248" s="708"/>
      <c r="AQ248" s="708"/>
      <c r="AR248" s="708"/>
      <c r="AS248" s="708"/>
      <c r="AT248" s="708"/>
      <c r="AU248" s="708"/>
      <c r="AV248" s="709"/>
    </row>
    <row r="249" spans="1:48" s="143" customFormat="1" ht="21" customHeight="1" x14ac:dyDescent="0.2">
      <c r="A249" s="90"/>
      <c r="B249" s="144"/>
      <c r="C249" s="707"/>
      <c r="D249" s="708"/>
      <c r="E249" s="708"/>
      <c r="F249" s="708"/>
      <c r="G249" s="708"/>
      <c r="H249" s="708"/>
      <c r="I249" s="708"/>
      <c r="J249" s="708"/>
      <c r="K249" s="708"/>
      <c r="L249" s="708"/>
      <c r="M249" s="708"/>
      <c r="N249" s="708"/>
      <c r="O249" s="708"/>
      <c r="P249" s="708"/>
      <c r="Q249" s="708"/>
      <c r="R249" s="708"/>
      <c r="S249" s="708"/>
      <c r="T249" s="708"/>
      <c r="U249" s="708"/>
      <c r="V249" s="708"/>
      <c r="W249" s="708"/>
      <c r="X249" s="708"/>
      <c r="Y249" s="708"/>
      <c r="Z249" s="708"/>
      <c r="AA249" s="708"/>
      <c r="AB249" s="708"/>
      <c r="AC249" s="708"/>
      <c r="AD249" s="708"/>
      <c r="AE249" s="708"/>
      <c r="AF249" s="708"/>
      <c r="AG249" s="708"/>
      <c r="AH249" s="708"/>
      <c r="AI249" s="708"/>
      <c r="AJ249" s="708"/>
      <c r="AK249" s="708"/>
      <c r="AL249" s="708"/>
      <c r="AM249" s="708"/>
      <c r="AN249" s="708"/>
      <c r="AO249" s="708"/>
      <c r="AP249" s="708"/>
      <c r="AQ249" s="708"/>
      <c r="AR249" s="708"/>
      <c r="AS249" s="708"/>
      <c r="AT249" s="708"/>
      <c r="AU249" s="708"/>
      <c r="AV249" s="709"/>
    </row>
    <row r="250" spans="1:48" s="143" customFormat="1" ht="21" customHeight="1" x14ac:dyDescent="0.2">
      <c r="A250" s="90"/>
      <c r="B250" s="144"/>
      <c r="C250" s="707"/>
      <c r="D250" s="708"/>
      <c r="E250" s="708"/>
      <c r="F250" s="708"/>
      <c r="G250" s="708"/>
      <c r="H250" s="708"/>
      <c r="I250" s="708"/>
      <c r="J250" s="708"/>
      <c r="K250" s="708"/>
      <c r="L250" s="708"/>
      <c r="M250" s="708"/>
      <c r="N250" s="708"/>
      <c r="O250" s="708"/>
      <c r="P250" s="708"/>
      <c r="Q250" s="708"/>
      <c r="R250" s="708"/>
      <c r="S250" s="708"/>
      <c r="T250" s="708"/>
      <c r="U250" s="708"/>
      <c r="V250" s="708"/>
      <c r="W250" s="708"/>
      <c r="X250" s="708"/>
      <c r="Y250" s="708"/>
      <c r="Z250" s="708"/>
      <c r="AA250" s="708"/>
      <c r="AB250" s="708"/>
      <c r="AC250" s="708"/>
      <c r="AD250" s="708"/>
      <c r="AE250" s="708"/>
      <c r="AF250" s="708"/>
      <c r="AG250" s="708"/>
      <c r="AH250" s="708"/>
      <c r="AI250" s="708"/>
      <c r="AJ250" s="708"/>
      <c r="AK250" s="708"/>
      <c r="AL250" s="708"/>
      <c r="AM250" s="708"/>
      <c r="AN250" s="708"/>
      <c r="AO250" s="708"/>
      <c r="AP250" s="708"/>
      <c r="AQ250" s="708"/>
      <c r="AR250" s="708"/>
      <c r="AS250" s="708"/>
      <c r="AT250" s="708"/>
      <c r="AU250" s="708"/>
      <c r="AV250" s="709"/>
    </row>
    <row r="251" spans="1:48" s="143" customFormat="1" ht="21" customHeight="1" x14ac:dyDescent="0.2">
      <c r="A251" s="90"/>
      <c r="B251" s="144"/>
      <c r="C251" s="707"/>
      <c r="D251" s="708"/>
      <c r="E251" s="708"/>
      <c r="F251" s="708"/>
      <c r="G251" s="708"/>
      <c r="H251" s="708"/>
      <c r="I251" s="708"/>
      <c r="J251" s="708"/>
      <c r="K251" s="708"/>
      <c r="L251" s="708"/>
      <c r="M251" s="708"/>
      <c r="N251" s="708"/>
      <c r="O251" s="708"/>
      <c r="P251" s="708"/>
      <c r="Q251" s="708"/>
      <c r="R251" s="708"/>
      <c r="S251" s="708"/>
      <c r="T251" s="708"/>
      <c r="U251" s="708"/>
      <c r="V251" s="708"/>
      <c r="W251" s="708"/>
      <c r="X251" s="708"/>
      <c r="Y251" s="708"/>
      <c r="Z251" s="708"/>
      <c r="AA251" s="708"/>
      <c r="AB251" s="708"/>
      <c r="AC251" s="708"/>
      <c r="AD251" s="708"/>
      <c r="AE251" s="708"/>
      <c r="AF251" s="708"/>
      <c r="AG251" s="708"/>
      <c r="AH251" s="708"/>
      <c r="AI251" s="708"/>
      <c r="AJ251" s="708"/>
      <c r="AK251" s="708"/>
      <c r="AL251" s="708"/>
      <c r="AM251" s="708"/>
      <c r="AN251" s="708"/>
      <c r="AO251" s="708"/>
      <c r="AP251" s="708"/>
      <c r="AQ251" s="708"/>
      <c r="AR251" s="708"/>
      <c r="AS251" s="708"/>
      <c r="AT251" s="708"/>
      <c r="AU251" s="708"/>
      <c r="AV251" s="709"/>
    </row>
    <row r="252" spans="1:48" s="143" customFormat="1" ht="21" customHeight="1" x14ac:dyDescent="0.2">
      <c r="A252" s="90"/>
      <c r="B252" s="144"/>
      <c r="C252" s="707"/>
      <c r="D252" s="708"/>
      <c r="E252" s="708"/>
      <c r="F252" s="708"/>
      <c r="G252" s="708"/>
      <c r="H252" s="708"/>
      <c r="I252" s="708"/>
      <c r="J252" s="708"/>
      <c r="K252" s="708"/>
      <c r="L252" s="708"/>
      <c r="M252" s="708"/>
      <c r="N252" s="708"/>
      <c r="O252" s="708"/>
      <c r="P252" s="708"/>
      <c r="Q252" s="708"/>
      <c r="R252" s="708"/>
      <c r="S252" s="708"/>
      <c r="T252" s="708"/>
      <c r="U252" s="708"/>
      <c r="V252" s="708"/>
      <c r="W252" s="708"/>
      <c r="X252" s="708"/>
      <c r="Y252" s="708"/>
      <c r="Z252" s="708"/>
      <c r="AA252" s="708"/>
      <c r="AB252" s="708"/>
      <c r="AC252" s="708"/>
      <c r="AD252" s="708"/>
      <c r="AE252" s="708"/>
      <c r="AF252" s="708"/>
      <c r="AG252" s="708"/>
      <c r="AH252" s="708"/>
      <c r="AI252" s="708"/>
      <c r="AJ252" s="708"/>
      <c r="AK252" s="708"/>
      <c r="AL252" s="708"/>
      <c r="AM252" s="708"/>
      <c r="AN252" s="708"/>
      <c r="AO252" s="708"/>
      <c r="AP252" s="708"/>
      <c r="AQ252" s="708"/>
      <c r="AR252" s="708"/>
      <c r="AS252" s="708"/>
      <c r="AT252" s="708"/>
      <c r="AU252" s="708"/>
      <c r="AV252" s="709"/>
    </row>
    <row r="253" spans="1:48" s="143" customFormat="1" ht="21" customHeight="1" x14ac:dyDescent="0.2">
      <c r="B253" s="144"/>
      <c r="C253" s="707"/>
      <c r="D253" s="708"/>
      <c r="E253" s="708"/>
      <c r="F253" s="708"/>
      <c r="G253" s="708"/>
      <c r="H253" s="708"/>
      <c r="I253" s="708"/>
      <c r="J253" s="708"/>
      <c r="K253" s="708"/>
      <c r="L253" s="708"/>
      <c r="M253" s="708"/>
      <c r="N253" s="708"/>
      <c r="O253" s="708"/>
      <c r="P253" s="708"/>
      <c r="Q253" s="708"/>
      <c r="R253" s="708"/>
      <c r="S253" s="708"/>
      <c r="T253" s="708"/>
      <c r="U253" s="708"/>
      <c r="V253" s="708"/>
      <c r="W253" s="708"/>
      <c r="X253" s="708"/>
      <c r="Y253" s="708"/>
      <c r="Z253" s="708"/>
      <c r="AA253" s="708"/>
      <c r="AB253" s="708"/>
      <c r="AC253" s="708"/>
      <c r="AD253" s="708"/>
      <c r="AE253" s="708"/>
      <c r="AF253" s="708"/>
      <c r="AG253" s="708"/>
      <c r="AH253" s="708"/>
      <c r="AI253" s="708"/>
      <c r="AJ253" s="708"/>
      <c r="AK253" s="708"/>
      <c r="AL253" s="708"/>
      <c r="AM253" s="708"/>
      <c r="AN253" s="708"/>
      <c r="AO253" s="708"/>
      <c r="AP253" s="708"/>
      <c r="AQ253" s="708"/>
      <c r="AR253" s="708"/>
      <c r="AS253" s="708"/>
      <c r="AT253" s="708"/>
      <c r="AU253" s="708"/>
      <c r="AV253" s="709"/>
    </row>
    <row r="254" spans="1:48" s="143" customFormat="1" ht="21" customHeight="1" x14ac:dyDescent="0.2">
      <c r="A254" s="90"/>
      <c r="B254" s="144"/>
      <c r="C254" s="707"/>
      <c r="D254" s="708"/>
      <c r="E254" s="708"/>
      <c r="F254" s="708"/>
      <c r="G254" s="708"/>
      <c r="H254" s="708"/>
      <c r="I254" s="708"/>
      <c r="J254" s="708"/>
      <c r="K254" s="708"/>
      <c r="L254" s="708"/>
      <c r="M254" s="708"/>
      <c r="N254" s="708"/>
      <c r="O254" s="708"/>
      <c r="P254" s="708"/>
      <c r="Q254" s="708"/>
      <c r="R254" s="708"/>
      <c r="S254" s="708"/>
      <c r="T254" s="708"/>
      <c r="U254" s="708"/>
      <c r="V254" s="708"/>
      <c r="W254" s="708"/>
      <c r="X254" s="708"/>
      <c r="Y254" s="708"/>
      <c r="Z254" s="708"/>
      <c r="AA254" s="708"/>
      <c r="AB254" s="708"/>
      <c r="AC254" s="708"/>
      <c r="AD254" s="708"/>
      <c r="AE254" s="708"/>
      <c r="AF254" s="708"/>
      <c r="AG254" s="708"/>
      <c r="AH254" s="708"/>
      <c r="AI254" s="708"/>
      <c r="AJ254" s="708"/>
      <c r="AK254" s="708"/>
      <c r="AL254" s="708"/>
      <c r="AM254" s="708"/>
      <c r="AN254" s="708"/>
      <c r="AO254" s="708"/>
      <c r="AP254" s="708"/>
      <c r="AQ254" s="708"/>
      <c r="AR254" s="708"/>
      <c r="AS254" s="708"/>
      <c r="AT254" s="708"/>
      <c r="AU254" s="708"/>
      <c r="AV254" s="709"/>
    </row>
    <row r="255" spans="1:48" s="143" customFormat="1" ht="21" customHeight="1" x14ac:dyDescent="0.2">
      <c r="A255" s="90"/>
      <c r="B255" s="144"/>
      <c r="C255" s="707"/>
      <c r="D255" s="708"/>
      <c r="E255" s="708"/>
      <c r="F255" s="708"/>
      <c r="G255" s="708"/>
      <c r="H255" s="708"/>
      <c r="I255" s="708"/>
      <c r="J255" s="708"/>
      <c r="K255" s="708"/>
      <c r="L255" s="708"/>
      <c r="M255" s="708"/>
      <c r="N255" s="708"/>
      <c r="O255" s="708"/>
      <c r="P255" s="708"/>
      <c r="Q255" s="708"/>
      <c r="R255" s="708"/>
      <c r="S255" s="708"/>
      <c r="T255" s="708"/>
      <c r="U255" s="708"/>
      <c r="V255" s="708"/>
      <c r="W255" s="708"/>
      <c r="X255" s="708"/>
      <c r="Y255" s="708"/>
      <c r="Z255" s="708"/>
      <c r="AA255" s="708"/>
      <c r="AB255" s="708"/>
      <c r="AC255" s="708"/>
      <c r="AD255" s="708"/>
      <c r="AE255" s="708"/>
      <c r="AF255" s="708"/>
      <c r="AG255" s="708"/>
      <c r="AH255" s="708"/>
      <c r="AI255" s="708"/>
      <c r="AJ255" s="708"/>
      <c r="AK255" s="708"/>
      <c r="AL255" s="708"/>
      <c r="AM255" s="708"/>
      <c r="AN255" s="708"/>
      <c r="AO255" s="708"/>
      <c r="AP255" s="708"/>
      <c r="AQ255" s="708"/>
      <c r="AR255" s="708"/>
      <c r="AS255" s="708"/>
      <c r="AT255" s="708"/>
      <c r="AU255" s="708"/>
      <c r="AV255" s="709"/>
    </row>
    <row r="256" spans="1:48" s="143" customFormat="1" ht="21" customHeight="1" x14ac:dyDescent="0.2">
      <c r="A256" s="90"/>
      <c r="B256" s="144"/>
      <c r="C256" s="707"/>
      <c r="D256" s="708"/>
      <c r="E256" s="708"/>
      <c r="F256" s="708"/>
      <c r="G256" s="708"/>
      <c r="H256" s="708"/>
      <c r="I256" s="708"/>
      <c r="J256" s="708"/>
      <c r="K256" s="708"/>
      <c r="L256" s="708"/>
      <c r="M256" s="708"/>
      <c r="N256" s="708"/>
      <c r="O256" s="708"/>
      <c r="P256" s="708"/>
      <c r="Q256" s="708"/>
      <c r="R256" s="708"/>
      <c r="S256" s="708"/>
      <c r="T256" s="708"/>
      <c r="U256" s="708"/>
      <c r="V256" s="708"/>
      <c r="W256" s="708"/>
      <c r="X256" s="708"/>
      <c r="Y256" s="708"/>
      <c r="Z256" s="708"/>
      <c r="AA256" s="708"/>
      <c r="AB256" s="708"/>
      <c r="AC256" s="708"/>
      <c r="AD256" s="708"/>
      <c r="AE256" s="708"/>
      <c r="AF256" s="708"/>
      <c r="AG256" s="708"/>
      <c r="AH256" s="708"/>
      <c r="AI256" s="708"/>
      <c r="AJ256" s="708"/>
      <c r="AK256" s="708"/>
      <c r="AL256" s="708"/>
      <c r="AM256" s="708"/>
      <c r="AN256" s="708"/>
      <c r="AO256" s="708"/>
      <c r="AP256" s="708"/>
      <c r="AQ256" s="708"/>
      <c r="AR256" s="708"/>
      <c r="AS256" s="708"/>
      <c r="AT256" s="708"/>
      <c r="AU256" s="708"/>
      <c r="AV256" s="709"/>
    </row>
    <row r="257" spans="1:48" s="143" customFormat="1" ht="21" customHeight="1" x14ac:dyDescent="0.2">
      <c r="A257" s="90"/>
      <c r="B257" s="144"/>
      <c r="C257" s="707"/>
      <c r="D257" s="708"/>
      <c r="E257" s="708"/>
      <c r="F257" s="708"/>
      <c r="G257" s="708"/>
      <c r="H257" s="708"/>
      <c r="I257" s="708"/>
      <c r="J257" s="708"/>
      <c r="K257" s="708"/>
      <c r="L257" s="708"/>
      <c r="M257" s="708"/>
      <c r="N257" s="708"/>
      <c r="O257" s="708"/>
      <c r="P257" s="708"/>
      <c r="Q257" s="708"/>
      <c r="R257" s="708"/>
      <c r="S257" s="708"/>
      <c r="T257" s="708"/>
      <c r="U257" s="708"/>
      <c r="V257" s="708"/>
      <c r="W257" s="708"/>
      <c r="X257" s="708"/>
      <c r="Y257" s="708"/>
      <c r="Z257" s="708"/>
      <c r="AA257" s="708"/>
      <c r="AB257" s="708"/>
      <c r="AC257" s="708"/>
      <c r="AD257" s="708"/>
      <c r="AE257" s="708"/>
      <c r="AF257" s="708"/>
      <c r="AG257" s="708"/>
      <c r="AH257" s="708"/>
      <c r="AI257" s="708"/>
      <c r="AJ257" s="708"/>
      <c r="AK257" s="708"/>
      <c r="AL257" s="708"/>
      <c r="AM257" s="708"/>
      <c r="AN257" s="708"/>
      <c r="AO257" s="708"/>
      <c r="AP257" s="708"/>
      <c r="AQ257" s="708"/>
      <c r="AR257" s="708"/>
      <c r="AS257" s="708"/>
      <c r="AT257" s="708"/>
      <c r="AU257" s="708"/>
      <c r="AV257" s="709"/>
    </row>
    <row r="258" spans="1:48" s="143" customFormat="1" ht="21" customHeight="1" x14ac:dyDescent="0.2">
      <c r="B258" s="144"/>
      <c r="C258" s="707"/>
      <c r="D258" s="708"/>
      <c r="E258" s="708"/>
      <c r="F258" s="708"/>
      <c r="G258" s="708"/>
      <c r="H258" s="708"/>
      <c r="I258" s="708"/>
      <c r="J258" s="708"/>
      <c r="K258" s="708"/>
      <c r="L258" s="708"/>
      <c r="M258" s="708"/>
      <c r="N258" s="708"/>
      <c r="O258" s="708"/>
      <c r="P258" s="708"/>
      <c r="Q258" s="708"/>
      <c r="R258" s="708"/>
      <c r="S258" s="708"/>
      <c r="T258" s="708"/>
      <c r="U258" s="708"/>
      <c r="V258" s="708"/>
      <c r="W258" s="708"/>
      <c r="X258" s="708"/>
      <c r="Y258" s="708"/>
      <c r="Z258" s="708"/>
      <c r="AA258" s="708"/>
      <c r="AB258" s="708"/>
      <c r="AC258" s="708"/>
      <c r="AD258" s="708"/>
      <c r="AE258" s="708"/>
      <c r="AF258" s="708"/>
      <c r="AG258" s="708"/>
      <c r="AH258" s="708"/>
      <c r="AI258" s="708"/>
      <c r="AJ258" s="708"/>
      <c r="AK258" s="708"/>
      <c r="AL258" s="708"/>
      <c r="AM258" s="708"/>
      <c r="AN258" s="708"/>
      <c r="AO258" s="708"/>
      <c r="AP258" s="708"/>
      <c r="AQ258" s="708"/>
      <c r="AR258" s="708"/>
      <c r="AS258" s="708"/>
      <c r="AT258" s="708"/>
      <c r="AU258" s="708"/>
      <c r="AV258" s="709"/>
    </row>
    <row r="259" spans="1:48" s="143" customFormat="1" ht="21" customHeight="1" x14ac:dyDescent="0.2">
      <c r="A259" s="90"/>
      <c r="B259" s="144"/>
      <c r="C259" s="707"/>
      <c r="D259" s="708"/>
      <c r="E259" s="708"/>
      <c r="F259" s="708"/>
      <c r="G259" s="708"/>
      <c r="H259" s="708"/>
      <c r="I259" s="708"/>
      <c r="J259" s="708"/>
      <c r="K259" s="708"/>
      <c r="L259" s="708"/>
      <c r="M259" s="708"/>
      <c r="N259" s="708"/>
      <c r="O259" s="708"/>
      <c r="P259" s="708"/>
      <c r="Q259" s="708"/>
      <c r="R259" s="708"/>
      <c r="S259" s="708"/>
      <c r="T259" s="708"/>
      <c r="U259" s="708"/>
      <c r="V259" s="708"/>
      <c r="W259" s="708"/>
      <c r="X259" s="708"/>
      <c r="Y259" s="708"/>
      <c r="Z259" s="708"/>
      <c r="AA259" s="708"/>
      <c r="AB259" s="708"/>
      <c r="AC259" s="708"/>
      <c r="AD259" s="708"/>
      <c r="AE259" s="708"/>
      <c r="AF259" s="708"/>
      <c r="AG259" s="708"/>
      <c r="AH259" s="708"/>
      <c r="AI259" s="708"/>
      <c r="AJ259" s="708"/>
      <c r="AK259" s="708"/>
      <c r="AL259" s="708"/>
      <c r="AM259" s="708"/>
      <c r="AN259" s="708"/>
      <c r="AO259" s="708"/>
      <c r="AP259" s="708"/>
      <c r="AQ259" s="708"/>
      <c r="AR259" s="708"/>
      <c r="AS259" s="708"/>
      <c r="AT259" s="708"/>
      <c r="AU259" s="708"/>
      <c r="AV259" s="709"/>
    </row>
    <row r="260" spans="1:48" s="143" customFormat="1" ht="21" customHeight="1" thickBot="1" x14ac:dyDescent="0.25">
      <c r="A260" s="90"/>
      <c r="B260" s="144"/>
      <c r="C260" s="710"/>
      <c r="D260" s="711"/>
      <c r="E260" s="711"/>
      <c r="F260" s="711"/>
      <c r="G260" s="711"/>
      <c r="H260" s="711"/>
      <c r="I260" s="711"/>
      <c r="J260" s="711"/>
      <c r="K260" s="711"/>
      <c r="L260" s="711"/>
      <c r="M260" s="711"/>
      <c r="N260" s="711"/>
      <c r="O260" s="711"/>
      <c r="P260" s="711"/>
      <c r="Q260" s="711"/>
      <c r="R260" s="711"/>
      <c r="S260" s="711"/>
      <c r="T260" s="711"/>
      <c r="U260" s="711"/>
      <c r="V260" s="711"/>
      <c r="W260" s="711"/>
      <c r="X260" s="711"/>
      <c r="Y260" s="711"/>
      <c r="Z260" s="711"/>
      <c r="AA260" s="711"/>
      <c r="AB260" s="711"/>
      <c r="AC260" s="711"/>
      <c r="AD260" s="711"/>
      <c r="AE260" s="711"/>
      <c r="AF260" s="711"/>
      <c r="AG260" s="711"/>
      <c r="AH260" s="711"/>
      <c r="AI260" s="711"/>
      <c r="AJ260" s="711"/>
      <c r="AK260" s="711"/>
      <c r="AL260" s="711"/>
      <c r="AM260" s="711"/>
      <c r="AN260" s="711"/>
      <c r="AO260" s="711"/>
      <c r="AP260" s="711"/>
      <c r="AQ260" s="711"/>
      <c r="AR260" s="711"/>
      <c r="AS260" s="711"/>
      <c r="AT260" s="711"/>
      <c r="AU260" s="711"/>
      <c r="AV260" s="712"/>
    </row>
    <row r="261" spans="1:48" s="90" customFormat="1" ht="14.25" thickTop="1" x14ac:dyDescent="0.2">
      <c r="A261" s="293"/>
      <c r="B261" s="148"/>
      <c r="C261" s="689" t="s">
        <v>2338</v>
      </c>
      <c r="D261" s="689"/>
      <c r="E261" s="689"/>
      <c r="F261" s="689"/>
      <c r="G261" s="689"/>
      <c r="H261" s="689"/>
      <c r="I261" s="689"/>
      <c r="J261" s="689"/>
      <c r="K261" s="689"/>
      <c r="L261" s="689"/>
      <c r="M261" s="689"/>
      <c r="N261" s="689"/>
      <c r="O261" s="689"/>
      <c r="P261" s="689"/>
      <c r="Q261" s="689"/>
      <c r="R261" s="689"/>
      <c r="S261" s="689"/>
      <c r="T261" s="689"/>
      <c r="U261" s="689"/>
      <c r="V261" s="689"/>
      <c r="W261" s="689"/>
      <c r="X261" s="689"/>
      <c r="Y261" s="689"/>
      <c r="Z261" s="689"/>
      <c r="AA261" s="689"/>
      <c r="AB261" s="689"/>
      <c r="AC261" s="689"/>
      <c r="AD261" s="689"/>
      <c r="AE261" s="689"/>
      <c r="AF261" s="689"/>
      <c r="AG261" s="689"/>
      <c r="AH261" s="689"/>
      <c r="AI261" s="689"/>
      <c r="AJ261" s="689"/>
      <c r="AK261" s="689"/>
      <c r="AL261" s="689"/>
      <c r="AM261" s="689"/>
      <c r="AN261" s="689"/>
      <c r="AO261" s="689"/>
      <c r="AP261" s="689"/>
      <c r="AQ261" s="689"/>
      <c r="AR261" s="689"/>
      <c r="AS261" s="689"/>
      <c r="AT261" s="689"/>
      <c r="AU261" s="689"/>
      <c r="AV261" s="689"/>
    </row>
    <row r="262" spans="1:48" s="90" customFormat="1" ht="15.95" customHeight="1" x14ac:dyDescent="0.2">
      <c r="C262" s="726"/>
      <c r="D262" s="691"/>
      <c r="E262" s="691"/>
      <c r="F262" s="691"/>
      <c r="G262" s="691"/>
      <c r="H262" s="691"/>
      <c r="I262" s="691"/>
      <c r="J262" s="691"/>
      <c r="K262" s="691"/>
      <c r="L262" s="691"/>
      <c r="M262" s="691"/>
      <c r="N262" s="691"/>
      <c r="O262" s="691"/>
      <c r="P262" s="691"/>
      <c r="Q262" s="691"/>
      <c r="R262" s="691"/>
      <c r="S262" s="691"/>
      <c r="T262" s="691"/>
      <c r="U262" s="691"/>
      <c r="V262" s="727">
        <f>+U146</f>
        <v>1</v>
      </c>
      <c r="W262" s="728"/>
      <c r="X262" s="728"/>
      <c r="Y262" s="728"/>
      <c r="Z262" s="728"/>
      <c r="AA262" s="728"/>
      <c r="AB262" s="728"/>
      <c r="AC262" s="729"/>
      <c r="AD262" s="691"/>
      <c r="AE262" s="691"/>
      <c r="AF262" s="691"/>
      <c r="AG262" s="701"/>
      <c r="AH262" s="701"/>
      <c r="AI262" s="701"/>
      <c r="AJ262" s="701"/>
      <c r="AK262" s="701"/>
      <c r="AL262" s="701"/>
      <c r="AM262" s="701"/>
      <c r="AN262" s="691"/>
      <c r="AO262" s="691"/>
      <c r="AP262" s="691"/>
      <c r="AQ262" s="691"/>
      <c r="AR262" s="691"/>
      <c r="AS262" s="691"/>
      <c r="AT262" s="691"/>
      <c r="AU262" s="691"/>
      <c r="AV262" s="692"/>
    </row>
    <row r="263" spans="1:48" ht="16.5" customHeight="1" x14ac:dyDescent="0.2">
      <c r="A263" s="90"/>
      <c r="C263" s="890" t="s">
        <v>24</v>
      </c>
      <c r="D263" s="777"/>
      <c r="E263" s="777"/>
      <c r="F263" s="777"/>
      <c r="G263" s="777"/>
      <c r="H263" s="777"/>
      <c r="I263" s="777"/>
      <c r="J263" s="777"/>
      <c r="K263" s="777"/>
      <c r="L263" s="777"/>
      <c r="M263" s="777"/>
      <c r="N263" s="777"/>
      <c r="O263" s="777"/>
      <c r="P263" s="777"/>
      <c r="Q263" s="777"/>
      <c r="R263" s="777"/>
      <c r="S263" s="777"/>
      <c r="T263" s="777"/>
      <c r="U263" s="891"/>
      <c r="V263" s="891"/>
      <c r="W263" s="891"/>
      <c r="X263" s="891"/>
      <c r="Y263" s="891"/>
      <c r="Z263" s="891"/>
      <c r="AA263" s="891"/>
      <c r="AB263" s="891"/>
      <c r="AC263" s="891"/>
      <c r="AD263" s="891"/>
      <c r="AE263" s="891"/>
      <c r="AF263" s="891"/>
      <c r="AG263" s="891"/>
      <c r="AH263" s="891"/>
      <c r="AI263" s="891"/>
      <c r="AJ263" s="891"/>
      <c r="AK263" s="891"/>
      <c r="AL263" s="891"/>
      <c r="AM263" s="891"/>
      <c r="AN263" s="891"/>
      <c r="AO263" s="891"/>
      <c r="AP263" s="891"/>
      <c r="AQ263" s="891"/>
      <c r="AR263" s="891"/>
      <c r="AS263" s="891"/>
      <c r="AT263" s="891"/>
      <c r="AU263" s="891"/>
      <c r="AV263" s="891"/>
    </row>
    <row r="264" spans="1:48" s="17" customFormat="1" ht="14.25" customHeight="1" x14ac:dyDescent="0.25">
      <c r="A264" s="73" t="s">
        <v>45</v>
      </c>
      <c r="C264" s="993" t="s">
        <v>40</v>
      </c>
      <c r="D264" s="994"/>
      <c r="E264" s="994"/>
      <c r="F264" s="994"/>
      <c r="G264" s="994"/>
      <c r="H264" s="994"/>
      <c r="I264" s="994"/>
      <c r="J264" s="994"/>
      <c r="K264" s="994"/>
      <c r="L264" s="994"/>
      <c r="M264" s="994"/>
      <c r="N264" s="994"/>
      <c r="O264" s="994"/>
      <c r="P264" s="994"/>
      <c r="Q264" s="994"/>
      <c r="R264" s="994"/>
      <c r="S264" s="994"/>
      <c r="T264" s="994"/>
      <c r="U264" s="995"/>
      <c r="V264" s="995"/>
      <c r="W264" s="995"/>
      <c r="X264" s="995"/>
      <c r="Y264" s="995"/>
      <c r="Z264" s="995"/>
      <c r="AA264" s="995"/>
      <c r="AB264" s="995"/>
      <c r="AC264" s="995"/>
      <c r="AD264" s="995"/>
      <c r="AE264" s="995"/>
      <c r="AF264" s="995"/>
      <c r="AG264" s="995"/>
      <c r="AH264" s="995"/>
      <c r="AI264" s="995"/>
      <c r="AJ264" s="995"/>
      <c r="AK264" s="995"/>
      <c r="AL264" s="995"/>
      <c r="AM264" s="995"/>
      <c r="AN264" s="995"/>
      <c r="AO264" s="995"/>
      <c r="AP264" s="995"/>
      <c r="AQ264" s="995"/>
      <c r="AR264" s="995"/>
      <c r="AS264" s="995"/>
      <c r="AT264" s="995"/>
      <c r="AU264" s="995"/>
      <c r="AV264" s="995"/>
    </row>
    <row r="265" spans="1:48" ht="12.95" customHeight="1" x14ac:dyDescent="0.2">
      <c r="C265" s="25"/>
      <c r="D265" s="25"/>
      <c r="H265" s="26"/>
      <c r="J265" s="27"/>
      <c r="S265" s="27" t="str">
        <f>+R197</f>
        <v>INFORME N° 25</v>
      </c>
      <c r="U265" s="28"/>
      <c r="V265" s="29"/>
      <c r="AC265" s="886">
        <f>+AB11</f>
        <v>0</v>
      </c>
      <c r="AD265" s="1006"/>
      <c r="AE265" s="1006"/>
      <c r="AF265" s="1006"/>
      <c r="AG265" s="1006"/>
    </row>
    <row r="266" spans="1:48" s="78" customFormat="1" ht="18.75" customHeight="1" x14ac:dyDescent="0.2">
      <c r="A266" s="895">
        <v>1</v>
      </c>
      <c r="B266" s="737"/>
      <c r="C266" s="74" t="s">
        <v>99</v>
      </c>
      <c r="D266" s="75"/>
      <c r="E266" s="75"/>
      <c r="F266" s="75"/>
      <c r="G266" s="75"/>
      <c r="H266" s="75"/>
      <c r="I266" s="75"/>
      <c r="J266" s="75"/>
      <c r="K266" s="75"/>
      <c r="L266" s="75"/>
      <c r="M266" s="74"/>
      <c r="N266" s="75"/>
      <c r="O266" s="75"/>
      <c r="P266" s="75"/>
      <c r="Q266" s="75"/>
      <c r="R266" s="75"/>
      <c r="S266" s="76"/>
      <c r="T266" s="76"/>
      <c r="U266" s="76"/>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row>
    <row r="267" spans="1:48" s="78" customFormat="1" ht="18" customHeight="1" x14ac:dyDescent="0.2">
      <c r="A267" s="320"/>
      <c r="B267" s="321"/>
      <c r="C267" s="370" t="str">
        <f>+C167</f>
        <v>Departamento N° ….</v>
      </c>
      <c r="D267" s="77"/>
      <c r="E267" s="77"/>
      <c r="F267" s="77"/>
      <c r="G267" s="77"/>
      <c r="H267" s="77"/>
      <c r="I267" s="77"/>
      <c r="J267" s="77"/>
      <c r="K267" s="77"/>
      <c r="L267" s="77"/>
      <c r="M267" s="14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row>
    <row r="268" spans="1:48" s="17" customFormat="1" ht="12" x14ac:dyDescent="0.2">
      <c r="A268" s="16"/>
      <c r="B268" s="16"/>
      <c r="C268" s="935" t="s">
        <v>31</v>
      </c>
      <c r="D268" s="928"/>
      <c r="E268" s="16" t="str">
        <f>+C119</f>
        <v>VALOR DEL</v>
      </c>
      <c r="F268" s="16"/>
      <c r="G268" s="16"/>
      <c r="H268" s="16"/>
      <c r="I268" s="16"/>
      <c r="J268" s="16"/>
      <c r="K268" s="16" t="str">
        <f>+J119</f>
        <v>TERRENO</v>
      </c>
      <c r="L268" s="80"/>
      <c r="M268" s="16"/>
      <c r="N268" s="81"/>
      <c r="O268" s="81"/>
      <c r="P268" s="16"/>
      <c r="Q268" s="16"/>
      <c r="R268" s="16"/>
      <c r="S268" s="16"/>
      <c r="T268" s="16"/>
      <c r="U268" s="16"/>
      <c r="V268" s="16"/>
      <c r="W268" s="16"/>
      <c r="X268" s="16"/>
      <c r="Y268" s="16"/>
      <c r="Z268" s="16"/>
      <c r="AA268" s="16"/>
      <c r="AB268" s="16"/>
      <c r="AC268" s="16"/>
      <c r="AD268" s="16"/>
      <c r="AE268" s="16"/>
      <c r="AF268" s="16"/>
      <c r="AG268" s="16"/>
      <c r="AH268" s="80"/>
      <c r="AI268" s="16"/>
      <c r="AJ268" s="80" t="s">
        <v>1</v>
      </c>
      <c r="AK268" s="900"/>
      <c r="AL268" s="979"/>
      <c r="AM268" s="898">
        <f>+AO147</f>
        <v>0</v>
      </c>
      <c r="AN268" s="898"/>
      <c r="AO268" s="898"/>
      <c r="AP268" s="928"/>
      <c r="AQ268" s="928"/>
      <c r="AR268" s="928"/>
      <c r="AS268" s="928"/>
      <c r="AT268" s="928"/>
      <c r="AU268" s="928"/>
      <c r="AV268" s="16"/>
    </row>
    <row r="269" spans="1:48" s="17" customFormat="1" ht="12" x14ac:dyDescent="0.2">
      <c r="A269" s="16"/>
      <c r="B269" s="16"/>
      <c r="C269" s="935" t="s">
        <v>32</v>
      </c>
      <c r="D269" s="928"/>
      <c r="E269" s="16" t="str">
        <f>+C155</f>
        <v>VALOR DE LA EDIFICACIÓN</v>
      </c>
      <c r="F269" s="16"/>
      <c r="G269" s="16"/>
      <c r="H269" s="16"/>
      <c r="I269" s="16"/>
      <c r="J269" s="16"/>
      <c r="K269" s="16"/>
      <c r="L269" s="80"/>
      <c r="M269" s="16"/>
      <c r="N269" s="81"/>
      <c r="O269" s="81"/>
      <c r="P269" s="16"/>
      <c r="Q269" s="16"/>
      <c r="R269" s="16"/>
      <c r="S269" s="16"/>
      <c r="T269" s="16"/>
      <c r="U269" s="16"/>
      <c r="V269" s="16"/>
      <c r="W269" s="16"/>
      <c r="X269" s="16"/>
      <c r="Y269" s="16"/>
      <c r="Z269" s="16"/>
      <c r="AA269" s="16"/>
      <c r="AB269" s="16"/>
      <c r="AC269" s="16"/>
      <c r="AD269" s="16"/>
      <c r="AE269" s="16"/>
      <c r="AF269" s="16"/>
      <c r="AG269" s="16"/>
      <c r="AH269" s="80"/>
      <c r="AI269" s="16"/>
      <c r="AJ269" s="80" t="s">
        <v>1</v>
      </c>
      <c r="AK269" s="900"/>
      <c r="AL269" s="979"/>
      <c r="AM269" s="898">
        <f>+AO158+AO160</f>
        <v>0</v>
      </c>
      <c r="AN269" s="898"/>
      <c r="AO269" s="898"/>
      <c r="AP269" s="928"/>
      <c r="AQ269" s="928"/>
      <c r="AR269" s="928"/>
      <c r="AS269" s="928"/>
      <c r="AT269" s="928"/>
      <c r="AU269" s="928"/>
      <c r="AV269" s="16"/>
    </row>
    <row r="270" spans="1:48" s="143" customFormat="1" ht="12" x14ac:dyDescent="0.2">
      <c r="A270" s="16"/>
      <c r="B270" s="16"/>
      <c r="C270" s="289" t="s">
        <v>100</v>
      </c>
      <c r="D270" s="16"/>
      <c r="E270" s="82" t="str">
        <f>+C173</f>
        <v>VALOR DE LAS ÁREAS COMUNES</v>
      </c>
      <c r="F270" s="16"/>
      <c r="G270" s="16"/>
      <c r="H270" s="16"/>
      <c r="I270" s="16"/>
      <c r="J270" s="16"/>
      <c r="K270" s="16"/>
      <c r="L270" s="80"/>
      <c r="M270" s="16"/>
      <c r="N270" s="81"/>
      <c r="O270" s="81"/>
      <c r="P270" s="16"/>
      <c r="Q270" s="16"/>
      <c r="R270" s="16"/>
      <c r="S270" s="16"/>
      <c r="T270" s="16"/>
      <c r="U270" s="16"/>
      <c r="V270" s="16"/>
      <c r="W270" s="16"/>
      <c r="X270" s="16"/>
      <c r="Y270" s="16"/>
      <c r="Z270" s="16"/>
      <c r="AA270" s="16"/>
      <c r="AB270" s="16"/>
      <c r="AC270" s="16"/>
      <c r="AD270" s="16"/>
      <c r="AE270" s="16"/>
      <c r="AF270" s="16"/>
      <c r="AG270" s="16"/>
      <c r="AH270" s="80"/>
      <c r="AI270" s="16"/>
      <c r="AJ270" s="80" t="s">
        <v>1</v>
      </c>
      <c r="AK270" s="900"/>
      <c r="AL270" s="900"/>
      <c r="AM270" s="898">
        <f>+AO168</f>
        <v>0</v>
      </c>
      <c r="AN270" s="898"/>
      <c r="AO270" s="898"/>
      <c r="AP270" s="899"/>
      <c r="AQ270" s="899"/>
      <c r="AR270" s="899"/>
      <c r="AS270" s="899"/>
      <c r="AT270" s="899"/>
      <c r="AU270" s="899"/>
      <c r="AV270" s="16"/>
    </row>
    <row r="271" spans="1:48" s="143" customFormat="1" ht="12" x14ac:dyDescent="0.2">
      <c r="A271" s="16"/>
      <c r="B271" s="16"/>
      <c r="C271" s="289" t="s">
        <v>106</v>
      </c>
      <c r="D271" s="16"/>
      <c r="E271" s="82" t="str">
        <f>+C174</f>
        <v>VALOR DE LAS OBRAS COMPLEMENTARIAS</v>
      </c>
      <c r="F271" s="16"/>
      <c r="G271" s="16"/>
      <c r="H271" s="16"/>
      <c r="I271" s="16"/>
      <c r="J271" s="16"/>
      <c r="K271" s="16"/>
      <c r="L271" s="80"/>
      <c r="M271" s="16"/>
      <c r="N271" s="81"/>
      <c r="O271" s="81"/>
      <c r="P271" s="16"/>
      <c r="Q271" s="16"/>
      <c r="R271" s="16"/>
      <c r="S271" s="16"/>
      <c r="T271" s="16"/>
      <c r="U271" s="16"/>
      <c r="V271" s="16"/>
      <c r="W271" s="16"/>
      <c r="X271" s="16"/>
      <c r="Y271" s="16"/>
      <c r="Z271" s="16"/>
      <c r="AA271" s="16"/>
      <c r="AB271" s="16"/>
      <c r="AC271" s="16"/>
      <c r="AD271" s="16"/>
      <c r="AE271" s="16"/>
      <c r="AF271" s="16"/>
      <c r="AG271" s="16"/>
      <c r="AH271" s="80"/>
      <c r="AI271" s="16"/>
      <c r="AJ271" s="80" t="s">
        <v>1</v>
      </c>
      <c r="AK271" s="900"/>
      <c r="AL271" s="900"/>
      <c r="AM271" s="975">
        <f>+AQ182</f>
        <v>0</v>
      </c>
      <c r="AN271" s="975"/>
      <c r="AO271" s="975"/>
      <c r="AP271" s="976"/>
      <c r="AQ271" s="976"/>
      <c r="AR271" s="976"/>
      <c r="AS271" s="976"/>
      <c r="AT271" s="976"/>
      <c r="AU271" s="976"/>
      <c r="AV271" s="16"/>
    </row>
    <row r="272" spans="1:48" s="84" customFormat="1" thickBot="1" x14ac:dyDescent="0.25">
      <c r="A272" s="166"/>
      <c r="B272" s="166"/>
      <c r="C272" s="379" t="s">
        <v>2484</v>
      </c>
      <c r="D272" s="380"/>
      <c r="E272" s="380"/>
      <c r="F272" s="380"/>
      <c r="G272" s="380"/>
      <c r="H272" s="380"/>
      <c r="I272" s="380"/>
      <c r="J272" s="380"/>
      <c r="K272" s="380"/>
      <c r="L272" s="381"/>
      <c r="M272" s="380"/>
      <c r="N272" s="382"/>
      <c r="O272" s="382"/>
      <c r="P272" s="380" t="str">
        <f>+UPPER(C267)</f>
        <v>DEPARTAMENTO N° ….</v>
      </c>
      <c r="Q272" s="380"/>
      <c r="R272" s="380"/>
      <c r="S272" s="380"/>
      <c r="T272" s="380"/>
      <c r="U272" s="380"/>
      <c r="V272" s="380"/>
      <c r="W272" s="383"/>
      <c r="X272" s="380"/>
      <c r="Y272" s="380"/>
      <c r="Z272" s="380"/>
      <c r="AA272" s="380"/>
      <c r="AB272" s="380"/>
      <c r="AC272" s="380"/>
      <c r="AD272" s="380"/>
      <c r="AE272" s="380"/>
      <c r="AF272" s="380"/>
      <c r="AG272" s="380"/>
      <c r="AH272" s="381"/>
      <c r="AI272" s="380"/>
      <c r="AJ272" s="381" t="s">
        <v>1</v>
      </c>
      <c r="AK272" s="902"/>
      <c r="AL272" s="902"/>
      <c r="AM272" s="903">
        <f>SUM(AM268:AU271)</f>
        <v>0</v>
      </c>
      <c r="AN272" s="903"/>
      <c r="AO272" s="903"/>
      <c r="AP272" s="904"/>
      <c r="AQ272" s="904"/>
      <c r="AR272" s="904"/>
      <c r="AS272" s="904"/>
      <c r="AT272" s="904"/>
      <c r="AU272" s="904"/>
      <c r="AV272" s="384"/>
    </row>
    <row r="273" spans="1:48" s="78" customFormat="1" ht="18" customHeight="1" x14ac:dyDescent="0.2">
      <c r="A273" s="320"/>
      <c r="B273" s="321"/>
      <c r="C273" s="370" t="str">
        <f>+C169</f>
        <v>Estacionamiento N° …</v>
      </c>
      <c r="D273" s="77"/>
      <c r="E273" s="77"/>
      <c r="F273" s="77"/>
      <c r="G273" s="77"/>
      <c r="H273" s="77"/>
      <c r="I273" s="77"/>
      <c r="J273" s="77"/>
      <c r="K273" s="77"/>
      <c r="L273" s="77"/>
      <c r="M273" s="14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row>
    <row r="274" spans="1:48" s="143" customFormat="1" ht="12" x14ac:dyDescent="0.2">
      <c r="A274" s="16"/>
      <c r="B274" s="16"/>
      <c r="C274" s="935" t="s">
        <v>31</v>
      </c>
      <c r="D274" s="899"/>
      <c r="E274" s="16" t="str">
        <f>+E268</f>
        <v>VALOR DEL</v>
      </c>
      <c r="F274" s="16"/>
      <c r="G274" s="16"/>
      <c r="H274" s="16"/>
      <c r="I274" s="16"/>
      <c r="J274" s="16"/>
      <c r="K274" s="16" t="str">
        <f>+K268</f>
        <v>TERRENO</v>
      </c>
      <c r="L274" s="80"/>
      <c r="M274" s="16"/>
      <c r="N274" s="81"/>
      <c r="O274" s="81"/>
      <c r="P274" s="16"/>
      <c r="Q274" s="16"/>
      <c r="R274" s="16"/>
      <c r="S274" s="16"/>
      <c r="T274" s="16"/>
      <c r="U274" s="16"/>
      <c r="V274" s="16"/>
      <c r="W274" s="16"/>
      <c r="X274" s="16"/>
      <c r="Y274" s="16"/>
      <c r="Z274" s="16"/>
      <c r="AA274" s="16"/>
      <c r="AB274" s="16"/>
      <c r="AC274" s="16"/>
      <c r="AD274" s="16"/>
      <c r="AE274" s="16"/>
      <c r="AF274" s="16"/>
      <c r="AG274" s="16"/>
      <c r="AH274" s="80"/>
      <c r="AI274" s="16"/>
      <c r="AJ274" s="80" t="s">
        <v>1</v>
      </c>
      <c r="AK274" s="900"/>
      <c r="AL274" s="900"/>
      <c r="AM274" s="898">
        <f>+AO150</f>
        <v>0</v>
      </c>
      <c r="AN274" s="898"/>
      <c r="AO274" s="898"/>
      <c r="AP274" s="899"/>
      <c r="AQ274" s="899"/>
      <c r="AR274" s="899"/>
      <c r="AS274" s="899"/>
      <c r="AT274" s="899"/>
      <c r="AU274" s="899"/>
      <c r="AV274" s="16"/>
    </row>
    <row r="275" spans="1:48" s="143" customFormat="1" ht="12" x14ac:dyDescent="0.2">
      <c r="A275" s="16"/>
      <c r="B275" s="16"/>
      <c r="C275" s="935" t="s">
        <v>32</v>
      </c>
      <c r="D275" s="899"/>
      <c r="E275" s="16" t="str">
        <f>+E269</f>
        <v>VALOR DE LA EDIFICACIÓN</v>
      </c>
      <c r="F275" s="16"/>
      <c r="G275" s="16"/>
      <c r="H275" s="16"/>
      <c r="I275" s="16"/>
      <c r="J275" s="16"/>
      <c r="K275" s="16"/>
      <c r="L275" s="80"/>
      <c r="M275" s="16"/>
      <c r="N275" s="81"/>
      <c r="O275" s="81"/>
      <c r="P275" s="16"/>
      <c r="Q275" s="16"/>
      <c r="R275" s="16"/>
      <c r="S275" s="16"/>
      <c r="T275" s="16"/>
      <c r="U275" s="16"/>
      <c r="V275" s="16"/>
      <c r="W275" s="16"/>
      <c r="X275" s="16"/>
      <c r="Y275" s="16"/>
      <c r="Z275" s="16"/>
      <c r="AA275" s="16"/>
      <c r="AB275" s="16"/>
      <c r="AC275" s="16"/>
      <c r="AD275" s="16"/>
      <c r="AE275" s="16"/>
      <c r="AF275" s="16"/>
      <c r="AG275" s="16"/>
      <c r="AH275" s="80"/>
      <c r="AI275" s="16"/>
      <c r="AJ275" s="80" t="s">
        <v>1</v>
      </c>
      <c r="AK275" s="900"/>
      <c r="AL275" s="900"/>
      <c r="AM275" s="898">
        <f>+AO162</f>
        <v>0</v>
      </c>
      <c r="AN275" s="898"/>
      <c r="AO275" s="898"/>
      <c r="AP275" s="899"/>
      <c r="AQ275" s="899"/>
      <c r="AR275" s="899"/>
      <c r="AS275" s="899"/>
      <c r="AT275" s="899"/>
      <c r="AU275" s="899"/>
      <c r="AV275" s="16"/>
    </row>
    <row r="276" spans="1:48" s="143" customFormat="1" ht="12" x14ac:dyDescent="0.2">
      <c r="A276" s="16"/>
      <c r="B276" s="16"/>
      <c r="C276" s="289" t="s">
        <v>100</v>
      </c>
      <c r="D276" s="16"/>
      <c r="E276" s="16" t="str">
        <f>+E270</f>
        <v>VALOR DE LAS ÁREAS COMUNES</v>
      </c>
      <c r="F276" s="16"/>
      <c r="G276" s="16"/>
      <c r="H276" s="16"/>
      <c r="I276" s="16"/>
      <c r="J276" s="16"/>
      <c r="K276" s="16"/>
      <c r="L276" s="80"/>
      <c r="M276" s="16"/>
      <c r="N276" s="81"/>
      <c r="O276" s="81"/>
      <c r="P276" s="16"/>
      <c r="Q276" s="16"/>
      <c r="R276" s="16"/>
      <c r="S276" s="16"/>
      <c r="T276" s="16"/>
      <c r="U276" s="16"/>
      <c r="V276" s="16"/>
      <c r="W276" s="16"/>
      <c r="X276" s="16"/>
      <c r="Y276" s="16"/>
      <c r="Z276" s="16"/>
      <c r="AA276" s="16"/>
      <c r="AB276" s="16"/>
      <c r="AC276" s="16"/>
      <c r="AD276" s="16"/>
      <c r="AE276" s="16"/>
      <c r="AF276" s="16"/>
      <c r="AG276" s="16"/>
      <c r="AH276" s="80"/>
      <c r="AI276" s="16"/>
      <c r="AJ276" s="80" t="s">
        <v>1</v>
      </c>
      <c r="AK276" s="900"/>
      <c r="AL276" s="900"/>
      <c r="AM276" s="898">
        <f>+AO170</f>
        <v>0</v>
      </c>
      <c r="AN276" s="898"/>
      <c r="AO276" s="898"/>
      <c r="AP276" s="899"/>
      <c r="AQ276" s="899"/>
      <c r="AR276" s="899"/>
      <c r="AS276" s="899"/>
      <c r="AT276" s="899"/>
      <c r="AU276" s="899"/>
      <c r="AV276" s="16"/>
    </row>
    <row r="277" spans="1:48" s="143" customFormat="1" ht="12" x14ac:dyDescent="0.2">
      <c r="A277" s="16"/>
      <c r="B277" s="16"/>
      <c r="C277" s="289" t="s">
        <v>106</v>
      </c>
      <c r="D277" s="16"/>
      <c r="E277" s="16" t="str">
        <f>+E271</f>
        <v>VALOR DE LAS OBRAS COMPLEMENTARIAS</v>
      </c>
      <c r="F277" s="16"/>
      <c r="G277" s="16"/>
      <c r="H277" s="16"/>
      <c r="I277" s="16"/>
      <c r="J277" s="16"/>
      <c r="K277" s="16"/>
      <c r="L277" s="80"/>
      <c r="M277" s="16"/>
      <c r="N277" s="81"/>
      <c r="O277" s="81"/>
      <c r="P277" s="16"/>
      <c r="Q277" s="16"/>
      <c r="R277" s="16"/>
      <c r="S277" s="16"/>
      <c r="T277" s="16"/>
      <c r="U277" s="16"/>
      <c r="V277" s="16"/>
      <c r="W277" s="16"/>
      <c r="X277" s="16"/>
      <c r="Y277" s="16"/>
      <c r="Z277" s="16"/>
      <c r="AA277" s="16"/>
      <c r="AB277" s="16"/>
      <c r="AC277" s="16"/>
      <c r="AD277" s="16"/>
      <c r="AE277" s="16"/>
      <c r="AF277" s="16"/>
      <c r="AG277" s="16"/>
      <c r="AH277" s="80"/>
      <c r="AI277" s="16"/>
      <c r="AJ277" s="80" t="s">
        <v>1</v>
      </c>
      <c r="AK277" s="900"/>
      <c r="AL277" s="900"/>
      <c r="AM277" s="975">
        <f>+AQ188</f>
        <v>0</v>
      </c>
      <c r="AN277" s="975"/>
      <c r="AO277" s="975"/>
      <c r="AP277" s="976"/>
      <c r="AQ277" s="976"/>
      <c r="AR277" s="976"/>
      <c r="AS277" s="976"/>
      <c r="AT277" s="976"/>
      <c r="AU277" s="976"/>
      <c r="AV277" s="16"/>
    </row>
    <row r="278" spans="1:48" s="84" customFormat="1" thickBot="1" x14ac:dyDescent="0.25">
      <c r="A278" s="166"/>
      <c r="B278" s="166"/>
      <c r="C278" s="379" t="s">
        <v>2484</v>
      </c>
      <c r="D278" s="380"/>
      <c r="E278" s="380"/>
      <c r="F278" s="380"/>
      <c r="G278" s="380"/>
      <c r="H278" s="380"/>
      <c r="I278" s="380"/>
      <c r="J278" s="380"/>
      <c r="K278" s="380"/>
      <c r="L278" s="381"/>
      <c r="M278" s="380"/>
      <c r="N278" s="382"/>
      <c r="O278" s="382"/>
      <c r="P278" s="380" t="str">
        <f>+UPPER(C273)</f>
        <v>ESTACIONAMIENTO N° …</v>
      </c>
      <c r="Q278" s="380"/>
      <c r="R278" s="380"/>
      <c r="S278" s="380"/>
      <c r="T278" s="380"/>
      <c r="U278" s="380"/>
      <c r="V278" s="380"/>
      <c r="W278" s="383"/>
      <c r="X278" s="380"/>
      <c r="Y278" s="380"/>
      <c r="Z278" s="380"/>
      <c r="AA278" s="380"/>
      <c r="AB278" s="380"/>
      <c r="AC278" s="380"/>
      <c r="AD278" s="380"/>
      <c r="AE278" s="380"/>
      <c r="AF278" s="380"/>
      <c r="AG278" s="380"/>
      <c r="AH278" s="381"/>
      <c r="AI278" s="380"/>
      <c r="AJ278" s="381" t="s">
        <v>1</v>
      </c>
      <c r="AK278" s="902"/>
      <c r="AL278" s="902"/>
      <c r="AM278" s="903">
        <f>SUM(AM274:AU277)</f>
        <v>0</v>
      </c>
      <c r="AN278" s="903"/>
      <c r="AO278" s="903"/>
      <c r="AP278" s="904"/>
      <c r="AQ278" s="904"/>
      <c r="AR278" s="904"/>
      <c r="AS278" s="904"/>
      <c r="AT278" s="904"/>
      <c r="AU278" s="904"/>
      <c r="AV278" s="384"/>
    </row>
    <row r="279" spans="1:48" s="78" customFormat="1" ht="18" customHeight="1" x14ac:dyDescent="0.2">
      <c r="A279" s="320"/>
      <c r="B279" s="321"/>
      <c r="C279" s="370" t="str">
        <f>+C171</f>
        <v>Depósito N°..</v>
      </c>
      <c r="D279" s="77"/>
      <c r="E279" s="77"/>
      <c r="F279" s="77"/>
      <c r="G279" s="77"/>
      <c r="H279" s="77"/>
      <c r="I279" s="77"/>
      <c r="J279" s="77"/>
      <c r="K279" s="77"/>
      <c r="L279" s="77"/>
      <c r="M279" s="14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row>
    <row r="280" spans="1:48" s="143" customFormat="1" ht="12" x14ac:dyDescent="0.2">
      <c r="A280" s="16"/>
      <c r="B280" s="16"/>
      <c r="C280" s="935" t="s">
        <v>31</v>
      </c>
      <c r="D280" s="899"/>
      <c r="E280" s="16" t="str">
        <f>+E274</f>
        <v>VALOR DEL</v>
      </c>
      <c r="F280" s="16"/>
      <c r="G280" s="16"/>
      <c r="H280" s="16"/>
      <c r="I280" s="16"/>
      <c r="J280" s="16"/>
      <c r="K280" s="16" t="str">
        <f>+K274</f>
        <v>TERRENO</v>
      </c>
      <c r="L280" s="80"/>
      <c r="M280" s="16"/>
      <c r="N280" s="81"/>
      <c r="O280" s="81"/>
      <c r="P280" s="16"/>
      <c r="Q280" s="16"/>
      <c r="R280" s="16"/>
      <c r="S280" s="16"/>
      <c r="T280" s="16"/>
      <c r="U280" s="16"/>
      <c r="V280" s="16"/>
      <c r="W280" s="16"/>
      <c r="X280" s="16"/>
      <c r="Y280" s="16"/>
      <c r="Z280" s="16"/>
      <c r="AA280" s="16"/>
      <c r="AB280" s="16"/>
      <c r="AC280" s="16"/>
      <c r="AD280" s="16"/>
      <c r="AE280" s="16"/>
      <c r="AF280" s="16"/>
      <c r="AG280" s="16"/>
      <c r="AH280" s="80"/>
      <c r="AI280" s="16"/>
      <c r="AJ280" s="80" t="s">
        <v>1</v>
      </c>
      <c r="AK280" s="900"/>
      <c r="AL280" s="900"/>
      <c r="AM280" s="898">
        <f>+AO153</f>
        <v>0</v>
      </c>
      <c r="AN280" s="898"/>
      <c r="AO280" s="898"/>
      <c r="AP280" s="899"/>
      <c r="AQ280" s="899"/>
      <c r="AR280" s="899"/>
      <c r="AS280" s="899"/>
      <c r="AT280" s="899"/>
      <c r="AU280" s="899"/>
      <c r="AV280" s="16"/>
    </row>
    <row r="281" spans="1:48" s="143" customFormat="1" ht="12" x14ac:dyDescent="0.2">
      <c r="A281" s="16"/>
      <c r="B281" s="16"/>
      <c r="C281" s="935" t="s">
        <v>32</v>
      </c>
      <c r="D281" s="899"/>
      <c r="E281" s="16" t="str">
        <f>+E275</f>
        <v>VALOR DE LA EDIFICACIÓN</v>
      </c>
      <c r="F281" s="16"/>
      <c r="G281" s="16"/>
      <c r="H281" s="16"/>
      <c r="I281" s="16"/>
      <c r="J281" s="16"/>
      <c r="K281" s="16"/>
      <c r="L281" s="80"/>
      <c r="M281" s="16"/>
      <c r="N281" s="81"/>
      <c r="O281" s="81"/>
      <c r="P281" s="16"/>
      <c r="Q281" s="16"/>
      <c r="R281" s="16"/>
      <c r="S281" s="16"/>
      <c r="T281" s="16"/>
      <c r="U281" s="16"/>
      <c r="V281" s="16"/>
      <c r="W281" s="16"/>
      <c r="X281" s="16"/>
      <c r="Y281" s="16"/>
      <c r="Z281" s="16"/>
      <c r="AA281" s="16"/>
      <c r="AB281" s="16"/>
      <c r="AC281" s="16"/>
      <c r="AD281" s="16"/>
      <c r="AE281" s="16"/>
      <c r="AF281" s="16"/>
      <c r="AG281" s="16"/>
      <c r="AH281" s="80"/>
      <c r="AI281" s="16"/>
      <c r="AJ281" s="80" t="s">
        <v>1</v>
      </c>
      <c r="AK281" s="900"/>
      <c r="AL281" s="900"/>
      <c r="AM281" s="898">
        <f>+AO164</f>
        <v>0</v>
      </c>
      <c r="AN281" s="898"/>
      <c r="AO281" s="898"/>
      <c r="AP281" s="899"/>
      <c r="AQ281" s="899"/>
      <c r="AR281" s="899"/>
      <c r="AS281" s="899"/>
      <c r="AT281" s="899"/>
      <c r="AU281" s="899"/>
      <c r="AV281" s="16"/>
    </row>
    <row r="282" spans="1:48" s="143" customFormat="1" ht="12" x14ac:dyDescent="0.2">
      <c r="A282" s="16"/>
      <c r="B282" s="16"/>
      <c r="C282" s="289" t="s">
        <v>100</v>
      </c>
      <c r="D282" s="16"/>
      <c r="E282" s="82" t="str">
        <f>+E276</f>
        <v>VALOR DE LAS ÁREAS COMUNES</v>
      </c>
      <c r="F282" s="16"/>
      <c r="G282" s="16"/>
      <c r="H282" s="16"/>
      <c r="I282" s="16"/>
      <c r="J282" s="16"/>
      <c r="K282" s="16"/>
      <c r="L282" s="80"/>
      <c r="M282" s="16"/>
      <c r="N282" s="81"/>
      <c r="O282" s="81"/>
      <c r="P282" s="16"/>
      <c r="Q282" s="16"/>
      <c r="R282" s="16"/>
      <c r="S282" s="16"/>
      <c r="T282" s="16"/>
      <c r="U282" s="16"/>
      <c r="V282" s="16"/>
      <c r="W282" s="16"/>
      <c r="X282" s="16"/>
      <c r="Y282" s="16"/>
      <c r="Z282" s="16"/>
      <c r="AA282" s="16"/>
      <c r="AB282" s="16"/>
      <c r="AC282" s="16"/>
      <c r="AD282" s="16"/>
      <c r="AE282" s="16"/>
      <c r="AF282" s="16"/>
      <c r="AG282" s="16"/>
      <c r="AH282" s="80"/>
      <c r="AI282" s="16"/>
      <c r="AJ282" s="80" t="s">
        <v>1</v>
      </c>
      <c r="AK282" s="900"/>
      <c r="AL282" s="900"/>
      <c r="AM282" s="898">
        <f>+AO172</f>
        <v>0</v>
      </c>
      <c r="AN282" s="898"/>
      <c r="AO282" s="898"/>
      <c r="AP282" s="899"/>
      <c r="AQ282" s="899"/>
      <c r="AR282" s="899"/>
      <c r="AS282" s="899"/>
      <c r="AT282" s="899"/>
      <c r="AU282" s="899"/>
      <c r="AV282" s="16"/>
    </row>
    <row r="283" spans="1:48" s="143" customFormat="1" ht="12" x14ac:dyDescent="0.2">
      <c r="A283" s="16"/>
      <c r="B283" s="16"/>
      <c r="C283" s="289" t="s">
        <v>106</v>
      </c>
      <c r="D283" s="16"/>
      <c r="E283" s="82" t="str">
        <f>+E277</f>
        <v>VALOR DE LAS OBRAS COMPLEMENTARIAS</v>
      </c>
      <c r="F283" s="16"/>
      <c r="G283" s="16"/>
      <c r="H283" s="16"/>
      <c r="I283" s="16"/>
      <c r="J283" s="16"/>
      <c r="K283" s="16"/>
      <c r="L283" s="80"/>
      <c r="M283" s="16"/>
      <c r="N283" s="81"/>
      <c r="O283" s="81"/>
      <c r="P283" s="16"/>
      <c r="Q283" s="16"/>
      <c r="R283" s="16"/>
      <c r="S283" s="16"/>
      <c r="T283" s="16"/>
      <c r="U283" s="16"/>
      <c r="V283" s="16"/>
      <c r="W283" s="16"/>
      <c r="X283" s="16"/>
      <c r="Y283" s="16"/>
      <c r="Z283" s="16"/>
      <c r="AA283" s="16"/>
      <c r="AB283" s="16"/>
      <c r="AC283" s="16"/>
      <c r="AD283" s="16"/>
      <c r="AE283" s="16"/>
      <c r="AF283" s="16"/>
      <c r="AG283" s="16"/>
      <c r="AH283" s="80"/>
      <c r="AI283" s="16"/>
      <c r="AJ283" s="80" t="s">
        <v>1</v>
      </c>
      <c r="AK283" s="900"/>
      <c r="AL283" s="900"/>
      <c r="AM283" s="975">
        <f>+AQ194</f>
        <v>0</v>
      </c>
      <c r="AN283" s="975"/>
      <c r="AO283" s="975"/>
      <c r="AP283" s="976"/>
      <c r="AQ283" s="976"/>
      <c r="AR283" s="976"/>
      <c r="AS283" s="976"/>
      <c r="AT283" s="976"/>
      <c r="AU283" s="976"/>
      <c r="AV283" s="16"/>
    </row>
    <row r="284" spans="1:48" s="84" customFormat="1" thickBot="1" x14ac:dyDescent="0.25">
      <c r="A284" s="166"/>
      <c r="B284" s="166"/>
      <c r="C284" s="379" t="str">
        <f>+C278</f>
        <v>VALOR COMERCIAL DEL</v>
      </c>
      <c r="D284" s="380"/>
      <c r="E284" s="380"/>
      <c r="F284" s="380"/>
      <c r="G284" s="380"/>
      <c r="H284" s="380"/>
      <c r="I284" s="380"/>
      <c r="J284" s="380"/>
      <c r="K284" s="380"/>
      <c r="L284" s="381"/>
      <c r="M284" s="380"/>
      <c r="N284" s="382"/>
      <c r="O284" s="382"/>
      <c r="P284" s="380" t="str">
        <f>+UPPER(C279)</f>
        <v>DEPÓSITO N°..</v>
      </c>
      <c r="Q284" s="380"/>
      <c r="R284" s="380"/>
      <c r="S284" s="380"/>
      <c r="T284" s="380"/>
      <c r="U284" s="380"/>
      <c r="V284" s="380"/>
      <c r="W284" s="383"/>
      <c r="X284" s="380"/>
      <c r="Y284" s="380"/>
      <c r="Z284" s="380"/>
      <c r="AA284" s="380"/>
      <c r="AB284" s="380"/>
      <c r="AC284" s="380"/>
      <c r="AD284" s="380"/>
      <c r="AE284" s="380"/>
      <c r="AF284" s="380"/>
      <c r="AG284" s="380"/>
      <c r="AH284" s="381"/>
      <c r="AI284" s="380"/>
      <c r="AJ284" s="381" t="s">
        <v>1</v>
      </c>
      <c r="AK284" s="902"/>
      <c r="AL284" s="902"/>
      <c r="AM284" s="903">
        <f>SUM(AM280:AU283)</f>
        <v>0</v>
      </c>
      <c r="AN284" s="903"/>
      <c r="AO284" s="903"/>
      <c r="AP284" s="904"/>
      <c r="AQ284" s="904"/>
      <c r="AR284" s="904"/>
      <c r="AS284" s="904"/>
      <c r="AT284" s="904"/>
      <c r="AU284" s="904"/>
      <c r="AV284" s="384"/>
    </row>
    <row r="285" spans="1:48" s="84" customFormat="1" ht="5.25" customHeight="1" thickBot="1" x14ac:dyDescent="0.25">
      <c r="A285" s="166"/>
      <c r="B285" s="166"/>
      <c r="C285" s="371"/>
      <c r="D285" s="372"/>
      <c r="E285" s="372"/>
      <c r="F285" s="372"/>
      <c r="G285" s="372"/>
      <c r="H285" s="372"/>
      <c r="I285" s="372"/>
      <c r="J285" s="372"/>
      <c r="K285" s="372"/>
      <c r="L285" s="373"/>
      <c r="M285" s="372"/>
      <c r="N285" s="374"/>
      <c r="O285" s="374"/>
      <c r="P285" s="372"/>
      <c r="Q285" s="372"/>
      <c r="R285" s="372"/>
      <c r="S285" s="372"/>
      <c r="T285" s="372"/>
      <c r="U285" s="372"/>
      <c r="V285" s="372"/>
      <c r="W285" s="375"/>
      <c r="X285" s="372"/>
      <c r="Y285" s="372"/>
      <c r="Z285" s="372"/>
      <c r="AA285" s="372"/>
      <c r="AB285" s="372"/>
      <c r="AC285" s="372"/>
      <c r="AD285" s="372"/>
      <c r="AE285" s="372"/>
      <c r="AF285" s="372"/>
      <c r="AG285" s="372"/>
      <c r="AH285" s="373"/>
      <c r="AI285" s="372"/>
      <c r="AJ285" s="373"/>
      <c r="AK285" s="376"/>
      <c r="AL285" s="376"/>
      <c r="AM285" s="377"/>
      <c r="AN285" s="377"/>
      <c r="AO285" s="377"/>
      <c r="AP285" s="378"/>
      <c r="AQ285" s="378"/>
      <c r="AR285" s="378"/>
      <c r="AS285" s="378"/>
      <c r="AT285" s="378"/>
      <c r="AU285" s="378"/>
      <c r="AV285" s="374"/>
    </row>
    <row r="286" spans="1:48" s="84" customFormat="1" ht="20.25" customHeight="1" thickBot="1" x14ac:dyDescent="0.25">
      <c r="A286" s="83"/>
      <c r="B286" s="83"/>
      <c r="C286" s="280" t="s">
        <v>50</v>
      </c>
      <c r="D286" s="277"/>
      <c r="E286" s="277"/>
      <c r="F286" s="277"/>
      <c r="G286" s="277" t="str">
        <f>+C266</f>
        <v>VALOR COMERCIAL DEL INMUEBLE (VCI)</v>
      </c>
      <c r="H286" s="277"/>
      <c r="I286" s="277"/>
      <c r="J286" s="277"/>
      <c r="K286" s="277"/>
      <c r="L286" s="278"/>
      <c r="M286" s="277"/>
      <c r="N286" s="279"/>
      <c r="O286" s="279"/>
      <c r="P286" s="277"/>
      <c r="Q286" s="277"/>
      <c r="R286" s="277"/>
      <c r="S286" s="277"/>
      <c r="T286" s="277"/>
      <c r="U286" s="277"/>
      <c r="V286" s="277"/>
      <c r="W286" s="277"/>
      <c r="X286" s="277"/>
      <c r="Y286" s="277"/>
      <c r="Z286" s="277"/>
      <c r="AA286" s="277"/>
      <c r="AB286" s="277"/>
      <c r="AC286" s="277"/>
      <c r="AD286" s="277"/>
      <c r="AE286" s="277"/>
      <c r="AF286" s="277"/>
      <c r="AG286" s="277"/>
      <c r="AH286" s="278"/>
      <c r="AI286" s="277"/>
      <c r="AJ286" s="278" t="s">
        <v>1</v>
      </c>
      <c r="AK286" s="901"/>
      <c r="AL286" s="901"/>
      <c r="AM286" s="932">
        <f>+AM272+AM278+AM284</f>
        <v>0</v>
      </c>
      <c r="AN286" s="932"/>
      <c r="AO286" s="932"/>
      <c r="AP286" s="933"/>
      <c r="AQ286" s="933"/>
      <c r="AR286" s="933"/>
      <c r="AS286" s="933"/>
      <c r="AT286" s="933"/>
      <c r="AU286" s="933"/>
      <c r="AV286" s="281"/>
    </row>
    <row r="287" spans="1:48" s="17" customFormat="1" ht="24.75" customHeight="1" x14ac:dyDescent="0.2">
      <c r="A287" s="16"/>
      <c r="B287" s="16"/>
      <c r="C287" s="905" t="str">
        <f>+CONCATENATE("SON: ",[3]!NumeLetras(AM286,"con","dolares americanos",1))</f>
        <v>SON: CON 00/100 DOLARES AMERICANOS</v>
      </c>
      <c r="D287" s="906"/>
      <c r="E287" s="906"/>
      <c r="F287" s="906"/>
      <c r="G287" s="906"/>
      <c r="H287" s="906"/>
      <c r="I287" s="906"/>
      <c r="J287" s="906"/>
      <c r="K287" s="906"/>
      <c r="L287" s="906"/>
      <c r="M287" s="906"/>
      <c r="N287" s="906"/>
      <c r="O287" s="906"/>
      <c r="P287" s="906"/>
      <c r="Q287" s="906"/>
      <c r="R287" s="906"/>
      <c r="S287" s="906"/>
      <c r="T287" s="906"/>
      <c r="U287" s="907"/>
      <c r="V287" s="907"/>
      <c r="W287" s="907"/>
      <c r="X287" s="907"/>
      <c r="Y287" s="907"/>
      <c r="Z287" s="907"/>
      <c r="AA287" s="907"/>
      <c r="AB287" s="907"/>
      <c r="AC287" s="907"/>
      <c r="AD287" s="907"/>
      <c r="AE287" s="907"/>
      <c r="AF287" s="907"/>
      <c r="AG287" s="907"/>
      <c r="AH287" s="907"/>
      <c r="AI287" s="907"/>
      <c r="AJ287" s="907"/>
      <c r="AK287" s="907"/>
      <c r="AL287" s="907"/>
      <c r="AM287" s="907"/>
      <c r="AN287" s="907"/>
      <c r="AO287" s="907"/>
      <c r="AP287" s="907"/>
      <c r="AQ287" s="907"/>
      <c r="AR287" s="907"/>
      <c r="AS287" s="907"/>
      <c r="AT287" s="907"/>
      <c r="AU287" s="907"/>
      <c r="AV287" s="907"/>
    </row>
    <row r="288" spans="1:48" s="17" customFormat="1" ht="30" customHeight="1" x14ac:dyDescent="0.2">
      <c r="A288" s="895">
        <f>1+A266</f>
        <v>2</v>
      </c>
      <c r="B288" s="737"/>
      <c r="C288" s="85" t="s">
        <v>86</v>
      </c>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row>
    <row r="289" spans="1:48" s="17" customFormat="1" ht="15" customHeight="1" x14ac:dyDescent="0.2">
      <c r="A289" s="16"/>
      <c r="B289" s="16"/>
      <c r="C289" s="85" t="s">
        <v>5</v>
      </c>
      <c r="D289" s="16"/>
      <c r="E289" s="16"/>
      <c r="F289" s="16"/>
      <c r="G289" s="16"/>
      <c r="H289" s="86"/>
      <c r="I289" s="86"/>
      <c r="J289" s="87"/>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row>
    <row r="290" spans="1:48" s="17" customFormat="1" ht="15" customHeight="1" x14ac:dyDescent="0.2">
      <c r="A290" s="16"/>
      <c r="B290" s="16"/>
      <c r="C290" s="16" t="s">
        <v>6</v>
      </c>
      <c r="D290" s="16"/>
      <c r="E290" s="16"/>
      <c r="F290" s="16"/>
      <c r="G290" s="16"/>
      <c r="H290" s="86"/>
      <c r="I290" s="86"/>
      <c r="J290" s="8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row>
    <row r="291" spans="1:48" s="17" customFormat="1" ht="15" customHeight="1" x14ac:dyDescent="0.2">
      <c r="A291" s="16"/>
      <c r="B291" s="16"/>
      <c r="C291" s="936" t="s">
        <v>22</v>
      </c>
      <c r="D291" s="936"/>
      <c r="E291" s="16" t="s">
        <v>20</v>
      </c>
      <c r="F291" s="16"/>
      <c r="G291" s="16"/>
      <c r="H291" s="86"/>
      <c r="I291" s="86"/>
      <c r="J291" s="8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927">
        <v>0.02</v>
      </c>
      <c r="AI291" s="928"/>
      <c r="AJ291" s="928"/>
      <c r="AK291" s="928"/>
      <c r="AL291" s="928"/>
      <c r="AM291" s="16"/>
      <c r="AN291" s="16"/>
      <c r="AO291" s="16"/>
      <c r="AP291" s="16"/>
      <c r="AQ291" s="16"/>
      <c r="AR291" s="16"/>
      <c r="AS291" s="16"/>
      <c r="AT291" s="16"/>
      <c r="AU291" s="16"/>
      <c r="AV291" s="16"/>
    </row>
    <row r="292" spans="1:48" s="17" customFormat="1" ht="12" x14ac:dyDescent="0.2">
      <c r="A292" s="16"/>
      <c r="B292" s="16"/>
      <c r="C292" s="936" t="s">
        <v>22</v>
      </c>
      <c r="D292" s="936"/>
      <c r="E292" s="16" t="s">
        <v>19</v>
      </c>
      <c r="F292" s="16"/>
      <c r="G292" s="16"/>
      <c r="H292" s="86"/>
      <c r="I292" s="86"/>
      <c r="J292" s="8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927">
        <v>2E-3</v>
      </c>
      <c r="AI292" s="928"/>
      <c r="AJ292" s="928"/>
      <c r="AK292" s="928"/>
      <c r="AL292" s="928"/>
      <c r="AM292" s="16"/>
      <c r="AN292" s="16"/>
      <c r="AO292" s="16"/>
      <c r="AP292" s="16"/>
      <c r="AQ292" s="16"/>
      <c r="AR292" s="16"/>
      <c r="AS292" s="16"/>
      <c r="AT292" s="16"/>
      <c r="AU292" s="16"/>
      <c r="AV292" s="16"/>
    </row>
    <row r="293" spans="1:48" s="17" customFormat="1" ht="12" x14ac:dyDescent="0.2">
      <c r="A293" s="16"/>
      <c r="B293" s="16"/>
      <c r="C293" s="936" t="s">
        <v>22</v>
      </c>
      <c r="D293" s="936"/>
      <c r="E293" s="16" t="s">
        <v>18</v>
      </c>
      <c r="F293" s="16"/>
      <c r="G293" s="16"/>
      <c r="H293" s="88"/>
      <c r="I293" s="16"/>
      <c r="J293" s="8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927">
        <v>0.04</v>
      </c>
      <c r="AI293" s="928"/>
      <c r="AJ293" s="928"/>
      <c r="AK293" s="928"/>
      <c r="AL293" s="928"/>
      <c r="AM293" s="16"/>
      <c r="AN293" s="16"/>
      <c r="AO293" s="16"/>
      <c r="AP293" s="16"/>
      <c r="AQ293" s="16"/>
      <c r="AR293" s="16"/>
      <c r="AS293" s="16"/>
      <c r="AT293" s="16"/>
      <c r="AU293" s="16"/>
      <c r="AV293" s="16"/>
    </row>
    <row r="294" spans="1:48" s="17" customFormat="1" ht="12" x14ac:dyDescent="0.2">
      <c r="A294" s="16"/>
      <c r="B294" s="16"/>
      <c r="C294" s="936" t="s">
        <v>22</v>
      </c>
      <c r="D294" s="936"/>
      <c r="E294" s="16" t="s">
        <v>17</v>
      </c>
      <c r="F294" s="16"/>
      <c r="G294" s="16"/>
      <c r="H294" s="88"/>
      <c r="I294" s="16"/>
      <c r="J294" s="8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927">
        <v>0.02</v>
      </c>
      <c r="AI294" s="928"/>
      <c r="AJ294" s="928"/>
      <c r="AK294" s="928"/>
      <c r="AL294" s="928"/>
      <c r="AM294" s="16"/>
      <c r="AN294" s="16"/>
      <c r="AO294" s="16"/>
      <c r="AP294" s="16"/>
      <c r="AQ294" s="16"/>
      <c r="AR294" s="16"/>
      <c r="AS294" s="16"/>
      <c r="AT294" s="16"/>
      <c r="AU294" s="16"/>
      <c r="AV294" s="16"/>
    </row>
    <row r="295" spans="1:48" s="17" customFormat="1" ht="12" x14ac:dyDescent="0.2">
      <c r="A295" s="16"/>
      <c r="B295" s="16"/>
      <c r="C295" s="936" t="s">
        <v>22</v>
      </c>
      <c r="D295" s="936"/>
      <c r="E295" s="16" t="s">
        <v>21</v>
      </c>
      <c r="F295" s="16"/>
      <c r="G295" s="16"/>
      <c r="H295" s="88"/>
      <c r="I295" s="16"/>
      <c r="J295" s="8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927">
        <f>+AH296-AH291-AH292-AH293-AH294</f>
        <v>0.11800000000000001</v>
      </c>
      <c r="AI295" s="928"/>
      <c r="AJ295" s="928"/>
      <c r="AK295" s="928"/>
      <c r="AL295" s="928"/>
      <c r="AM295" s="16"/>
      <c r="AN295" s="16"/>
      <c r="AO295" s="16"/>
      <c r="AP295" s="16"/>
      <c r="AQ295" s="16"/>
      <c r="AR295" s="16"/>
      <c r="AS295" s="16"/>
      <c r="AT295" s="16"/>
      <c r="AU295" s="16"/>
      <c r="AV295" s="16"/>
    </row>
    <row r="296" spans="1:48" s="17" customFormat="1" thickBot="1" x14ac:dyDescent="0.25">
      <c r="A296" s="16"/>
      <c r="B296" s="16"/>
      <c r="C296" s="308" t="s">
        <v>7</v>
      </c>
      <c r="D296" s="309"/>
      <c r="E296" s="309"/>
      <c r="F296" s="309"/>
      <c r="G296" s="309"/>
      <c r="H296" s="310"/>
      <c r="I296" s="309"/>
      <c r="J296" s="311"/>
      <c r="K296" s="309"/>
      <c r="L296" s="309"/>
      <c r="M296" s="309"/>
      <c r="N296" s="309"/>
      <c r="O296" s="309"/>
      <c r="P296" s="309"/>
      <c r="Q296" s="309"/>
      <c r="R296" s="309"/>
      <c r="S296" s="309"/>
      <c r="T296" s="309"/>
      <c r="U296" s="309"/>
      <c r="V296" s="309"/>
      <c r="W296" s="309"/>
      <c r="X296" s="309"/>
      <c r="Y296" s="309"/>
      <c r="Z296" s="309"/>
      <c r="AA296" s="309"/>
      <c r="AB296" s="309"/>
      <c r="AC296" s="309"/>
      <c r="AD296" s="309"/>
      <c r="AE296" s="309"/>
      <c r="AF296" s="309"/>
      <c r="AG296" s="309"/>
      <c r="AH296" s="966">
        <v>0.2</v>
      </c>
      <c r="AI296" s="967"/>
      <c r="AJ296" s="967"/>
      <c r="AK296" s="967"/>
      <c r="AL296" s="967"/>
      <c r="AM296" s="16"/>
      <c r="AN296" s="16"/>
      <c r="AO296" s="16"/>
      <c r="AP296" s="16"/>
      <c r="AQ296" s="16"/>
      <c r="AR296" s="16"/>
      <c r="AS296" s="16"/>
      <c r="AT296" s="16"/>
      <c r="AU296" s="16"/>
      <c r="AV296" s="16"/>
    </row>
    <row r="297" spans="1:48" s="17" customFormat="1" ht="20.25" customHeight="1" thickTop="1" x14ac:dyDescent="0.2">
      <c r="A297" s="16"/>
      <c r="B297" s="16"/>
      <c r="C297" s="16" t="s">
        <v>54</v>
      </c>
      <c r="D297" s="16"/>
      <c r="E297" s="16"/>
      <c r="F297" s="16"/>
      <c r="G297" s="16"/>
      <c r="H297" s="16"/>
      <c r="I297" s="970">
        <f>100%-AH296</f>
        <v>0.8</v>
      </c>
      <c r="J297" s="928"/>
      <c r="K297" s="928"/>
      <c r="L297" s="928"/>
      <c r="M297" s="928"/>
      <c r="N297" s="16" t="s">
        <v>97</v>
      </c>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row>
    <row r="298" spans="1:48" s="17" customFormat="1" ht="12" x14ac:dyDescent="0.2">
      <c r="A298" s="16"/>
      <c r="B298" s="16"/>
      <c r="C298" s="77" t="str">
        <f>+D75</f>
        <v>Departamento N° ….</v>
      </c>
      <c r="D298" s="16"/>
      <c r="E298" s="16"/>
      <c r="F298" s="16"/>
      <c r="G298" s="16"/>
      <c r="H298" s="16"/>
      <c r="I298" s="89"/>
      <c r="J298" s="79"/>
      <c r="K298" s="79"/>
      <c r="L298" s="79"/>
      <c r="M298" s="79"/>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row>
    <row r="299" spans="1:48" s="17" customFormat="1" ht="15.95" customHeight="1" x14ac:dyDescent="0.2">
      <c r="A299" s="16"/>
      <c r="B299" s="16"/>
      <c r="C299" s="16" t="str">
        <f>+C297</f>
        <v>VRA        =</v>
      </c>
      <c r="D299" s="16"/>
      <c r="E299" s="16"/>
      <c r="F299" s="16"/>
      <c r="G299" s="16"/>
      <c r="H299" s="16"/>
      <c r="I299" s="968">
        <f>+I297</f>
        <v>0.8</v>
      </c>
      <c r="J299" s="928"/>
      <c r="K299" s="928"/>
      <c r="L299" s="928"/>
      <c r="M299" s="928"/>
      <c r="N299" s="969">
        <f>+AM272</f>
        <v>0</v>
      </c>
      <c r="O299" s="928"/>
      <c r="P299" s="928"/>
      <c r="Q299" s="928"/>
      <c r="R299" s="928"/>
      <c r="S299" s="928"/>
      <c r="T299" s="928"/>
      <c r="U299" s="928"/>
      <c r="V299" s="928"/>
      <c r="W299" s="16"/>
      <c r="X299" s="16"/>
      <c r="Y299" s="16"/>
      <c r="Z299" s="16"/>
      <c r="AA299" s="16"/>
      <c r="AB299" s="16"/>
      <c r="AC299" s="16"/>
      <c r="AD299" s="16"/>
      <c r="AE299" s="16"/>
      <c r="AF299" s="16"/>
      <c r="AG299" s="16"/>
      <c r="AH299" s="16"/>
      <c r="AI299" s="16"/>
      <c r="AJ299" s="80" t="s">
        <v>1</v>
      </c>
      <c r="AK299" s="900"/>
      <c r="AL299" s="979"/>
      <c r="AM299" s="898">
        <f>+I299*N299</f>
        <v>0</v>
      </c>
      <c r="AN299" s="898"/>
      <c r="AO299" s="898"/>
      <c r="AP299" s="928"/>
      <c r="AQ299" s="928"/>
      <c r="AR299" s="928"/>
      <c r="AS299" s="928"/>
      <c r="AT299" s="928"/>
      <c r="AU299" s="928"/>
      <c r="AV299" s="16"/>
    </row>
    <row r="300" spans="1:48" s="17" customFormat="1" ht="12" x14ac:dyDescent="0.2">
      <c r="A300" s="16"/>
      <c r="B300" s="16"/>
      <c r="C300" s="77" t="str">
        <f>+D77</f>
        <v>Estacionamiento N° …</v>
      </c>
      <c r="D300" s="16"/>
      <c r="E300" s="16"/>
      <c r="F300" s="16"/>
      <c r="G300" s="16"/>
      <c r="H300" s="16"/>
      <c r="I300" s="89"/>
      <c r="J300" s="79"/>
      <c r="K300" s="79"/>
      <c r="L300" s="79"/>
      <c r="M300" s="79"/>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row>
    <row r="301" spans="1:48" s="17" customFormat="1" ht="15.95" customHeight="1" x14ac:dyDescent="0.2">
      <c r="A301" s="16"/>
      <c r="B301" s="16"/>
      <c r="C301" s="16" t="str">
        <f>+C299</f>
        <v>VRA        =</v>
      </c>
      <c r="D301" s="16"/>
      <c r="E301" s="16"/>
      <c r="F301" s="16"/>
      <c r="G301" s="16"/>
      <c r="H301" s="16"/>
      <c r="I301" s="968">
        <f>+I299</f>
        <v>0.8</v>
      </c>
      <c r="J301" s="928"/>
      <c r="K301" s="928"/>
      <c r="L301" s="928"/>
      <c r="M301" s="928"/>
      <c r="N301" s="969">
        <f>+AM278</f>
        <v>0</v>
      </c>
      <c r="O301" s="928"/>
      <c r="P301" s="928"/>
      <c r="Q301" s="928"/>
      <c r="R301" s="928"/>
      <c r="S301" s="928"/>
      <c r="T301" s="928"/>
      <c r="U301" s="928"/>
      <c r="V301" s="928"/>
      <c r="W301" s="16"/>
      <c r="X301" s="16"/>
      <c r="Y301" s="16"/>
      <c r="Z301" s="16"/>
      <c r="AA301" s="16"/>
      <c r="AB301" s="16"/>
      <c r="AC301" s="16"/>
      <c r="AD301" s="16"/>
      <c r="AE301" s="16"/>
      <c r="AF301" s="16"/>
      <c r="AG301" s="16"/>
      <c r="AH301" s="16"/>
      <c r="AI301" s="16"/>
      <c r="AJ301" s="80" t="s">
        <v>1</v>
      </c>
      <c r="AK301" s="900"/>
      <c r="AL301" s="979"/>
      <c r="AM301" s="898">
        <f>+I301*N301</f>
        <v>0</v>
      </c>
      <c r="AN301" s="898"/>
      <c r="AO301" s="898"/>
      <c r="AP301" s="928"/>
      <c r="AQ301" s="928"/>
      <c r="AR301" s="928"/>
      <c r="AS301" s="928"/>
      <c r="AT301" s="928"/>
      <c r="AU301" s="928"/>
      <c r="AV301" s="16"/>
    </row>
    <row r="302" spans="1:48" s="17" customFormat="1" ht="12" x14ac:dyDescent="0.2">
      <c r="A302" s="16"/>
      <c r="B302" s="16"/>
      <c r="C302" s="77" t="str">
        <f>+D78</f>
        <v>Depósito N°..</v>
      </c>
      <c r="D302" s="16"/>
      <c r="E302" s="16"/>
      <c r="F302" s="16"/>
      <c r="G302" s="16"/>
      <c r="H302" s="16"/>
      <c r="I302" s="89"/>
      <c r="J302" s="79"/>
      <c r="K302" s="79"/>
      <c r="L302" s="79"/>
      <c r="M302" s="79"/>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row>
    <row r="303" spans="1:48" s="17" customFormat="1" ht="15.95" customHeight="1" x14ac:dyDescent="0.2">
      <c r="A303" s="16"/>
      <c r="B303" s="16"/>
      <c r="C303" s="16" t="str">
        <f>+C301</f>
        <v>VRA        =</v>
      </c>
      <c r="D303" s="16"/>
      <c r="E303" s="16"/>
      <c r="F303" s="16"/>
      <c r="G303" s="16"/>
      <c r="H303" s="16"/>
      <c r="I303" s="968">
        <f>+I301</f>
        <v>0.8</v>
      </c>
      <c r="J303" s="928"/>
      <c r="K303" s="928"/>
      <c r="L303" s="928"/>
      <c r="M303" s="928"/>
      <c r="N303" s="969">
        <f>+AM284</f>
        <v>0</v>
      </c>
      <c r="O303" s="928"/>
      <c r="P303" s="928"/>
      <c r="Q303" s="928"/>
      <c r="R303" s="928"/>
      <c r="S303" s="928"/>
      <c r="T303" s="928"/>
      <c r="U303" s="928"/>
      <c r="V303" s="928"/>
      <c r="W303" s="16"/>
      <c r="X303" s="16"/>
      <c r="Y303" s="16"/>
      <c r="Z303" s="16"/>
      <c r="AA303" s="16"/>
      <c r="AB303" s="16"/>
      <c r="AC303" s="16"/>
      <c r="AD303" s="16"/>
      <c r="AE303" s="16"/>
      <c r="AF303" s="16"/>
      <c r="AG303" s="16"/>
      <c r="AH303" s="16"/>
      <c r="AI303" s="16"/>
      <c r="AJ303" s="80" t="s">
        <v>1</v>
      </c>
      <c r="AK303" s="900"/>
      <c r="AL303" s="979"/>
      <c r="AM303" s="898">
        <f>+I303*N303</f>
        <v>0</v>
      </c>
      <c r="AN303" s="898"/>
      <c r="AO303" s="898"/>
      <c r="AP303" s="928"/>
      <c r="AQ303" s="928"/>
      <c r="AR303" s="928"/>
      <c r="AS303" s="928"/>
      <c r="AT303" s="928"/>
      <c r="AU303" s="928"/>
      <c r="AV303" s="16"/>
    </row>
    <row r="304" spans="1:48" s="84" customFormat="1" ht="21" customHeight="1" thickBot="1" x14ac:dyDescent="0.25">
      <c r="A304" s="83"/>
      <c r="B304" s="83"/>
      <c r="C304" s="312" t="s">
        <v>50</v>
      </c>
      <c r="D304" s="313"/>
      <c r="E304" s="313"/>
      <c r="F304" s="313"/>
      <c r="G304" s="313" t="str">
        <f>+C288</f>
        <v>VALOR DE REALIZACIÓN AUTOMÁTICA (V.R.A.)</v>
      </c>
      <c r="H304" s="313"/>
      <c r="I304" s="313"/>
      <c r="J304" s="313"/>
      <c r="K304" s="313"/>
      <c r="L304" s="314"/>
      <c r="M304" s="313"/>
      <c r="N304" s="315"/>
      <c r="O304" s="315"/>
      <c r="P304" s="315"/>
      <c r="Q304" s="315"/>
      <c r="R304" s="315"/>
      <c r="S304" s="315"/>
      <c r="T304" s="315"/>
      <c r="U304" s="315"/>
      <c r="V304" s="315"/>
      <c r="W304" s="315"/>
      <c r="X304" s="315"/>
      <c r="Y304" s="315"/>
      <c r="Z304" s="315"/>
      <c r="AA304" s="315"/>
      <c r="AB304" s="315"/>
      <c r="AC304" s="315"/>
      <c r="AD304" s="315"/>
      <c r="AE304" s="315"/>
      <c r="AF304" s="315"/>
      <c r="AG304" s="315"/>
      <c r="AH304" s="315"/>
      <c r="AI304" s="316"/>
      <c r="AJ304" s="316" t="s">
        <v>1</v>
      </c>
      <c r="AK304" s="971"/>
      <c r="AL304" s="972"/>
      <c r="AM304" s="973">
        <f>SUM(AM299:AU303)</f>
        <v>0</v>
      </c>
      <c r="AN304" s="973"/>
      <c r="AO304" s="973"/>
      <c r="AP304" s="974"/>
      <c r="AQ304" s="974"/>
      <c r="AR304" s="974"/>
      <c r="AS304" s="974"/>
      <c r="AT304" s="974"/>
      <c r="AU304" s="974"/>
      <c r="AV304" s="317"/>
    </row>
    <row r="305" spans="1:48" s="17" customFormat="1" ht="25.5" customHeight="1" x14ac:dyDescent="0.2">
      <c r="A305" s="16"/>
      <c r="B305" s="16"/>
      <c r="C305" s="977" t="e">
        <f ca="1">+CONCATENATE("SON: ",[2]!NumeLetras(AM304,"con","dolares americanos",1))</f>
        <v>#NAME?</v>
      </c>
      <c r="D305" s="978"/>
      <c r="E305" s="978"/>
      <c r="F305" s="978"/>
      <c r="G305" s="978"/>
      <c r="H305" s="978"/>
      <c r="I305" s="978"/>
      <c r="J305" s="978"/>
      <c r="K305" s="978"/>
      <c r="L305" s="978"/>
      <c r="M305" s="978"/>
      <c r="N305" s="978"/>
      <c r="O305" s="978"/>
      <c r="P305" s="978"/>
      <c r="Q305" s="978"/>
      <c r="R305" s="978"/>
      <c r="S305" s="978"/>
      <c r="T305" s="978"/>
      <c r="U305" s="928"/>
      <c r="V305" s="928"/>
      <c r="W305" s="928"/>
      <c r="X305" s="928"/>
      <c r="Y305" s="928"/>
      <c r="Z305" s="928"/>
      <c r="AA305" s="928"/>
      <c r="AB305" s="928"/>
      <c r="AC305" s="928"/>
      <c r="AD305" s="928"/>
      <c r="AE305" s="928"/>
      <c r="AF305" s="928"/>
      <c r="AG305" s="928"/>
      <c r="AH305" s="928"/>
      <c r="AI305" s="928"/>
      <c r="AJ305" s="928"/>
      <c r="AK305" s="928"/>
      <c r="AL305" s="928"/>
      <c r="AM305" s="928"/>
      <c r="AN305" s="928"/>
      <c r="AO305" s="928"/>
      <c r="AP305" s="928"/>
      <c r="AQ305" s="928"/>
      <c r="AR305" s="928"/>
      <c r="AS305" s="928"/>
      <c r="AT305" s="928"/>
      <c r="AU305" s="928"/>
      <c r="AV305" s="928"/>
    </row>
    <row r="306" spans="1:48" s="78" customFormat="1" ht="30" customHeight="1" x14ac:dyDescent="0.2">
      <c r="A306" s="736">
        <f>1+A288</f>
        <v>3</v>
      </c>
      <c r="B306" s="737"/>
      <c r="C306" s="165" t="s">
        <v>216</v>
      </c>
      <c r="D306" s="75"/>
      <c r="E306" s="75"/>
      <c r="F306" s="75"/>
      <c r="G306" s="75"/>
      <c r="H306" s="75"/>
      <c r="I306" s="75"/>
      <c r="J306" s="75"/>
      <c r="K306" s="75"/>
      <c r="L306" s="75"/>
      <c r="M306" s="165"/>
      <c r="N306" s="75"/>
      <c r="O306" s="75"/>
      <c r="P306" s="75"/>
      <c r="Q306" s="75"/>
      <c r="R306" s="75"/>
      <c r="S306" s="76"/>
      <c r="T306" s="76"/>
      <c r="U306" s="76"/>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row>
    <row r="307" spans="1:48" s="389" customFormat="1" ht="12" x14ac:dyDescent="0.2">
      <c r="A307" s="385"/>
      <c r="B307" s="386"/>
      <c r="C307" s="387" t="str">
        <f>+C267</f>
        <v>Departamento N° ….</v>
      </c>
      <c r="D307" s="388"/>
      <c r="E307" s="388"/>
      <c r="F307" s="388"/>
      <c r="G307" s="388"/>
      <c r="H307" s="388"/>
      <c r="I307" s="388"/>
      <c r="J307" s="388"/>
      <c r="K307" s="388"/>
      <c r="L307" s="388"/>
      <c r="M307" s="166"/>
      <c r="N307" s="388"/>
      <c r="O307" s="388"/>
      <c r="P307" s="388"/>
      <c r="Q307" s="388"/>
      <c r="R307" s="388"/>
      <c r="S307" s="388"/>
      <c r="T307" s="388"/>
      <c r="U307" s="388"/>
      <c r="V307" s="388"/>
      <c r="W307" s="388"/>
      <c r="X307" s="388"/>
      <c r="Y307" s="388"/>
      <c r="Z307" s="388"/>
      <c r="AA307" s="388"/>
      <c r="AB307" s="388"/>
      <c r="AC307" s="388"/>
      <c r="AD307" s="388"/>
      <c r="AE307" s="388"/>
      <c r="AF307" s="388"/>
      <c r="AG307" s="388"/>
      <c r="AH307" s="388"/>
      <c r="AI307" s="388"/>
      <c r="AJ307" s="388"/>
      <c r="AK307" s="388"/>
      <c r="AL307" s="388"/>
      <c r="AM307" s="388"/>
      <c r="AN307" s="388"/>
      <c r="AO307" s="388"/>
      <c r="AP307" s="388"/>
      <c r="AQ307" s="388"/>
      <c r="AR307" s="388"/>
      <c r="AS307" s="388"/>
      <c r="AT307" s="388"/>
      <c r="AU307" s="388"/>
      <c r="AV307" s="388"/>
    </row>
    <row r="308" spans="1:48" s="143" customFormat="1" ht="12" x14ac:dyDescent="0.2">
      <c r="A308" s="16"/>
      <c r="B308" s="16"/>
      <c r="C308" s="935" t="s">
        <v>31</v>
      </c>
      <c r="D308" s="899"/>
      <c r="E308" s="16" t="str">
        <f>+C198</f>
        <v>VALOR DE TERRENO</v>
      </c>
      <c r="F308" s="16"/>
      <c r="G308" s="16"/>
      <c r="H308" s="16"/>
      <c r="I308" s="16"/>
      <c r="J308" s="16"/>
      <c r="K308" s="16"/>
      <c r="L308" s="80"/>
      <c r="M308" s="16"/>
      <c r="N308" s="81"/>
      <c r="O308" s="81"/>
      <c r="P308" s="16"/>
      <c r="Q308" s="16"/>
      <c r="R308" s="16"/>
      <c r="S308" s="16"/>
      <c r="T308" s="16"/>
      <c r="U308" s="16"/>
      <c r="V308" s="16"/>
      <c r="W308" s="16"/>
      <c r="X308" s="16"/>
      <c r="Y308" s="16"/>
      <c r="Z308" s="16"/>
      <c r="AA308" s="16"/>
      <c r="AB308" s="16"/>
      <c r="AC308" s="16"/>
      <c r="AD308" s="16"/>
      <c r="AE308" s="16"/>
      <c r="AF308" s="16"/>
      <c r="AG308" s="16"/>
      <c r="AH308" s="80"/>
      <c r="AI308" s="16"/>
      <c r="AJ308" s="80" t="s">
        <v>1</v>
      </c>
      <c r="AK308" s="900"/>
      <c r="AL308" s="900"/>
      <c r="AM308" s="898">
        <v>0</v>
      </c>
      <c r="AN308" s="898"/>
      <c r="AO308" s="898"/>
      <c r="AP308" s="899"/>
      <c r="AQ308" s="899"/>
      <c r="AR308" s="899"/>
      <c r="AS308" s="899"/>
      <c r="AT308" s="899"/>
      <c r="AU308" s="899"/>
      <c r="AV308" s="16"/>
    </row>
    <row r="309" spans="1:48" s="143" customFormat="1" ht="12" x14ac:dyDescent="0.2">
      <c r="A309" s="16"/>
      <c r="B309" s="16"/>
      <c r="C309" s="935" t="s">
        <v>32</v>
      </c>
      <c r="D309" s="899"/>
      <c r="E309" s="16" t="str">
        <f>+C200</f>
        <v>VALOR DE LA EDIFICACIÓN</v>
      </c>
      <c r="F309" s="16"/>
      <c r="G309" s="16"/>
      <c r="H309" s="16"/>
      <c r="I309" s="16"/>
      <c r="J309" s="16"/>
      <c r="K309" s="16"/>
      <c r="L309" s="80"/>
      <c r="M309" s="16"/>
      <c r="N309" s="81"/>
      <c r="O309" s="81"/>
      <c r="P309" s="16"/>
      <c r="Q309" s="16"/>
      <c r="R309" s="16"/>
      <c r="S309" s="16"/>
      <c r="T309" s="16"/>
      <c r="U309" s="16"/>
      <c r="V309" s="16"/>
      <c r="W309" s="16"/>
      <c r="X309" s="16"/>
      <c r="Y309" s="16"/>
      <c r="Z309" s="16"/>
      <c r="AA309" s="16"/>
      <c r="AB309" s="16"/>
      <c r="AC309" s="16"/>
      <c r="AD309" s="16"/>
      <c r="AE309" s="16"/>
      <c r="AF309" s="16"/>
      <c r="AG309" s="16"/>
      <c r="AH309" s="80"/>
      <c r="AI309" s="16"/>
      <c r="AJ309" s="80" t="s">
        <v>1</v>
      </c>
      <c r="AK309" s="900"/>
      <c r="AL309" s="900"/>
      <c r="AM309" s="898">
        <f>+AO203+AO205</f>
        <v>0</v>
      </c>
      <c r="AN309" s="898"/>
      <c r="AO309" s="898"/>
      <c r="AP309" s="899"/>
      <c r="AQ309" s="899"/>
      <c r="AR309" s="899"/>
      <c r="AS309" s="899"/>
      <c r="AT309" s="899"/>
      <c r="AU309" s="899"/>
      <c r="AV309" s="16"/>
    </row>
    <row r="310" spans="1:48" s="143" customFormat="1" ht="12" x14ac:dyDescent="0.2">
      <c r="A310" s="16"/>
      <c r="B310" s="16"/>
      <c r="C310" s="289" t="s">
        <v>100</v>
      </c>
      <c r="D310" s="16"/>
      <c r="E310" s="82" t="str">
        <f>+C212</f>
        <v>VALOR DE LAS ÁREAS COMUNES</v>
      </c>
      <c r="F310" s="16"/>
      <c r="G310" s="16"/>
      <c r="H310" s="16"/>
      <c r="I310" s="16"/>
      <c r="J310" s="16"/>
      <c r="K310" s="16"/>
      <c r="L310" s="80"/>
      <c r="M310" s="16"/>
      <c r="N310" s="81"/>
      <c r="O310" s="81"/>
      <c r="P310" s="16"/>
      <c r="Q310" s="16"/>
      <c r="R310" s="16"/>
      <c r="S310" s="16"/>
      <c r="T310" s="16"/>
      <c r="U310" s="16"/>
      <c r="V310" s="16"/>
      <c r="W310" s="16"/>
      <c r="X310" s="16"/>
      <c r="Y310" s="16"/>
      <c r="Z310" s="16"/>
      <c r="AA310" s="16"/>
      <c r="AB310" s="16"/>
      <c r="AC310" s="16"/>
      <c r="AD310" s="16"/>
      <c r="AE310" s="16"/>
      <c r="AF310" s="16"/>
      <c r="AG310" s="16"/>
      <c r="AH310" s="80"/>
      <c r="AI310" s="16"/>
      <c r="AJ310" s="80" t="s">
        <v>1</v>
      </c>
      <c r="AK310" s="900"/>
      <c r="AL310" s="900"/>
      <c r="AM310" s="898">
        <f>+AO214</f>
        <v>0</v>
      </c>
      <c r="AN310" s="898"/>
      <c r="AO310" s="898"/>
      <c r="AP310" s="899"/>
      <c r="AQ310" s="899"/>
      <c r="AR310" s="899"/>
      <c r="AS310" s="899"/>
      <c r="AT310" s="899"/>
      <c r="AU310" s="899"/>
      <c r="AV310" s="16"/>
    </row>
    <row r="311" spans="1:48" s="143" customFormat="1" ht="12" x14ac:dyDescent="0.2">
      <c r="A311" s="16"/>
      <c r="B311" s="16"/>
      <c r="C311" s="289" t="s">
        <v>106</v>
      </c>
      <c r="D311" s="16"/>
      <c r="E311" s="82" t="str">
        <f>+C220</f>
        <v>VALOR DE LAS OBRAS COMPLEMENTARIAS</v>
      </c>
      <c r="F311" s="16"/>
      <c r="G311" s="16"/>
      <c r="H311" s="16"/>
      <c r="I311" s="16"/>
      <c r="J311" s="16"/>
      <c r="K311" s="16"/>
      <c r="L311" s="80"/>
      <c r="M311" s="16"/>
      <c r="N311" s="81"/>
      <c r="O311" s="81"/>
      <c r="P311" s="16"/>
      <c r="Q311" s="16"/>
      <c r="R311" s="16"/>
      <c r="S311" s="16"/>
      <c r="T311" s="16"/>
      <c r="U311" s="16"/>
      <c r="V311" s="16"/>
      <c r="W311" s="16"/>
      <c r="X311" s="16"/>
      <c r="Y311" s="16"/>
      <c r="Z311" s="16"/>
      <c r="AA311" s="16"/>
      <c r="AB311" s="16"/>
      <c r="AC311" s="16"/>
      <c r="AD311" s="16"/>
      <c r="AE311" s="16"/>
      <c r="AF311" s="16"/>
      <c r="AG311" s="16"/>
      <c r="AH311" s="80"/>
      <c r="AI311" s="16"/>
      <c r="AJ311" s="80" t="s">
        <v>1</v>
      </c>
      <c r="AK311" s="900"/>
      <c r="AL311" s="900"/>
      <c r="AM311" s="898">
        <f>+AF227</f>
        <v>0</v>
      </c>
      <c r="AN311" s="898"/>
      <c r="AO311" s="898"/>
      <c r="AP311" s="899"/>
      <c r="AQ311" s="899"/>
      <c r="AR311" s="899"/>
      <c r="AS311" s="899"/>
      <c r="AT311" s="899"/>
      <c r="AU311" s="899"/>
      <c r="AV311" s="16"/>
    </row>
    <row r="312" spans="1:48" s="84" customFormat="1" thickBot="1" x14ac:dyDescent="0.25">
      <c r="A312" s="166"/>
      <c r="B312" s="166"/>
      <c r="C312" s="391" t="s">
        <v>2485</v>
      </c>
      <c r="D312" s="168"/>
      <c r="E312" s="168"/>
      <c r="F312" s="168"/>
      <c r="G312" s="390"/>
      <c r="H312" s="168"/>
      <c r="I312" s="168"/>
      <c r="J312" s="168"/>
      <c r="K312" s="168"/>
      <c r="L312" s="169"/>
      <c r="M312" s="168"/>
      <c r="N312" s="170"/>
      <c r="O312" s="170"/>
      <c r="P312" s="168"/>
      <c r="Q312" s="168"/>
      <c r="R312" s="168"/>
      <c r="S312" s="168"/>
      <c r="T312" s="168"/>
      <c r="U312" s="168"/>
      <c r="V312" s="168" t="str">
        <f>UPPER(C307)</f>
        <v>DEPARTAMENTO N° ….</v>
      </c>
      <c r="W312" s="168"/>
      <c r="X312" s="168"/>
      <c r="Y312" s="168"/>
      <c r="Z312" s="390"/>
      <c r="AA312" s="168"/>
      <c r="AB312" s="168"/>
      <c r="AC312" s="168"/>
      <c r="AD312" s="168"/>
      <c r="AE312" s="168"/>
      <c r="AF312" s="168"/>
      <c r="AG312" s="168"/>
      <c r="AH312" s="169"/>
      <c r="AI312" s="168"/>
      <c r="AJ312" s="169" t="s">
        <v>1</v>
      </c>
      <c r="AK312" s="980"/>
      <c r="AL312" s="980"/>
      <c r="AM312" s="981">
        <f>SUM(AM308:AU311)</f>
        <v>0</v>
      </c>
      <c r="AN312" s="981"/>
      <c r="AO312" s="981"/>
      <c r="AP312" s="982"/>
      <c r="AQ312" s="982"/>
      <c r="AR312" s="982"/>
      <c r="AS312" s="982"/>
      <c r="AT312" s="982"/>
      <c r="AU312" s="982"/>
      <c r="AV312" s="171"/>
    </row>
    <row r="313" spans="1:48" s="389" customFormat="1" ht="12" x14ac:dyDescent="0.2">
      <c r="A313" s="385"/>
      <c r="B313" s="386"/>
      <c r="C313" s="387" t="str">
        <f>+C273</f>
        <v>Estacionamiento N° …</v>
      </c>
      <c r="D313" s="388"/>
      <c r="E313" s="388"/>
      <c r="F313" s="388"/>
      <c r="G313" s="388"/>
      <c r="H313" s="388"/>
      <c r="I313" s="388"/>
      <c r="J313" s="388"/>
      <c r="K313" s="388"/>
      <c r="L313" s="388"/>
      <c r="M313" s="166"/>
      <c r="N313" s="388"/>
      <c r="O313" s="388"/>
      <c r="P313" s="388"/>
      <c r="Q313" s="388"/>
      <c r="R313" s="388"/>
      <c r="S313" s="388"/>
      <c r="T313" s="388"/>
      <c r="U313" s="388"/>
      <c r="V313" s="388"/>
      <c r="W313" s="388"/>
      <c r="X313" s="388"/>
      <c r="Y313" s="388"/>
      <c r="Z313" s="388"/>
      <c r="AA313" s="388"/>
      <c r="AB313" s="388"/>
      <c r="AC313" s="388"/>
      <c r="AD313" s="388"/>
      <c r="AE313" s="388"/>
      <c r="AF313" s="388"/>
      <c r="AG313" s="388"/>
      <c r="AH313" s="388"/>
      <c r="AI313" s="388"/>
      <c r="AJ313" s="388"/>
      <c r="AK313" s="388"/>
      <c r="AL313" s="388"/>
      <c r="AM313" s="388"/>
      <c r="AN313" s="388"/>
      <c r="AO313" s="388"/>
      <c r="AP313" s="388"/>
      <c r="AQ313" s="388"/>
      <c r="AR313" s="388"/>
      <c r="AS313" s="388"/>
      <c r="AT313" s="388"/>
      <c r="AU313" s="388"/>
      <c r="AV313" s="388"/>
    </row>
    <row r="314" spans="1:48" s="143" customFormat="1" ht="12" x14ac:dyDescent="0.2">
      <c r="A314" s="16"/>
      <c r="B314" s="16"/>
      <c r="C314" s="935" t="s">
        <v>31</v>
      </c>
      <c r="D314" s="899"/>
      <c r="E314" s="16" t="str">
        <f>+E308</f>
        <v>VALOR DE TERRENO</v>
      </c>
      <c r="F314" s="16"/>
      <c r="G314" s="16"/>
      <c r="H314" s="16"/>
      <c r="I314" s="16"/>
      <c r="J314" s="16"/>
      <c r="K314" s="16"/>
      <c r="L314" s="80"/>
      <c r="M314" s="16"/>
      <c r="N314" s="81"/>
      <c r="O314" s="81"/>
      <c r="P314" s="16"/>
      <c r="Q314" s="16"/>
      <c r="R314" s="16"/>
      <c r="S314" s="16"/>
      <c r="T314" s="16"/>
      <c r="U314" s="16"/>
      <c r="V314" s="16"/>
      <c r="W314" s="16"/>
      <c r="X314" s="16"/>
      <c r="Y314" s="16"/>
      <c r="Z314" s="16"/>
      <c r="AA314" s="16"/>
      <c r="AB314" s="16"/>
      <c r="AC314" s="16"/>
      <c r="AD314" s="16"/>
      <c r="AE314" s="16"/>
      <c r="AF314" s="16"/>
      <c r="AG314" s="16"/>
      <c r="AH314" s="80"/>
      <c r="AI314" s="16"/>
      <c r="AJ314" s="80" t="s">
        <v>1</v>
      </c>
      <c r="AK314" s="900"/>
      <c r="AL314" s="900"/>
      <c r="AM314" s="898">
        <v>0</v>
      </c>
      <c r="AN314" s="898"/>
      <c r="AO314" s="898"/>
      <c r="AP314" s="899"/>
      <c r="AQ314" s="899"/>
      <c r="AR314" s="899"/>
      <c r="AS314" s="899"/>
      <c r="AT314" s="899"/>
      <c r="AU314" s="899"/>
      <c r="AV314" s="16"/>
    </row>
    <row r="315" spans="1:48" s="143" customFormat="1" ht="12" x14ac:dyDescent="0.2">
      <c r="A315" s="16"/>
      <c r="B315" s="16"/>
      <c r="C315" s="935" t="s">
        <v>32</v>
      </c>
      <c r="D315" s="899"/>
      <c r="E315" s="16" t="str">
        <f>+E309</f>
        <v>VALOR DE LA EDIFICACIÓN</v>
      </c>
      <c r="F315" s="16"/>
      <c r="G315" s="16"/>
      <c r="H315" s="16"/>
      <c r="I315" s="16"/>
      <c r="J315" s="16"/>
      <c r="K315" s="16"/>
      <c r="L315" s="80"/>
      <c r="M315" s="16"/>
      <c r="N315" s="81"/>
      <c r="O315" s="81"/>
      <c r="P315" s="16"/>
      <c r="Q315" s="16"/>
      <c r="R315" s="16"/>
      <c r="S315" s="16"/>
      <c r="T315" s="16"/>
      <c r="U315" s="16"/>
      <c r="V315" s="16"/>
      <c r="W315" s="16"/>
      <c r="X315" s="16"/>
      <c r="Y315" s="16"/>
      <c r="Z315" s="16"/>
      <c r="AA315" s="16"/>
      <c r="AB315" s="16"/>
      <c r="AC315" s="16"/>
      <c r="AD315" s="16"/>
      <c r="AE315" s="16"/>
      <c r="AF315" s="16"/>
      <c r="AG315" s="16"/>
      <c r="AH315" s="80"/>
      <c r="AI315" s="16"/>
      <c r="AJ315" s="80" t="s">
        <v>1</v>
      </c>
      <c r="AK315" s="900"/>
      <c r="AL315" s="900"/>
      <c r="AM315" s="898">
        <f>+AO207</f>
        <v>0</v>
      </c>
      <c r="AN315" s="898"/>
      <c r="AO315" s="898"/>
      <c r="AP315" s="899"/>
      <c r="AQ315" s="899"/>
      <c r="AR315" s="899"/>
      <c r="AS315" s="899"/>
      <c r="AT315" s="899"/>
      <c r="AU315" s="899"/>
      <c r="AV315" s="16"/>
    </row>
    <row r="316" spans="1:48" s="143" customFormat="1" ht="12" x14ac:dyDescent="0.2">
      <c r="A316" s="16"/>
      <c r="B316" s="16"/>
      <c r="C316" s="289" t="s">
        <v>100</v>
      </c>
      <c r="D316" s="16"/>
      <c r="E316" s="82" t="str">
        <f>+E310</f>
        <v>VALOR DE LAS ÁREAS COMUNES</v>
      </c>
      <c r="F316" s="16"/>
      <c r="G316" s="16"/>
      <c r="H316" s="16"/>
      <c r="I316" s="16"/>
      <c r="J316" s="16"/>
      <c r="K316" s="16"/>
      <c r="L316" s="80"/>
      <c r="M316" s="16"/>
      <c r="N316" s="81"/>
      <c r="O316" s="81"/>
      <c r="P316" s="16"/>
      <c r="Q316" s="16"/>
      <c r="R316" s="16"/>
      <c r="S316" s="16"/>
      <c r="T316" s="16"/>
      <c r="U316" s="16"/>
      <c r="V316" s="16"/>
      <c r="W316" s="16"/>
      <c r="X316" s="16"/>
      <c r="Y316" s="16"/>
      <c r="Z316" s="16"/>
      <c r="AA316" s="16"/>
      <c r="AB316" s="16"/>
      <c r="AC316" s="16"/>
      <c r="AD316" s="16"/>
      <c r="AE316" s="16"/>
      <c r="AF316" s="16"/>
      <c r="AG316" s="16"/>
      <c r="AH316" s="80"/>
      <c r="AI316" s="16"/>
      <c r="AJ316" s="80" t="s">
        <v>1</v>
      </c>
      <c r="AK316" s="900"/>
      <c r="AL316" s="900"/>
      <c r="AM316" s="898">
        <f>+AO216</f>
        <v>0</v>
      </c>
      <c r="AN316" s="898"/>
      <c r="AO316" s="898"/>
      <c r="AP316" s="899"/>
      <c r="AQ316" s="899"/>
      <c r="AR316" s="899"/>
      <c r="AS316" s="899"/>
      <c r="AT316" s="899"/>
      <c r="AU316" s="899"/>
      <c r="AV316" s="16"/>
    </row>
    <row r="317" spans="1:48" s="143" customFormat="1" ht="12" x14ac:dyDescent="0.2">
      <c r="A317" s="16"/>
      <c r="B317" s="16"/>
      <c r="C317" s="289" t="s">
        <v>106</v>
      </c>
      <c r="D317" s="16"/>
      <c r="E317" s="82" t="str">
        <f>+E311</f>
        <v>VALOR DE LAS OBRAS COMPLEMENTARIAS</v>
      </c>
      <c r="F317" s="16"/>
      <c r="G317" s="16"/>
      <c r="H317" s="16"/>
      <c r="I317" s="16"/>
      <c r="J317" s="16"/>
      <c r="K317" s="16"/>
      <c r="L317" s="80"/>
      <c r="M317" s="16"/>
      <c r="N317" s="81"/>
      <c r="O317" s="81"/>
      <c r="P317" s="16"/>
      <c r="Q317" s="16"/>
      <c r="R317" s="16"/>
      <c r="S317" s="16"/>
      <c r="T317" s="16"/>
      <c r="U317" s="16"/>
      <c r="V317" s="16"/>
      <c r="W317" s="16"/>
      <c r="X317" s="16"/>
      <c r="Y317" s="16"/>
      <c r="Z317" s="16"/>
      <c r="AA317" s="16"/>
      <c r="AB317" s="16"/>
      <c r="AC317" s="16"/>
      <c r="AD317" s="16"/>
      <c r="AE317" s="16"/>
      <c r="AF317" s="16"/>
      <c r="AG317" s="16"/>
      <c r="AH317" s="80"/>
      <c r="AI317" s="16"/>
      <c r="AJ317" s="80" t="s">
        <v>1</v>
      </c>
      <c r="AK317" s="900"/>
      <c r="AL317" s="900"/>
      <c r="AM317" s="975">
        <f>+AF231</f>
        <v>0</v>
      </c>
      <c r="AN317" s="975"/>
      <c r="AO317" s="975"/>
      <c r="AP317" s="976"/>
      <c r="AQ317" s="976"/>
      <c r="AR317" s="976"/>
      <c r="AS317" s="976"/>
      <c r="AT317" s="976"/>
      <c r="AU317" s="976"/>
      <c r="AV317" s="16"/>
    </row>
    <row r="318" spans="1:48" s="84" customFormat="1" thickBot="1" x14ac:dyDescent="0.25">
      <c r="A318" s="166"/>
      <c r="B318" s="166"/>
      <c r="C318" s="391" t="str">
        <f>+C312</f>
        <v>VALOR DEL IMPORTE ASEGURABLE DEL</v>
      </c>
      <c r="D318" s="168"/>
      <c r="E318" s="168"/>
      <c r="F318" s="168"/>
      <c r="G318" s="168"/>
      <c r="H318" s="168"/>
      <c r="I318" s="168"/>
      <c r="J318" s="168"/>
      <c r="K318" s="168"/>
      <c r="L318" s="169"/>
      <c r="M318" s="168"/>
      <c r="N318" s="170"/>
      <c r="O318" s="170"/>
      <c r="P318" s="168"/>
      <c r="Q318" s="168"/>
      <c r="R318" s="168"/>
      <c r="S318" s="168"/>
      <c r="T318" s="168"/>
      <c r="U318" s="168"/>
      <c r="V318" s="390" t="str">
        <f>UPPER(C313)</f>
        <v>ESTACIONAMIENTO N° …</v>
      </c>
      <c r="W318" s="168"/>
      <c r="X318" s="168"/>
      <c r="Y318" s="168"/>
      <c r="Z318" s="168"/>
      <c r="AA318" s="168"/>
      <c r="AB318" s="168"/>
      <c r="AC318" s="168"/>
      <c r="AD318" s="168"/>
      <c r="AE318" s="168"/>
      <c r="AF318" s="168"/>
      <c r="AG318" s="168"/>
      <c r="AH318" s="169"/>
      <c r="AI318" s="168"/>
      <c r="AJ318" s="169" t="s">
        <v>1</v>
      </c>
      <c r="AK318" s="980"/>
      <c r="AL318" s="980"/>
      <c r="AM318" s="981">
        <f>SUM(AM314:AU317)</f>
        <v>0</v>
      </c>
      <c r="AN318" s="981"/>
      <c r="AO318" s="981"/>
      <c r="AP318" s="982"/>
      <c r="AQ318" s="982"/>
      <c r="AR318" s="982"/>
      <c r="AS318" s="982"/>
      <c r="AT318" s="982"/>
      <c r="AU318" s="982"/>
      <c r="AV318" s="171"/>
    </row>
    <row r="319" spans="1:48" s="389" customFormat="1" ht="12" x14ac:dyDescent="0.2">
      <c r="A319" s="385"/>
      <c r="B319" s="386"/>
      <c r="C319" s="387" t="str">
        <f>+C279</f>
        <v>Depósito N°..</v>
      </c>
      <c r="D319" s="388"/>
      <c r="E319" s="388"/>
      <c r="F319" s="388"/>
      <c r="G319" s="388"/>
      <c r="H319" s="388"/>
      <c r="I319" s="388"/>
      <c r="J319" s="388"/>
      <c r="K319" s="388"/>
      <c r="L319" s="388"/>
      <c r="M319" s="166"/>
      <c r="N319" s="388"/>
      <c r="O319" s="388"/>
      <c r="P319" s="388"/>
      <c r="Q319" s="388"/>
      <c r="R319" s="388"/>
      <c r="S319" s="388"/>
      <c r="T319" s="388"/>
      <c r="U319" s="388"/>
      <c r="V319" s="388"/>
      <c r="W319" s="388"/>
      <c r="X319" s="388"/>
      <c r="Y319" s="388"/>
      <c r="Z319" s="388"/>
      <c r="AA319" s="388"/>
      <c r="AB319" s="388"/>
      <c r="AC319" s="388"/>
      <c r="AD319" s="388"/>
      <c r="AE319" s="388"/>
      <c r="AF319" s="388"/>
      <c r="AG319" s="388"/>
      <c r="AH319" s="388"/>
      <c r="AI319" s="388"/>
      <c r="AJ319" s="388"/>
      <c r="AK319" s="388"/>
      <c r="AL319" s="388"/>
      <c r="AM319" s="388"/>
      <c r="AN319" s="388"/>
      <c r="AO319" s="388"/>
      <c r="AP319" s="388"/>
      <c r="AQ319" s="388"/>
      <c r="AR319" s="388"/>
      <c r="AS319" s="388"/>
      <c r="AT319" s="388"/>
      <c r="AU319" s="388"/>
      <c r="AV319" s="388"/>
    </row>
    <row r="320" spans="1:48" s="143" customFormat="1" ht="12" x14ac:dyDescent="0.2">
      <c r="A320" s="16"/>
      <c r="B320" s="16"/>
      <c r="C320" s="935" t="s">
        <v>31</v>
      </c>
      <c r="D320" s="899"/>
      <c r="E320" s="16" t="str">
        <f>+E314</f>
        <v>VALOR DE TERRENO</v>
      </c>
      <c r="F320" s="16"/>
      <c r="G320" s="16"/>
      <c r="H320" s="16"/>
      <c r="I320" s="16"/>
      <c r="J320" s="16"/>
      <c r="K320" s="16"/>
      <c r="L320" s="80"/>
      <c r="M320" s="16"/>
      <c r="N320" s="81"/>
      <c r="O320" s="81"/>
      <c r="P320" s="16"/>
      <c r="Q320" s="16"/>
      <c r="R320" s="16"/>
      <c r="S320" s="16"/>
      <c r="T320" s="16"/>
      <c r="U320" s="16"/>
      <c r="V320" s="16"/>
      <c r="W320" s="16"/>
      <c r="X320" s="16"/>
      <c r="Y320" s="16"/>
      <c r="Z320" s="16"/>
      <c r="AA320" s="16"/>
      <c r="AB320" s="16"/>
      <c r="AC320" s="16"/>
      <c r="AD320" s="16"/>
      <c r="AE320" s="16"/>
      <c r="AF320" s="16"/>
      <c r="AG320" s="16"/>
      <c r="AH320" s="80"/>
      <c r="AI320" s="16"/>
      <c r="AJ320" s="80" t="s">
        <v>1</v>
      </c>
      <c r="AK320" s="900"/>
      <c r="AL320" s="900"/>
      <c r="AM320" s="898">
        <v>0</v>
      </c>
      <c r="AN320" s="898"/>
      <c r="AO320" s="898"/>
      <c r="AP320" s="899"/>
      <c r="AQ320" s="899"/>
      <c r="AR320" s="899"/>
      <c r="AS320" s="899"/>
      <c r="AT320" s="899"/>
      <c r="AU320" s="899"/>
      <c r="AV320" s="16"/>
    </row>
    <row r="321" spans="1:48" s="143" customFormat="1" ht="12" x14ac:dyDescent="0.2">
      <c r="A321" s="16"/>
      <c r="B321" s="16"/>
      <c r="C321" s="935" t="s">
        <v>32</v>
      </c>
      <c r="D321" s="899"/>
      <c r="E321" s="16" t="str">
        <f>+E315</f>
        <v>VALOR DE LA EDIFICACIÓN</v>
      </c>
      <c r="F321" s="16"/>
      <c r="G321" s="16"/>
      <c r="H321" s="16"/>
      <c r="I321" s="16"/>
      <c r="J321" s="16"/>
      <c r="K321" s="16"/>
      <c r="L321" s="80"/>
      <c r="M321" s="16"/>
      <c r="N321" s="81"/>
      <c r="O321" s="81"/>
      <c r="P321" s="16"/>
      <c r="Q321" s="16"/>
      <c r="R321" s="16"/>
      <c r="S321" s="16"/>
      <c r="T321" s="16"/>
      <c r="U321" s="16"/>
      <c r="V321" s="16"/>
      <c r="W321" s="16"/>
      <c r="X321" s="16"/>
      <c r="Y321" s="16"/>
      <c r="Z321" s="16"/>
      <c r="AA321" s="16"/>
      <c r="AB321" s="16"/>
      <c r="AC321" s="16"/>
      <c r="AD321" s="16"/>
      <c r="AE321" s="16"/>
      <c r="AF321" s="16"/>
      <c r="AG321" s="16"/>
      <c r="AH321" s="80"/>
      <c r="AI321" s="16"/>
      <c r="AJ321" s="80" t="s">
        <v>1</v>
      </c>
      <c r="AK321" s="900"/>
      <c r="AL321" s="900"/>
      <c r="AM321" s="898">
        <f>+AO209</f>
        <v>0</v>
      </c>
      <c r="AN321" s="898"/>
      <c r="AO321" s="898"/>
      <c r="AP321" s="899"/>
      <c r="AQ321" s="899"/>
      <c r="AR321" s="899"/>
      <c r="AS321" s="899"/>
      <c r="AT321" s="899"/>
      <c r="AU321" s="899"/>
      <c r="AV321" s="16"/>
    </row>
    <row r="322" spans="1:48" s="143" customFormat="1" ht="12" x14ac:dyDescent="0.2">
      <c r="A322" s="16"/>
      <c r="B322" s="16"/>
      <c r="C322" s="289" t="s">
        <v>100</v>
      </c>
      <c r="D322" s="16"/>
      <c r="E322" s="82" t="str">
        <f>+E316</f>
        <v>VALOR DE LAS ÁREAS COMUNES</v>
      </c>
      <c r="F322" s="16"/>
      <c r="G322" s="16"/>
      <c r="H322" s="16"/>
      <c r="I322" s="16"/>
      <c r="J322" s="16"/>
      <c r="K322" s="16"/>
      <c r="L322" s="80"/>
      <c r="M322" s="16"/>
      <c r="N322" s="81"/>
      <c r="O322" s="81"/>
      <c r="P322" s="16"/>
      <c r="Q322" s="16"/>
      <c r="R322" s="16"/>
      <c r="S322" s="16"/>
      <c r="T322" s="16"/>
      <c r="U322" s="16"/>
      <c r="V322" s="16"/>
      <c r="W322" s="16"/>
      <c r="X322" s="16"/>
      <c r="Y322" s="16"/>
      <c r="Z322" s="16"/>
      <c r="AA322" s="16"/>
      <c r="AB322" s="16"/>
      <c r="AC322" s="16"/>
      <c r="AD322" s="16"/>
      <c r="AE322" s="16"/>
      <c r="AF322" s="16"/>
      <c r="AG322" s="16"/>
      <c r="AH322" s="80"/>
      <c r="AI322" s="16"/>
      <c r="AJ322" s="80" t="s">
        <v>1</v>
      </c>
      <c r="AK322" s="900"/>
      <c r="AL322" s="900"/>
      <c r="AM322" s="898">
        <f>+AO218</f>
        <v>0</v>
      </c>
      <c r="AN322" s="898"/>
      <c r="AO322" s="898"/>
      <c r="AP322" s="899"/>
      <c r="AQ322" s="899"/>
      <c r="AR322" s="899"/>
      <c r="AS322" s="899"/>
      <c r="AT322" s="899"/>
      <c r="AU322" s="899"/>
      <c r="AV322" s="16"/>
    </row>
    <row r="323" spans="1:48" s="143" customFormat="1" ht="12" x14ac:dyDescent="0.2">
      <c r="A323" s="16"/>
      <c r="B323" s="16"/>
      <c r="C323" s="289" t="s">
        <v>106</v>
      </c>
      <c r="D323" s="16"/>
      <c r="E323" s="82" t="str">
        <f>+E317</f>
        <v>VALOR DE LAS OBRAS COMPLEMENTARIAS</v>
      </c>
      <c r="F323" s="16"/>
      <c r="G323" s="16"/>
      <c r="H323" s="16"/>
      <c r="I323" s="16"/>
      <c r="J323" s="16"/>
      <c r="K323" s="16"/>
      <c r="L323" s="80"/>
      <c r="M323" s="16"/>
      <c r="N323" s="81"/>
      <c r="O323" s="81"/>
      <c r="P323" s="16"/>
      <c r="Q323" s="16"/>
      <c r="R323" s="16"/>
      <c r="S323" s="16"/>
      <c r="T323" s="16"/>
      <c r="U323" s="16"/>
      <c r="V323" s="16"/>
      <c r="W323" s="16"/>
      <c r="X323" s="16"/>
      <c r="Y323" s="16"/>
      <c r="Z323" s="16"/>
      <c r="AA323" s="16"/>
      <c r="AB323" s="16"/>
      <c r="AC323" s="16"/>
      <c r="AD323" s="16"/>
      <c r="AE323" s="16"/>
      <c r="AF323" s="16"/>
      <c r="AG323" s="16"/>
      <c r="AH323" s="80"/>
      <c r="AI323" s="16"/>
      <c r="AJ323" s="80" t="s">
        <v>1</v>
      </c>
      <c r="AK323" s="900"/>
      <c r="AL323" s="900"/>
      <c r="AM323" s="975">
        <f>+AF235</f>
        <v>0</v>
      </c>
      <c r="AN323" s="975"/>
      <c r="AO323" s="975"/>
      <c r="AP323" s="976"/>
      <c r="AQ323" s="976"/>
      <c r="AR323" s="976"/>
      <c r="AS323" s="976"/>
      <c r="AT323" s="976"/>
      <c r="AU323" s="976"/>
      <c r="AV323" s="16"/>
    </row>
    <row r="324" spans="1:48" s="84" customFormat="1" thickBot="1" x14ac:dyDescent="0.25">
      <c r="A324" s="166"/>
      <c r="B324" s="166"/>
      <c r="C324" s="391" t="str">
        <f>+C318</f>
        <v>VALOR DEL IMPORTE ASEGURABLE DEL</v>
      </c>
      <c r="D324" s="168"/>
      <c r="E324" s="168"/>
      <c r="F324" s="168"/>
      <c r="G324" s="168"/>
      <c r="H324" s="168"/>
      <c r="I324" s="168"/>
      <c r="J324" s="168"/>
      <c r="K324" s="168"/>
      <c r="L324" s="169"/>
      <c r="M324" s="168"/>
      <c r="N324" s="170"/>
      <c r="O324" s="170"/>
      <c r="P324" s="168"/>
      <c r="Q324" s="168"/>
      <c r="R324" s="168"/>
      <c r="S324" s="168"/>
      <c r="T324" s="168"/>
      <c r="U324" s="168"/>
      <c r="V324" s="392" t="str">
        <f>UPPER(C319)</f>
        <v>DEPÓSITO N°..</v>
      </c>
      <c r="W324" s="168"/>
      <c r="X324" s="168"/>
      <c r="Y324" s="168"/>
      <c r="Z324" s="168"/>
      <c r="AA324" s="168"/>
      <c r="AB324" s="168"/>
      <c r="AC324" s="168"/>
      <c r="AD324" s="168"/>
      <c r="AE324" s="168"/>
      <c r="AF324" s="168"/>
      <c r="AG324" s="168"/>
      <c r="AH324" s="169"/>
      <c r="AI324" s="168"/>
      <c r="AJ324" s="169" t="s">
        <v>1</v>
      </c>
      <c r="AK324" s="980"/>
      <c r="AL324" s="980"/>
      <c r="AM324" s="981">
        <f>SUM(AM320:AU323)</f>
        <v>0</v>
      </c>
      <c r="AN324" s="981"/>
      <c r="AO324" s="981"/>
      <c r="AP324" s="982"/>
      <c r="AQ324" s="982"/>
      <c r="AR324" s="982"/>
      <c r="AS324" s="982"/>
      <c r="AT324" s="982"/>
      <c r="AU324" s="982"/>
      <c r="AV324" s="171"/>
    </row>
    <row r="325" spans="1:48" s="146" customFormat="1" ht="3" customHeight="1" x14ac:dyDescent="0.2">
      <c r="A325" s="145"/>
      <c r="B325" s="145"/>
      <c r="C325" s="1008"/>
      <c r="D325" s="1008"/>
      <c r="E325" s="1008"/>
      <c r="F325" s="1008"/>
      <c r="G325" s="1008"/>
      <c r="H325" s="1008"/>
      <c r="I325" s="1008"/>
      <c r="J325" s="1008"/>
      <c r="K325" s="1008"/>
      <c r="L325" s="1008"/>
      <c r="M325" s="1008"/>
      <c r="N325" s="1008"/>
      <c r="O325" s="1008"/>
      <c r="P325" s="1008"/>
      <c r="Q325" s="1008"/>
      <c r="R325" s="1008"/>
      <c r="S325" s="1008"/>
      <c r="T325" s="1008"/>
      <c r="U325" s="1009"/>
      <c r="V325" s="1009"/>
      <c r="W325" s="1009"/>
      <c r="X325" s="1009"/>
      <c r="Y325" s="1009"/>
      <c r="Z325" s="1009"/>
      <c r="AA325" s="1009"/>
      <c r="AB325" s="1009"/>
      <c r="AC325" s="1009"/>
      <c r="AD325" s="1009"/>
      <c r="AE325" s="1009"/>
      <c r="AF325" s="1009"/>
      <c r="AG325" s="1009"/>
      <c r="AH325" s="1009"/>
      <c r="AI325" s="1009"/>
      <c r="AJ325" s="1009"/>
      <c r="AK325" s="1009"/>
      <c r="AL325" s="1009"/>
      <c r="AM325" s="1009"/>
      <c r="AN325" s="1009"/>
      <c r="AO325" s="1009"/>
      <c r="AP325" s="1009"/>
      <c r="AQ325" s="1009"/>
      <c r="AR325" s="1009"/>
      <c r="AS325" s="1009"/>
      <c r="AT325" s="1009"/>
      <c r="AU325" s="1009"/>
      <c r="AV325" s="1009"/>
    </row>
    <row r="326" spans="1:48" s="84" customFormat="1" ht="18.75" customHeight="1" thickBot="1" x14ac:dyDescent="0.25">
      <c r="A326" s="166"/>
      <c r="B326" s="166"/>
      <c r="C326" s="167" t="s">
        <v>50</v>
      </c>
      <c r="D326" s="168"/>
      <c r="E326" s="168"/>
      <c r="F326" s="168"/>
      <c r="G326" s="168" t="str">
        <f>+C306</f>
        <v>VALOR DEL IMPORTE ASEGURABLE (VIA)</v>
      </c>
      <c r="H326" s="168"/>
      <c r="I326" s="168"/>
      <c r="J326" s="168"/>
      <c r="K326" s="168"/>
      <c r="L326" s="169"/>
      <c r="M326" s="168"/>
      <c r="N326" s="170"/>
      <c r="O326" s="170"/>
      <c r="P326" s="168"/>
      <c r="Q326" s="168"/>
      <c r="R326" s="168"/>
      <c r="S326" s="168"/>
      <c r="T326" s="168"/>
      <c r="U326" s="168"/>
      <c r="V326" s="168"/>
      <c r="W326" s="168"/>
      <c r="X326" s="168"/>
      <c r="Y326" s="168"/>
      <c r="Z326" s="168"/>
      <c r="AA326" s="168"/>
      <c r="AB326" s="168"/>
      <c r="AC326" s="168"/>
      <c r="AD326" s="168"/>
      <c r="AE326" s="168"/>
      <c r="AF326" s="168"/>
      <c r="AG326" s="168"/>
      <c r="AH326" s="169"/>
      <c r="AI326" s="168"/>
      <c r="AJ326" s="169" t="s">
        <v>1</v>
      </c>
      <c r="AK326" s="980"/>
      <c r="AL326" s="980"/>
      <c r="AM326" s="981">
        <f>+AM312+AM318+AM324</f>
        <v>0</v>
      </c>
      <c r="AN326" s="981"/>
      <c r="AO326" s="981"/>
      <c r="AP326" s="982"/>
      <c r="AQ326" s="982"/>
      <c r="AR326" s="982"/>
      <c r="AS326" s="982"/>
      <c r="AT326" s="982"/>
      <c r="AU326" s="982"/>
      <c r="AV326" s="171"/>
    </row>
    <row r="327" spans="1:48" s="146" customFormat="1" ht="20.25" customHeight="1" x14ac:dyDescent="0.2">
      <c r="A327" s="145"/>
      <c r="B327" s="145"/>
      <c r="C327" s="905" t="e">
        <f ca="1">+CONCATENATE("SON: ",[2]!NumeLetras(AM326,"con","dolares americanos",1))</f>
        <v>#NAME?</v>
      </c>
      <c r="D327" s="906"/>
      <c r="E327" s="906"/>
      <c r="F327" s="906"/>
      <c r="G327" s="906"/>
      <c r="H327" s="906"/>
      <c r="I327" s="906"/>
      <c r="J327" s="906"/>
      <c r="K327" s="906"/>
      <c r="L327" s="906"/>
      <c r="M327" s="906"/>
      <c r="N327" s="906"/>
      <c r="O327" s="906"/>
      <c r="P327" s="906"/>
      <c r="Q327" s="906"/>
      <c r="R327" s="906"/>
      <c r="S327" s="906"/>
      <c r="T327" s="906"/>
      <c r="U327" s="907"/>
      <c r="V327" s="907"/>
      <c r="W327" s="907"/>
      <c r="X327" s="907"/>
      <c r="Y327" s="907"/>
      <c r="Z327" s="907"/>
      <c r="AA327" s="907"/>
      <c r="AB327" s="907"/>
      <c r="AC327" s="907"/>
      <c r="AD327" s="907"/>
      <c r="AE327" s="907"/>
      <c r="AF327" s="907"/>
      <c r="AG327" s="907"/>
      <c r="AH327" s="907"/>
      <c r="AI327" s="907"/>
      <c r="AJ327" s="907"/>
      <c r="AK327" s="907"/>
      <c r="AL327" s="907"/>
      <c r="AM327" s="907"/>
      <c r="AN327" s="907"/>
      <c r="AO327" s="907"/>
      <c r="AP327" s="907"/>
      <c r="AQ327" s="907"/>
      <c r="AR327" s="907"/>
      <c r="AS327" s="907"/>
      <c r="AT327" s="907"/>
      <c r="AU327" s="907"/>
      <c r="AV327" s="907"/>
    </row>
    <row r="328" spans="1:48" ht="39.950000000000003" customHeight="1" x14ac:dyDescent="0.2">
      <c r="C328" s="15" t="s">
        <v>8</v>
      </c>
      <c r="F328" s="1015">
        <f>+V16</f>
        <v>0</v>
      </c>
      <c r="G328" s="873"/>
      <c r="H328" s="873"/>
      <c r="I328" s="873"/>
      <c r="J328" s="873"/>
      <c r="K328" s="873"/>
      <c r="L328" s="873"/>
      <c r="M328" s="873"/>
      <c r="N328" s="891"/>
      <c r="O328" s="891"/>
      <c r="P328" s="891"/>
      <c r="Q328" s="891"/>
      <c r="R328" s="891"/>
      <c r="S328" s="891"/>
      <c r="T328" s="891"/>
      <c r="U328" s="891"/>
      <c r="V328" s="891"/>
      <c r="W328" s="891"/>
      <c r="X328" s="891"/>
      <c r="Y328" s="891"/>
      <c r="Z328" s="891"/>
      <c r="AA328" s="891"/>
      <c r="AB328" s="891"/>
      <c r="AC328" s="891"/>
      <c r="AD328" s="891"/>
      <c r="AE328" s="891"/>
      <c r="AF328" s="891"/>
      <c r="AG328" s="891"/>
      <c r="AH328" s="891"/>
      <c r="AI328" s="891"/>
      <c r="AJ328" s="891"/>
      <c r="AK328" s="891"/>
      <c r="AL328" s="891"/>
      <c r="AM328" s="891"/>
      <c r="AN328" s="891"/>
      <c r="AO328" s="891"/>
      <c r="AP328" s="891"/>
      <c r="AQ328" s="891"/>
      <c r="AR328" s="891"/>
      <c r="AS328" s="891"/>
      <c r="AT328" s="891"/>
      <c r="AU328" s="891"/>
      <c r="AV328" s="891"/>
    </row>
    <row r="329" spans="1:48" ht="36.75" customHeight="1" x14ac:dyDescent="0.2"/>
    <row r="330" spans="1:48" x14ac:dyDescent="0.2"/>
    <row r="331" spans="1:48" s="90" customFormat="1" ht="22.5" hidden="1" customHeight="1" x14ac:dyDescent="0.25">
      <c r="A331" s="21" t="s">
        <v>2486</v>
      </c>
      <c r="B331" s="325"/>
      <c r="C331" s="1010" t="s">
        <v>2487</v>
      </c>
      <c r="D331" s="1011"/>
      <c r="E331" s="1011"/>
      <c r="F331" s="1011"/>
      <c r="G331" s="1011"/>
      <c r="H331" s="1011"/>
      <c r="I331" s="1011"/>
      <c r="J331" s="1011"/>
      <c r="K331" s="1011"/>
      <c r="L331" s="1011"/>
      <c r="M331" s="1011"/>
      <c r="N331" s="1011"/>
      <c r="O331" s="1011"/>
      <c r="P331" s="1011"/>
      <c r="Q331" s="1011"/>
      <c r="R331" s="1011"/>
      <c r="S331" s="1011"/>
      <c r="T331" s="1011"/>
      <c r="U331" s="1011"/>
      <c r="V331" s="1011"/>
      <c r="W331" s="1011"/>
      <c r="X331" s="1011"/>
      <c r="Y331" s="1011"/>
      <c r="Z331" s="1011"/>
      <c r="AA331" s="1011"/>
      <c r="AB331" s="1011"/>
      <c r="AC331" s="1011"/>
      <c r="AD331" s="1011"/>
      <c r="AE331" s="1011"/>
      <c r="AF331" s="1011"/>
      <c r="AG331" s="1011"/>
      <c r="AH331" s="1011"/>
      <c r="AI331" s="1011"/>
      <c r="AJ331" s="1011"/>
      <c r="AK331" s="1011"/>
      <c r="AL331" s="1011"/>
      <c r="AM331" s="1011"/>
      <c r="AN331" s="1011"/>
      <c r="AO331" s="1011"/>
      <c r="AP331" s="1011"/>
      <c r="AQ331" s="1011"/>
      <c r="AR331" s="1011"/>
      <c r="AS331" s="1011"/>
      <c r="AT331" s="1011"/>
      <c r="AU331" s="1011"/>
      <c r="AV331" s="1011"/>
    </row>
    <row r="332" spans="1:48" s="90" customFormat="1" ht="15" hidden="1" customHeight="1" x14ac:dyDescent="0.2">
      <c r="C332" s="25"/>
      <c r="D332" s="25"/>
      <c r="H332" s="21"/>
      <c r="J332" s="27"/>
      <c r="R332" s="27" t="str">
        <f>+S265</f>
        <v>INFORME N° 25</v>
      </c>
      <c r="U332" s="28"/>
      <c r="V332" s="29"/>
      <c r="AB332" s="1014">
        <f>+AC265</f>
        <v>0</v>
      </c>
      <c r="AC332" s="743"/>
      <c r="AD332" s="743"/>
      <c r="AE332" s="743"/>
      <c r="AF332" s="743"/>
    </row>
    <row r="333" spans="1:48" s="90" customFormat="1" ht="30" hidden="1" customHeight="1" x14ac:dyDescent="0.2">
      <c r="A333" s="749">
        <v>1</v>
      </c>
      <c r="B333" s="688"/>
      <c r="C333" s="56" t="s">
        <v>2488</v>
      </c>
      <c r="I333" s="65"/>
      <c r="J333" s="291"/>
    </row>
    <row r="334" spans="1:48" s="90" customFormat="1" ht="20.25" hidden="1" customHeight="1" x14ac:dyDescent="0.2">
      <c r="C334" s="46" t="str">
        <f>+C145</f>
        <v>Departamento N° ….</v>
      </c>
      <c r="I334" s="65"/>
      <c r="J334" s="291"/>
    </row>
    <row r="335" spans="1:48" ht="15.95" hidden="1" customHeight="1" x14ac:dyDescent="0.2">
      <c r="C335" s="45" t="s">
        <v>109</v>
      </c>
      <c r="D335" s="54"/>
      <c r="E335" s="54"/>
      <c r="F335" s="54"/>
      <c r="G335" s="54"/>
      <c r="H335" s="54"/>
      <c r="I335" s="54"/>
      <c r="J335" s="54"/>
      <c r="K335" s="54"/>
      <c r="L335" s="54"/>
      <c r="M335" s="54"/>
      <c r="N335" s="54"/>
      <c r="O335" s="54"/>
      <c r="P335" s="54"/>
      <c r="Q335" s="54"/>
      <c r="R335" s="54"/>
      <c r="S335" s="54"/>
      <c r="T335" s="54"/>
      <c r="U335" s="1019">
        <f>+U146</f>
        <v>1</v>
      </c>
      <c r="V335" s="1019"/>
      <c r="W335" s="1019"/>
      <c r="X335" s="1019"/>
      <c r="Y335" s="54"/>
      <c r="Z335" s="54"/>
      <c r="AA335" s="54"/>
      <c r="AB335" s="54"/>
      <c r="AC335" s="64"/>
      <c r="AD335" s="51"/>
      <c r="AE335" s="51"/>
      <c r="AF335" s="51"/>
      <c r="AG335" s="40"/>
      <c r="AH335" s="40"/>
      <c r="AI335" s="40"/>
      <c r="AJ335" s="40"/>
      <c r="AK335" s="40"/>
      <c r="AL335" s="40"/>
      <c r="AM335" s="40"/>
      <c r="AN335" s="20"/>
      <c r="AO335" s="20"/>
      <c r="AP335" s="20"/>
      <c r="AQ335" s="20"/>
      <c r="AR335" s="20"/>
      <c r="AS335" s="20"/>
      <c r="AT335" s="20"/>
      <c r="AU335" s="20"/>
      <c r="AV335" s="20"/>
    </row>
    <row r="336" spans="1:48" s="138" customFormat="1" hidden="1" x14ac:dyDescent="0.2">
      <c r="C336" s="752">
        <f>+C147</f>
        <v>0</v>
      </c>
      <c r="D336" s="752"/>
      <c r="E336" s="752"/>
      <c r="F336" s="752"/>
      <c r="G336" s="752"/>
      <c r="H336" s="752"/>
      <c r="I336" s="138" t="s">
        <v>9</v>
      </c>
      <c r="L336" s="138" t="s">
        <v>4</v>
      </c>
      <c r="M336" s="149"/>
      <c r="N336" s="1016">
        <f>+N147</f>
        <v>0</v>
      </c>
      <c r="O336" s="1016"/>
      <c r="P336" s="1016"/>
      <c r="Q336" s="1016"/>
      <c r="R336" s="1016"/>
      <c r="S336" s="1016"/>
      <c r="T336" s="1016"/>
      <c r="U336" s="141" t="s">
        <v>16</v>
      </c>
      <c r="AE336" s="138" t="s">
        <v>4</v>
      </c>
      <c r="AH336" s="1017">
        <f>+U335</f>
        <v>1</v>
      </c>
      <c r="AI336" s="708"/>
      <c r="AJ336" s="708"/>
      <c r="AK336" s="708"/>
      <c r="AM336" s="292" t="s">
        <v>1</v>
      </c>
      <c r="AO336" s="1012">
        <f>+C336*N336*AH336</f>
        <v>0</v>
      </c>
      <c r="AP336" s="1012"/>
      <c r="AQ336" s="1012"/>
      <c r="AR336" s="1013"/>
      <c r="AS336" s="1013"/>
      <c r="AT336" s="1013"/>
      <c r="AU336" s="1013"/>
      <c r="AV336" s="1013"/>
    </row>
    <row r="337" spans="1:48" s="90" customFormat="1" ht="20.25" hidden="1" customHeight="1" x14ac:dyDescent="0.2">
      <c r="C337" s="46" t="str">
        <f>+C148</f>
        <v>Estacionamiento N° …</v>
      </c>
      <c r="I337" s="65"/>
      <c r="J337" s="291"/>
    </row>
    <row r="338" spans="1:48" ht="15.95" hidden="1" customHeight="1" x14ac:dyDescent="0.2">
      <c r="C338" s="45" t="s">
        <v>109</v>
      </c>
      <c r="D338" s="54"/>
      <c r="E338" s="54"/>
      <c r="F338" s="54"/>
      <c r="G338" s="54"/>
      <c r="H338" s="54"/>
      <c r="I338" s="54"/>
      <c r="J338" s="54"/>
      <c r="K338" s="54"/>
      <c r="L338" s="54"/>
      <c r="M338" s="54"/>
      <c r="N338" s="54"/>
      <c r="O338" s="54"/>
      <c r="P338" s="54"/>
      <c r="Q338" s="54"/>
      <c r="R338" s="54"/>
      <c r="S338" s="54"/>
      <c r="T338" s="54"/>
      <c r="U338" s="1019">
        <f>+U149</f>
        <v>1</v>
      </c>
      <c r="V338" s="1019"/>
      <c r="W338" s="1019"/>
      <c r="X338" s="1019"/>
      <c r="Y338" s="54"/>
      <c r="Z338" s="54"/>
      <c r="AA338" s="54"/>
      <c r="AB338" s="54"/>
      <c r="AC338" s="64"/>
      <c r="AD338" s="51"/>
      <c r="AE338" s="51"/>
      <c r="AF338" s="51"/>
      <c r="AG338" s="40"/>
      <c r="AH338" s="40"/>
      <c r="AI338" s="40"/>
      <c r="AJ338" s="40"/>
      <c r="AK338" s="40"/>
      <c r="AL338" s="40"/>
      <c r="AM338" s="40"/>
      <c r="AN338" s="20"/>
      <c r="AO338" s="20"/>
      <c r="AP338" s="20"/>
      <c r="AQ338" s="20"/>
      <c r="AR338" s="20"/>
      <c r="AS338" s="20"/>
      <c r="AT338" s="20"/>
      <c r="AU338" s="20"/>
      <c r="AV338" s="20"/>
    </row>
    <row r="339" spans="1:48" s="138" customFormat="1" hidden="1" x14ac:dyDescent="0.2">
      <c r="C339" s="752">
        <f>+C150</f>
        <v>0</v>
      </c>
      <c r="D339" s="752"/>
      <c r="E339" s="752"/>
      <c r="F339" s="752"/>
      <c r="G339" s="752"/>
      <c r="H339" s="752"/>
      <c r="I339" s="138" t="s">
        <v>9</v>
      </c>
      <c r="L339" s="138" t="s">
        <v>4</v>
      </c>
      <c r="M339" s="149"/>
      <c r="N339" s="1016">
        <f>+N150</f>
        <v>0</v>
      </c>
      <c r="O339" s="1016"/>
      <c r="P339" s="1016"/>
      <c r="Q339" s="1016"/>
      <c r="R339" s="1016"/>
      <c r="S339" s="1016"/>
      <c r="T339" s="1016"/>
      <c r="U339" s="141" t="s">
        <v>16</v>
      </c>
      <c r="AE339" s="138" t="s">
        <v>4</v>
      </c>
      <c r="AH339" s="1017">
        <f>+U338</f>
        <v>1</v>
      </c>
      <c r="AI339" s="708"/>
      <c r="AJ339" s="708"/>
      <c r="AK339" s="708"/>
      <c r="AM339" s="292" t="s">
        <v>1</v>
      </c>
      <c r="AO339" s="1012">
        <f>+C339*N339*AH339</f>
        <v>0</v>
      </c>
      <c r="AP339" s="1012"/>
      <c r="AQ339" s="1012"/>
      <c r="AR339" s="1013"/>
      <c r="AS339" s="1013"/>
      <c r="AT339" s="1013"/>
      <c r="AU339" s="1013"/>
      <c r="AV339" s="1013"/>
    </row>
    <row r="340" spans="1:48" s="90" customFormat="1" ht="20.25" hidden="1" customHeight="1" x14ac:dyDescent="0.2">
      <c r="C340" s="46" t="str">
        <f>+C151</f>
        <v>Depósito N°..</v>
      </c>
      <c r="I340" s="65"/>
      <c r="J340" s="291"/>
    </row>
    <row r="341" spans="1:48" ht="15.95" hidden="1" customHeight="1" x14ac:dyDescent="0.2">
      <c r="C341" s="45" t="s">
        <v>109</v>
      </c>
      <c r="D341" s="54"/>
      <c r="E341" s="54"/>
      <c r="F341" s="54"/>
      <c r="G341" s="54"/>
      <c r="H341" s="54"/>
      <c r="I341" s="54"/>
      <c r="J341" s="54"/>
      <c r="K341" s="54"/>
      <c r="L341" s="54"/>
      <c r="M341" s="54"/>
      <c r="N341" s="54"/>
      <c r="O341" s="54"/>
      <c r="P341" s="54"/>
      <c r="Q341" s="54"/>
      <c r="R341" s="54"/>
      <c r="S341" s="54"/>
      <c r="T341" s="54"/>
      <c r="U341" s="1019">
        <f>+U152</f>
        <v>1</v>
      </c>
      <c r="V341" s="1019"/>
      <c r="W341" s="1019"/>
      <c r="X341" s="1019"/>
      <c r="Y341" s="54"/>
      <c r="Z341" s="54"/>
      <c r="AA341" s="54"/>
      <c r="AB341" s="54"/>
      <c r="AC341" s="64"/>
      <c r="AD341" s="51"/>
      <c r="AE341" s="51"/>
      <c r="AF341" s="51"/>
      <c r="AG341" s="40"/>
      <c r="AH341" s="40"/>
      <c r="AI341" s="40"/>
      <c r="AJ341" s="40"/>
      <c r="AK341" s="40"/>
      <c r="AL341" s="40"/>
      <c r="AM341" s="40"/>
      <c r="AN341" s="20"/>
      <c r="AO341" s="20"/>
      <c r="AP341" s="20"/>
      <c r="AQ341" s="20"/>
      <c r="AR341" s="20"/>
      <c r="AS341" s="20"/>
      <c r="AT341" s="20"/>
      <c r="AU341" s="20"/>
      <c r="AV341" s="20"/>
    </row>
    <row r="342" spans="1:48" s="138" customFormat="1" hidden="1" x14ac:dyDescent="0.2">
      <c r="C342" s="1007">
        <f>+C153</f>
        <v>0</v>
      </c>
      <c r="D342" s="1007"/>
      <c r="E342" s="1007"/>
      <c r="F342" s="1007"/>
      <c r="G342" s="1007"/>
      <c r="H342" s="1007"/>
      <c r="I342" s="138" t="s">
        <v>9</v>
      </c>
      <c r="L342" s="138" t="s">
        <v>4</v>
      </c>
      <c r="M342" s="149"/>
      <c r="N342" s="1020">
        <f>+N153</f>
        <v>0</v>
      </c>
      <c r="O342" s="1020"/>
      <c r="P342" s="1020"/>
      <c r="Q342" s="1020"/>
      <c r="R342" s="1020"/>
      <c r="S342" s="1020"/>
      <c r="T342" s="1020"/>
      <c r="U342" s="141" t="s">
        <v>16</v>
      </c>
      <c r="V342" s="393"/>
      <c r="AE342" s="138" t="s">
        <v>4</v>
      </c>
      <c r="AH342" s="1021">
        <f>+U341</f>
        <v>1</v>
      </c>
      <c r="AI342" s="1022"/>
      <c r="AJ342" s="1022"/>
      <c r="AK342" s="1022"/>
      <c r="AM342" s="292" t="s">
        <v>1</v>
      </c>
      <c r="AO342" s="1012">
        <f>+C342*N342*AH342</f>
        <v>0</v>
      </c>
      <c r="AP342" s="1012"/>
      <c r="AQ342" s="1012"/>
      <c r="AR342" s="1013"/>
      <c r="AS342" s="1013"/>
      <c r="AT342" s="1013"/>
      <c r="AU342" s="1013"/>
      <c r="AV342" s="1013"/>
    </row>
    <row r="343" spans="1:48" s="71" customFormat="1" ht="13.5" hidden="1" customHeight="1" thickBot="1" x14ac:dyDescent="0.25">
      <c r="C343" s="262" t="s">
        <v>50</v>
      </c>
      <c r="D343" s="263"/>
      <c r="E343" s="263"/>
      <c r="F343" s="263"/>
      <c r="G343" s="264"/>
      <c r="H343" s="397" t="str">
        <f>C333</f>
        <v>VALOR DEL TERRENO</v>
      </c>
      <c r="I343" s="266"/>
      <c r="J343" s="266"/>
      <c r="K343" s="267"/>
      <c r="L343" s="264"/>
      <c r="M343" s="264"/>
      <c r="N343" s="264"/>
      <c r="O343" s="264"/>
      <c r="P343" s="264"/>
      <c r="Q343" s="264"/>
      <c r="R343" s="264"/>
      <c r="S343" s="264"/>
      <c r="T343" s="264"/>
      <c r="U343" s="264"/>
      <c r="V343" s="264"/>
      <c r="W343" s="264"/>
      <c r="X343" s="264"/>
      <c r="Y343" s="264"/>
      <c r="Z343" s="264"/>
      <c r="AA343" s="264"/>
      <c r="AB343" s="264"/>
      <c r="AC343" s="264"/>
      <c r="AD343" s="264"/>
      <c r="AE343" s="264"/>
      <c r="AF343" s="264"/>
      <c r="AG343" s="264"/>
      <c r="AH343" s="264"/>
      <c r="AI343" s="264"/>
      <c r="AJ343" s="264"/>
      <c r="AK343" s="264"/>
      <c r="AL343" s="264"/>
      <c r="AM343" s="268" t="s">
        <v>1</v>
      </c>
      <c r="AN343" s="264"/>
      <c r="AO343" s="1023">
        <f>SUM(AO336:AV342)</f>
        <v>0</v>
      </c>
      <c r="AP343" s="1023"/>
      <c r="AQ343" s="1023"/>
      <c r="AR343" s="1024"/>
      <c r="AS343" s="1024"/>
      <c r="AT343" s="1024"/>
      <c r="AU343" s="1024"/>
      <c r="AV343" s="1024"/>
    </row>
    <row r="344" spans="1:48" s="90" customFormat="1" ht="30" hidden="1" customHeight="1" thickTop="1" x14ac:dyDescent="0.2">
      <c r="A344" s="749">
        <f>A333+1</f>
        <v>2</v>
      </c>
      <c r="B344" s="688"/>
      <c r="C344" s="38" t="s">
        <v>2489</v>
      </c>
      <c r="AO344" s="394"/>
      <c r="AP344" s="394"/>
      <c r="AQ344" s="394"/>
      <c r="AR344" s="394"/>
      <c r="AS344" s="394"/>
      <c r="AT344" s="394"/>
      <c r="AU344" s="394"/>
      <c r="AV344" s="394"/>
    </row>
    <row r="345" spans="1:48" s="90" customFormat="1" ht="17.100000000000001" hidden="1" customHeight="1" x14ac:dyDescent="0.2">
      <c r="A345" s="148"/>
      <c r="B345" s="138"/>
      <c r="C345" s="90" t="s">
        <v>31</v>
      </c>
      <c r="E345" s="344" t="s">
        <v>2490</v>
      </c>
      <c r="AO345" s="394"/>
      <c r="AP345" s="394"/>
      <c r="AQ345" s="394"/>
      <c r="AR345" s="394"/>
      <c r="AS345" s="394"/>
      <c r="AT345" s="394"/>
      <c r="AU345" s="394"/>
      <c r="AV345" s="394"/>
    </row>
    <row r="346" spans="1:48" s="90" customFormat="1" ht="20.25" hidden="1" customHeight="1" x14ac:dyDescent="0.2">
      <c r="C346" s="46" t="str">
        <f>+C156</f>
        <v>Departamento N° ….</v>
      </c>
      <c r="I346" s="65"/>
      <c r="J346" s="291"/>
    </row>
    <row r="347" spans="1:48" s="90" customFormat="1" ht="20.25" hidden="1" customHeight="1" x14ac:dyDescent="0.2">
      <c r="C347" s="46" t="str">
        <f>+C157</f>
        <v>Área techada</v>
      </c>
      <c r="I347" s="65"/>
      <c r="J347" s="291"/>
    </row>
    <row r="348" spans="1:48" s="138" customFormat="1" ht="15" hidden="1" customHeight="1" x14ac:dyDescent="0.2">
      <c r="C348" s="752">
        <f>+C158</f>
        <v>0</v>
      </c>
      <c r="D348" s="752"/>
      <c r="E348" s="752"/>
      <c r="F348" s="752"/>
      <c r="G348" s="752"/>
      <c r="H348" s="752"/>
      <c r="I348" s="138" t="s">
        <v>9</v>
      </c>
      <c r="L348" s="138" t="s">
        <v>4</v>
      </c>
      <c r="M348" s="149"/>
      <c r="N348" s="754">
        <f>+AR96</f>
        <v>0</v>
      </c>
      <c r="O348" s="754"/>
      <c r="P348" s="868"/>
      <c r="Q348" s="755"/>
      <c r="R348" s="755"/>
      <c r="S348" s="755"/>
      <c r="T348" s="141" t="s">
        <v>16</v>
      </c>
      <c r="Y348" s="149" t="s">
        <v>4</v>
      </c>
      <c r="AA348" s="744">
        <f>+AA158</f>
        <v>1</v>
      </c>
      <c r="AB348" s="744"/>
      <c r="AC348" s="743"/>
      <c r="AD348" s="743"/>
      <c r="AG348" s="138" t="s">
        <v>4</v>
      </c>
      <c r="AI348" s="1017">
        <f>+AH336</f>
        <v>1</v>
      </c>
      <c r="AJ348" s="708"/>
      <c r="AK348" s="708"/>
      <c r="AL348" s="708"/>
      <c r="AM348" s="141" t="s">
        <v>1</v>
      </c>
      <c r="AO348" s="1012">
        <f>+C348*N348*AA348*AI348</f>
        <v>0</v>
      </c>
      <c r="AP348" s="1012"/>
      <c r="AQ348" s="1012"/>
      <c r="AR348" s="1013"/>
      <c r="AS348" s="1013"/>
      <c r="AT348" s="1013"/>
      <c r="AU348" s="1013"/>
      <c r="AV348" s="1013"/>
    </row>
    <row r="349" spans="1:48" s="90" customFormat="1" ht="20.25" hidden="1" customHeight="1" x14ac:dyDescent="0.2">
      <c r="C349" s="46" t="str">
        <f>+C159</f>
        <v>Área sin techar</v>
      </c>
      <c r="I349" s="65"/>
      <c r="J349" s="291"/>
    </row>
    <row r="350" spans="1:48" s="138" customFormat="1" ht="15" hidden="1" customHeight="1" x14ac:dyDescent="0.2">
      <c r="C350" s="752">
        <f>+C160</f>
        <v>0</v>
      </c>
      <c r="D350" s="752"/>
      <c r="E350" s="752"/>
      <c r="F350" s="752"/>
      <c r="G350" s="752"/>
      <c r="H350" s="752"/>
      <c r="I350" s="138" t="s">
        <v>9</v>
      </c>
      <c r="L350" s="138" t="s">
        <v>4</v>
      </c>
      <c r="M350" s="149"/>
      <c r="N350" s="754">
        <f>+AR98</f>
        <v>0</v>
      </c>
      <c r="O350" s="754"/>
      <c r="P350" s="868"/>
      <c r="Q350" s="755"/>
      <c r="R350" s="755"/>
      <c r="S350" s="755"/>
      <c r="T350" s="141" t="s">
        <v>16</v>
      </c>
      <c r="Y350" s="149" t="s">
        <v>4</v>
      </c>
      <c r="AA350" s="744">
        <f>+AA348</f>
        <v>1</v>
      </c>
      <c r="AB350" s="744"/>
      <c r="AC350" s="743"/>
      <c r="AD350" s="743"/>
      <c r="AG350" s="138" t="s">
        <v>4</v>
      </c>
      <c r="AI350" s="1017">
        <f>+AI348</f>
        <v>1</v>
      </c>
      <c r="AJ350" s="708"/>
      <c r="AK350" s="708"/>
      <c r="AL350" s="708"/>
      <c r="AM350" s="141" t="s">
        <v>1</v>
      </c>
      <c r="AO350" s="1012">
        <f>+C350*N350*AA350*AI350</f>
        <v>0</v>
      </c>
      <c r="AP350" s="1012"/>
      <c r="AQ350" s="1012"/>
      <c r="AR350" s="1013"/>
      <c r="AS350" s="1013"/>
      <c r="AT350" s="1013"/>
      <c r="AU350" s="1013"/>
      <c r="AV350" s="1013"/>
    </row>
    <row r="351" spans="1:48" s="90" customFormat="1" ht="20.25" hidden="1" customHeight="1" x14ac:dyDescent="0.2">
      <c r="C351" s="46" t="str">
        <f t="shared" ref="C351:C354" si="1">+C161</f>
        <v>Estacionamiento N° …</v>
      </c>
      <c r="I351" s="65"/>
      <c r="J351" s="291"/>
    </row>
    <row r="352" spans="1:48" s="138" customFormat="1" ht="15" hidden="1" customHeight="1" x14ac:dyDescent="0.2">
      <c r="C352" s="752">
        <f t="shared" si="1"/>
        <v>0</v>
      </c>
      <c r="D352" s="752"/>
      <c r="E352" s="752"/>
      <c r="F352" s="752"/>
      <c r="G352" s="752"/>
      <c r="H352" s="752"/>
      <c r="I352" s="138" t="s">
        <v>9</v>
      </c>
      <c r="L352" s="138" t="s">
        <v>4</v>
      </c>
      <c r="M352" s="149"/>
      <c r="N352" s="754">
        <f>+N162</f>
        <v>200</v>
      </c>
      <c r="O352" s="754"/>
      <c r="P352" s="868"/>
      <c r="Q352" s="755"/>
      <c r="R352" s="755"/>
      <c r="S352" s="755"/>
      <c r="T352" s="141" t="s">
        <v>16</v>
      </c>
      <c r="Y352" s="149" t="s">
        <v>4</v>
      </c>
      <c r="AA352" s="744">
        <f>+AA162</f>
        <v>1</v>
      </c>
      <c r="AB352" s="744"/>
      <c r="AC352" s="743"/>
      <c r="AD352" s="743"/>
      <c r="AG352" s="138" t="s">
        <v>4</v>
      </c>
      <c r="AI352" s="1017">
        <f>+AH339</f>
        <v>1</v>
      </c>
      <c r="AJ352" s="708"/>
      <c r="AK352" s="708"/>
      <c r="AL352" s="708"/>
      <c r="AM352" s="141" t="s">
        <v>1</v>
      </c>
      <c r="AO352" s="1012">
        <f>+C352*N352*AA352*AI352</f>
        <v>0</v>
      </c>
      <c r="AP352" s="1012"/>
      <c r="AQ352" s="1012"/>
      <c r="AR352" s="1013"/>
      <c r="AS352" s="1013"/>
      <c r="AT352" s="1013"/>
      <c r="AU352" s="1013"/>
      <c r="AV352" s="1013"/>
    </row>
    <row r="353" spans="1:48" s="90" customFormat="1" ht="20.25" hidden="1" customHeight="1" x14ac:dyDescent="0.2">
      <c r="C353" s="46" t="str">
        <f t="shared" si="1"/>
        <v>Depósito N°..</v>
      </c>
      <c r="I353" s="65"/>
      <c r="J353" s="291"/>
    </row>
    <row r="354" spans="1:48" s="138" customFormat="1" ht="15" hidden="1" customHeight="1" x14ac:dyDescent="0.2">
      <c r="C354" s="752">
        <f t="shared" si="1"/>
        <v>0</v>
      </c>
      <c r="D354" s="752"/>
      <c r="E354" s="752"/>
      <c r="F354" s="752"/>
      <c r="G354" s="752"/>
      <c r="H354" s="752"/>
      <c r="I354" s="138" t="s">
        <v>9</v>
      </c>
      <c r="L354" s="138" t="s">
        <v>4</v>
      </c>
      <c r="M354" s="149"/>
      <c r="N354" s="754">
        <f>+N164</f>
        <v>200</v>
      </c>
      <c r="O354" s="754"/>
      <c r="P354" s="868"/>
      <c r="Q354" s="755"/>
      <c r="R354" s="755"/>
      <c r="S354" s="755"/>
      <c r="T354" s="141" t="s">
        <v>16</v>
      </c>
      <c r="Y354" s="149" t="s">
        <v>4</v>
      </c>
      <c r="AA354" s="744">
        <f>+AA164</f>
        <v>1</v>
      </c>
      <c r="AB354" s="744"/>
      <c r="AC354" s="743"/>
      <c r="AD354" s="743"/>
      <c r="AG354" s="138" t="s">
        <v>4</v>
      </c>
      <c r="AI354" s="1017">
        <f>+AH342</f>
        <v>1</v>
      </c>
      <c r="AJ354" s="708"/>
      <c r="AK354" s="708"/>
      <c r="AL354" s="708"/>
      <c r="AM354" s="141" t="s">
        <v>1</v>
      </c>
      <c r="AO354" s="1012">
        <f>+C354*N354*AA354*AI354</f>
        <v>0</v>
      </c>
      <c r="AP354" s="1012"/>
      <c r="AQ354" s="1012"/>
      <c r="AR354" s="1013"/>
      <c r="AS354" s="1013"/>
      <c r="AT354" s="1013"/>
      <c r="AU354" s="1013"/>
      <c r="AV354" s="1013"/>
    </row>
    <row r="355" spans="1:48" s="90" customFormat="1" ht="17.100000000000001" hidden="1" customHeight="1" x14ac:dyDescent="0.2">
      <c r="A355" s="148"/>
      <c r="B355" s="138"/>
      <c r="C355" s="90" t="s">
        <v>32</v>
      </c>
      <c r="E355" s="344" t="s">
        <v>2424</v>
      </c>
      <c r="AO355" s="394"/>
      <c r="AP355" s="394"/>
      <c r="AQ355" s="394"/>
      <c r="AR355" s="394"/>
      <c r="AS355" s="394"/>
      <c r="AT355" s="394"/>
      <c r="AU355" s="394"/>
      <c r="AV355" s="394"/>
    </row>
    <row r="356" spans="1:48" s="138" customFormat="1" ht="15" hidden="1" customHeight="1" x14ac:dyDescent="0.2">
      <c r="C356" s="752">
        <f>+C348</f>
        <v>0</v>
      </c>
      <c r="D356" s="752"/>
      <c r="E356" s="752"/>
      <c r="F356" s="752"/>
      <c r="G356" s="752"/>
      <c r="H356" s="752"/>
      <c r="I356" s="138" t="s">
        <v>9</v>
      </c>
      <c r="L356" s="138" t="s">
        <v>4</v>
      </c>
      <c r="M356" s="149"/>
      <c r="N356" s="754">
        <f>+AM96-AR96</f>
        <v>0</v>
      </c>
      <c r="O356" s="754"/>
      <c r="P356" s="868"/>
      <c r="Q356" s="755"/>
      <c r="R356" s="755"/>
      <c r="S356" s="755"/>
      <c r="T356" s="141" t="s">
        <v>16</v>
      </c>
      <c r="Y356" s="149" t="s">
        <v>4</v>
      </c>
      <c r="AA356" s="744">
        <f>+AA348</f>
        <v>1</v>
      </c>
      <c r="AB356" s="744"/>
      <c r="AC356" s="743"/>
      <c r="AD356" s="743"/>
      <c r="AG356" s="138" t="s">
        <v>4</v>
      </c>
      <c r="AI356" s="1021">
        <f>+AI348</f>
        <v>1</v>
      </c>
      <c r="AJ356" s="1022"/>
      <c r="AK356" s="1022"/>
      <c r="AL356" s="1022"/>
      <c r="AM356" s="141" t="s">
        <v>1</v>
      </c>
      <c r="AO356" s="1012">
        <f>+C356*N356*AA356*AI356</f>
        <v>0</v>
      </c>
      <c r="AP356" s="1012"/>
      <c r="AQ356" s="1012"/>
      <c r="AR356" s="1013"/>
      <c r="AS356" s="1013"/>
      <c r="AT356" s="1013"/>
      <c r="AU356" s="1013"/>
      <c r="AV356" s="1013"/>
    </row>
    <row r="357" spans="1:48" s="137" customFormat="1" ht="13.5" hidden="1" customHeight="1" thickBot="1" x14ac:dyDescent="0.25">
      <c r="C357" s="398" t="str">
        <f>+C344</f>
        <v>VALOR COMERCIAL UNITARIO DE EDIFICACION</v>
      </c>
      <c r="D357" s="300"/>
      <c r="E357" s="300"/>
      <c r="F357" s="300"/>
      <c r="G357" s="301"/>
      <c r="H357" s="302"/>
      <c r="I357" s="303"/>
      <c r="J357" s="304"/>
      <c r="K357" s="305"/>
      <c r="L357" s="301"/>
      <c r="M357" s="301"/>
      <c r="N357" s="301"/>
      <c r="O357" s="301"/>
      <c r="P357" s="301"/>
      <c r="Q357" s="301"/>
      <c r="R357" s="301"/>
      <c r="S357" s="301"/>
      <c r="T357" s="301"/>
      <c r="U357" s="301"/>
      <c r="V357" s="301"/>
      <c r="W357" s="301"/>
      <c r="X357" s="301"/>
      <c r="Y357" s="301"/>
      <c r="Z357" s="301"/>
      <c r="AA357" s="301"/>
      <c r="AB357" s="301"/>
      <c r="AC357" s="301"/>
      <c r="AD357" s="301"/>
      <c r="AE357" s="301"/>
      <c r="AF357" s="301"/>
      <c r="AG357" s="301"/>
      <c r="AH357" s="301"/>
      <c r="AI357" s="301"/>
      <c r="AJ357" s="301"/>
      <c r="AK357" s="301"/>
      <c r="AL357" s="301"/>
      <c r="AM357" s="306" t="s">
        <v>1</v>
      </c>
      <c r="AN357" s="301"/>
      <c r="AO357" s="1023">
        <f>SUM(AO348:AV356)</f>
        <v>0</v>
      </c>
      <c r="AP357" s="1023"/>
      <c r="AQ357" s="1023"/>
      <c r="AR357" s="1024"/>
      <c r="AS357" s="1024"/>
      <c r="AT357" s="1024"/>
      <c r="AU357" s="1024"/>
      <c r="AV357" s="1024"/>
    </row>
    <row r="358" spans="1:48" s="138" customFormat="1" ht="30" hidden="1" customHeight="1" thickTop="1" x14ac:dyDescent="0.2">
      <c r="A358" s="749">
        <f>1+A344</f>
        <v>3</v>
      </c>
      <c r="B358" s="750"/>
      <c r="C358" s="395" t="s">
        <v>2333</v>
      </c>
      <c r="D358" s="90"/>
      <c r="E358" s="90"/>
      <c r="F358" s="90"/>
      <c r="H358" s="149"/>
      <c r="I358" s="290"/>
      <c r="J358" s="291"/>
      <c r="K358" s="141"/>
      <c r="AM358" s="292"/>
      <c r="AO358" s="396"/>
      <c r="AP358" s="396"/>
      <c r="AQ358" s="396"/>
      <c r="AR358" s="394"/>
      <c r="AS358" s="394"/>
      <c r="AT358" s="394"/>
      <c r="AU358" s="394"/>
      <c r="AV358" s="394"/>
    </row>
    <row r="359" spans="1:48" s="90" customFormat="1" ht="20.25" hidden="1" customHeight="1" x14ac:dyDescent="0.2">
      <c r="C359" s="46" t="str">
        <f>+C346</f>
        <v>Departamento N° ….</v>
      </c>
      <c r="I359" s="65"/>
      <c r="J359" s="291"/>
    </row>
    <row r="360" spans="1:48" s="137" customFormat="1" ht="13.5" hidden="1" customHeight="1" x14ac:dyDescent="0.2">
      <c r="C360" s="751">
        <v>0.15</v>
      </c>
      <c r="D360" s="751"/>
      <c r="E360" s="743"/>
      <c r="F360" s="743"/>
      <c r="G360" s="743"/>
      <c r="H360" s="743"/>
      <c r="I360" s="743"/>
      <c r="J360" s="298"/>
      <c r="K360" s="299"/>
      <c r="L360" s="137" t="s">
        <v>2334</v>
      </c>
      <c r="N360" s="1016">
        <f>+AO348+AO350+AO356</f>
        <v>0</v>
      </c>
      <c r="O360" s="1016"/>
      <c r="P360" s="1016"/>
      <c r="Q360" s="1016"/>
      <c r="R360" s="1016"/>
      <c r="S360" s="1016"/>
      <c r="T360" s="1016"/>
      <c r="U360" s="1016"/>
      <c r="AM360" s="141" t="s">
        <v>1</v>
      </c>
      <c r="AN360" s="138"/>
      <c r="AO360" s="1012">
        <f>+C360*N360</f>
        <v>0</v>
      </c>
      <c r="AP360" s="1012"/>
      <c r="AQ360" s="1012"/>
      <c r="AR360" s="1013"/>
      <c r="AS360" s="1013"/>
      <c r="AT360" s="1013"/>
      <c r="AU360" s="1013"/>
      <c r="AV360" s="1013"/>
    </row>
    <row r="361" spans="1:48" s="90" customFormat="1" ht="20.25" hidden="1" customHeight="1" x14ac:dyDescent="0.2">
      <c r="C361" s="46" t="str">
        <f>+C351</f>
        <v>Estacionamiento N° …</v>
      </c>
      <c r="I361" s="65"/>
      <c r="J361" s="291"/>
    </row>
    <row r="362" spans="1:48" s="137" customFormat="1" ht="13.5" hidden="1" customHeight="1" x14ac:dyDescent="0.2">
      <c r="C362" s="751">
        <v>0.15</v>
      </c>
      <c r="D362" s="751"/>
      <c r="E362" s="743"/>
      <c r="F362" s="743"/>
      <c r="G362" s="743"/>
      <c r="H362" s="743"/>
      <c r="I362" s="743"/>
      <c r="J362" s="298"/>
      <c r="K362" s="299"/>
      <c r="L362" s="137" t="s">
        <v>2334</v>
      </c>
      <c r="N362" s="1016">
        <f>+AO352</f>
        <v>0</v>
      </c>
      <c r="O362" s="1016"/>
      <c r="P362" s="1016"/>
      <c r="Q362" s="1016"/>
      <c r="R362" s="1016"/>
      <c r="S362" s="1016"/>
      <c r="T362" s="1016"/>
      <c r="U362" s="1016"/>
      <c r="AM362" s="141" t="s">
        <v>1</v>
      </c>
      <c r="AN362" s="138"/>
      <c r="AO362" s="1012">
        <f>+C362*N362</f>
        <v>0</v>
      </c>
      <c r="AP362" s="1012"/>
      <c r="AQ362" s="1012"/>
      <c r="AR362" s="1013"/>
      <c r="AS362" s="1013"/>
      <c r="AT362" s="1013"/>
      <c r="AU362" s="1013"/>
      <c r="AV362" s="1013"/>
    </row>
    <row r="363" spans="1:48" s="90" customFormat="1" ht="20.25" hidden="1" customHeight="1" x14ac:dyDescent="0.2">
      <c r="C363" s="46" t="str">
        <f>+C353</f>
        <v>Depósito N°..</v>
      </c>
      <c r="I363" s="65"/>
      <c r="J363" s="291"/>
    </row>
    <row r="364" spans="1:48" s="137" customFormat="1" ht="13.5" hidden="1" customHeight="1" x14ac:dyDescent="0.2">
      <c r="C364" s="751">
        <v>0.15</v>
      </c>
      <c r="D364" s="751"/>
      <c r="E364" s="743"/>
      <c r="F364" s="743"/>
      <c r="G364" s="743"/>
      <c r="H364" s="743"/>
      <c r="I364" s="743"/>
      <c r="J364" s="298"/>
      <c r="K364" s="299"/>
      <c r="L364" s="137" t="s">
        <v>2334</v>
      </c>
      <c r="N364" s="1016">
        <f>+AO354</f>
        <v>0</v>
      </c>
      <c r="O364" s="1016"/>
      <c r="P364" s="1016"/>
      <c r="Q364" s="1016"/>
      <c r="R364" s="1016"/>
      <c r="S364" s="1016"/>
      <c r="T364" s="1016"/>
      <c r="U364" s="1016"/>
      <c r="AM364" s="141" t="s">
        <v>1</v>
      </c>
      <c r="AN364" s="138"/>
      <c r="AO364" s="1012">
        <f>+C364*N364</f>
        <v>0</v>
      </c>
      <c r="AP364" s="1012"/>
      <c r="AQ364" s="1012"/>
      <c r="AR364" s="1013"/>
      <c r="AS364" s="1013"/>
      <c r="AT364" s="1013"/>
      <c r="AU364" s="1013"/>
      <c r="AV364" s="1013"/>
    </row>
    <row r="365" spans="1:48" s="137" customFormat="1" ht="13.5" hidden="1" customHeight="1" thickBot="1" x14ac:dyDescent="0.25">
      <c r="C365" s="398" t="str">
        <f>+C358</f>
        <v>VALOR DE LAS ÁREAS COMUNES</v>
      </c>
      <c r="D365" s="300"/>
      <c r="E365" s="300"/>
      <c r="F365" s="300"/>
      <c r="G365" s="301"/>
      <c r="H365" s="302"/>
      <c r="I365" s="303"/>
      <c r="J365" s="304"/>
      <c r="K365" s="305"/>
      <c r="L365" s="301"/>
      <c r="M365" s="301"/>
      <c r="N365" s="301"/>
      <c r="O365" s="301"/>
      <c r="P365" s="301"/>
      <c r="Q365" s="301"/>
      <c r="R365" s="301"/>
      <c r="S365" s="301"/>
      <c r="T365" s="301"/>
      <c r="U365" s="301"/>
      <c r="V365" s="301"/>
      <c r="W365" s="301"/>
      <c r="X365" s="301"/>
      <c r="Y365" s="301"/>
      <c r="Z365" s="301"/>
      <c r="AA365" s="301"/>
      <c r="AB365" s="301"/>
      <c r="AC365" s="301"/>
      <c r="AD365" s="301"/>
      <c r="AE365" s="301"/>
      <c r="AF365" s="301"/>
      <c r="AG365" s="301"/>
      <c r="AH365" s="301"/>
      <c r="AI365" s="301"/>
      <c r="AJ365" s="301"/>
      <c r="AK365" s="301"/>
      <c r="AL365" s="301"/>
      <c r="AM365" s="306" t="s">
        <v>1</v>
      </c>
      <c r="AN365" s="301"/>
      <c r="AO365" s="1023">
        <f>SUM(AO360:AV364)</f>
        <v>0</v>
      </c>
      <c r="AP365" s="1023"/>
      <c r="AQ365" s="1023"/>
      <c r="AR365" s="1024"/>
      <c r="AS365" s="1024"/>
      <c r="AT365" s="1024"/>
      <c r="AU365" s="1024"/>
      <c r="AV365" s="1024"/>
    </row>
    <row r="366" spans="1:48" s="90" customFormat="1" ht="30" hidden="1" customHeight="1" thickTop="1" x14ac:dyDescent="0.2">
      <c r="A366" s="749">
        <f>1+A358</f>
        <v>4</v>
      </c>
      <c r="B366" s="750"/>
      <c r="C366" s="52" t="s">
        <v>2471</v>
      </c>
      <c r="AO366" s="394"/>
      <c r="AP366" s="394"/>
      <c r="AQ366" s="394"/>
      <c r="AR366" s="394"/>
      <c r="AS366" s="394"/>
      <c r="AT366" s="394"/>
      <c r="AU366" s="394"/>
      <c r="AV366" s="394"/>
    </row>
    <row r="367" spans="1:48" s="90" customFormat="1" ht="7.5" hidden="1" customHeight="1" x14ac:dyDescent="0.2">
      <c r="A367" s="43"/>
      <c r="B367" s="138"/>
      <c r="C367" s="38"/>
      <c r="AO367" s="394"/>
      <c r="AP367" s="394"/>
      <c r="AQ367" s="394"/>
      <c r="AR367" s="394"/>
      <c r="AS367" s="394"/>
      <c r="AT367" s="394"/>
      <c r="AU367" s="394"/>
      <c r="AV367" s="394"/>
    </row>
    <row r="368" spans="1:48" s="137" customFormat="1" hidden="1" x14ac:dyDescent="0.2">
      <c r="A368" s="90"/>
      <c r="B368" s="90"/>
      <c r="C368" s="354" t="str">
        <f>+C359</f>
        <v>Departamento N° ….</v>
      </c>
      <c r="D368" s="90"/>
      <c r="E368" s="90"/>
      <c r="F368" s="90"/>
      <c r="G368" s="90"/>
      <c r="H368" s="90"/>
      <c r="I368" s="90"/>
      <c r="J368" s="90"/>
      <c r="K368" s="90"/>
      <c r="L368" s="90"/>
      <c r="M368" s="90"/>
      <c r="N368" s="90"/>
      <c r="O368" s="90"/>
      <c r="P368" s="346"/>
      <c r="Q368" s="90"/>
      <c r="R368" s="90"/>
      <c r="S368" s="90"/>
      <c r="T368" s="90"/>
      <c r="U368" s="90"/>
      <c r="V368" s="90"/>
      <c r="W368" s="90"/>
      <c r="X368" s="90"/>
      <c r="Y368" s="90"/>
      <c r="Z368" s="90"/>
      <c r="AA368" s="90"/>
      <c r="AB368" s="90"/>
      <c r="AC368" s="90"/>
      <c r="AD368" s="90"/>
      <c r="AE368" s="90"/>
      <c r="AF368" s="90"/>
      <c r="AG368" s="90"/>
      <c r="AH368" s="90"/>
      <c r="AI368" s="90"/>
      <c r="AJ368" s="90"/>
      <c r="AK368" s="90"/>
      <c r="AL368" s="90"/>
      <c r="AM368" s="90"/>
      <c r="AN368" s="90"/>
      <c r="AO368" s="90"/>
      <c r="AP368" s="90"/>
      <c r="AQ368" s="90"/>
      <c r="AR368" s="90"/>
      <c r="AS368" s="90"/>
      <c r="AT368" s="90"/>
      <c r="AU368" s="90"/>
      <c r="AV368" s="90"/>
    </row>
    <row r="369" spans="1:48" s="137" customFormat="1" ht="27" hidden="1" customHeight="1" x14ac:dyDescent="0.2">
      <c r="A369" s="347"/>
      <c r="B369" s="347"/>
      <c r="C369" s="783" t="s">
        <v>87</v>
      </c>
      <c r="D369" s="784"/>
      <c r="E369" s="784"/>
      <c r="F369" s="784"/>
      <c r="G369" s="784"/>
      <c r="H369" s="784"/>
      <c r="I369" s="784"/>
      <c r="J369" s="784"/>
      <c r="K369" s="784"/>
      <c r="L369" s="784"/>
      <c r="M369" s="784"/>
      <c r="N369" s="784"/>
      <c r="O369" s="784"/>
      <c r="P369" s="784"/>
      <c r="Q369" s="784"/>
      <c r="R369" s="784"/>
      <c r="S369" s="784"/>
      <c r="T369" s="784"/>
      <c r="U369" s="857" t="s">
        <v>2472</v>
      </c>
      <c r="V369" s="784"/>
      <c r="W369" s="784"/>
      <c r="X369" s="784"/>
      <c r="Y369" s="784"/>
      <c r="Z369" s="785"/>
      <c r="AA369" s="858" t="s">
        <v>2473</v>
      </c>
      <c r="AB369" s="784"/>
      <c r="AC369" s="784"/>
      <c r="AD369" s="784"/>
      <c r="AE369" s="784"/>
      <c r="AF369" s="783" t="s">
        <v>2477</v>
      </c>
      <c r="AG369" s="784"/>
      <c r="AH369" s="784"/>
      <c r="AI369" s="784"/>
      <c r="AJ369" s="785"/>
      <c r="AK369" s="857" t="s">
        <v>2478</v>
      </c>
      <c r="AL369" s="784"/>
      <c r="AM369" s="784"/>
      <c r="AN369" s="784"/>
      <c r="AO369" s="785"/>
      <c r="AP369" s="783" t="s">
        <v>2474</v>
      </c>
      <c r="AQ369" s="784"/>
      <c r="AR369" s="784"/>
      <c r="AS369" s="784"/>
      <c r="AT369" s="784"/>
      <c r="AU369" s="785"/>
    </row>
    <row r="370" spans="1:48" s="137" customFormat="1" ht="12" hidden="1" customHeight="1" x14ac:dyDescent="0.2">
      <c r="A370" s="348"/>
      <c r="B370" s="348"/>
      <c r="C370" s="912">
        <f>+C178</f>
        <v>0</v>
      </c>
      <c r="D370" s="913"/>
      <c r="E370" s="913"/>
      <c r="F370" s="913"/>
      <c r="G370" s="913"/>
      <c r="H370" s="913"/>
      <c r="I370" s="913"/>
      <c r="J370" s="913"/>
      <c r="K370" s="913"/>
      <c r="L370" s="913"/>
      <c r="M370" s="913"/>
      <c r="N370" s="913"/>
      <c r="O370" s="913"/>
      <c r="P370" s="913"/>
      <c r="Q370" s="913"/>
      <c r="R370" s="913"/>
      <c r="S370" s="913"/>
      <c r="T370" s="914"/>
      <c r="U370" s="984">
        <f>+U178</f>
        <v>0</v>
      </c>
      <c r="V370" s="916"/>
      <c r="W370" s="916"/>
      <c r="X370" s="916"/>
      <c r="Y370" s="916" t="s">
        <v>2483</v>
      </c>
      <c r="Z370" s="917"/>
      <c r="AA370" s="983">
        <f>+AA178</f>
        <v>0</v>
      </c>
      <c r="AB370" s="983"/>
      <c r="AC370" s="983"/>
      <c r="AD370" s="983"/>
      <c r="AE370" s="983"/>
      <c r="AF370" s="915">
        <f>+AF178</f>
        <v>1</v>
      </c>
      <c r="AG370" s="916"/>
      <c r="AH370" s="916"/>
      <c r="AI370" s="916"/>
      <c r="AJ370" s="917"/>
      <c r="AK370" s="915">
        <f>+AH336</f>
        <v>1</v>
      </c>
      <c r="AL370" s="916"/>
      <c r="AM370" s="916"/>
      <c r="AN370" s="916"/>
      <c r="AO370" s="917"/>
      <c r="AP370" s="918">
        <f>+U370*AA370*AF370*AK370</f>
        <v>0</v>
      </c>
      <c r="AQ370" s="919"/>
      <c r="AR370" s="919"/>
      <c r="AS370" s="919"/>
      <c r="AT370" s="919"/>
      <c r="AU370" s="920"/>
    </row>
    <row r="371" spans="1:48" s="137" customFormat="1" ht="12" hidden="1" customHeight="1" x14ac:dyDescent="0.2">
      <c r="A371" s="348"/>
      <c r="B371" s="348"/>
      <c r="C371" s="912">
        <f>+C179</f>
        <v>0</v>
      </c>
      <c r="D371" s="913"/>
      <c r="E371" s="913"/>
      <c r="F371" s="913"/>
      <c r="G371" s="913"/>
      <c r="H371" s="913"/>
      <c r="I371" s="913"/>
      <c r="J371" s="913"/>
      <c r="K371" s="913"/>
      <c r="L371" s="913"/>
      <c r="M371" s="913"/>
      <c r="N371" s="913"/>
      <c r="O371" s="913"/>
      <c r="P371" s="913"/>
      <c r="Q371" s="913"/>
      <c r="R371" s="913"/>
      <c r="S371" s="913"/>
      <c r="T371" s="914"/>
      <c r="U371" s="984">
        <f>+U179</f>
        <v>0</v>
      </c>
      <c r="V371" s="916"/>
      <c r="W371" s="916"/>
      <c r="X371" s="916"/>
      <c r="Y371" s="916" t="s">
        <v>2479</v>
      </c>
      <c r="Z371" s="917"/>
      <c r="AA371" s="983">
        <f>+AA179</f>
        <v>0</v>
      </c>
      <c r="AB371" s="983"/>
      <c r="AC371" s="983"/>
      <c r="AD371" s="983"/>
      <c r="AE371" s="983"/>
      <c r="AF371" s="915">
        <f>+AF179</f>
        <v>1</v>
      </c>
      <c r="AG371" s="916"/>
      <c r="AH371" s="916"/>
      <c r="AI371" s="916"/>
      <c r="AJ371" s="917"/>
      <c r="AK371" s="915">
        <f>+AK370</f>
        <v>1</v>
      </c>
      <c r="AL371" s="916"/>
      <c r="AM371" s="916"/>
      <c r="AN371" s="916"/>
      <c r="AO371" s="917"/>
      <c r="AP371" s="918">
        <f>+U371*AA371*AF371*AK371</f>
        <v>0</v>
      </c>
      <c r="AQ371" s="919"/>
      <c r="AR371" s="919"/>
      <c r="AS371" s="919"/>
      <c r="AT371" s="919"/>
      <c r="AU371" s="920"/>
    </row>
    <row r="372" spans="1:48" s="137" customFormat="1" hidden="1" x14ac:dyDescent="0.2">
      <c r="A372" s="72"/>
      <c r="B372" s="72"/>
      <c r="C372" s="360" t="s">
        <v>2480</v>
      </c>
      <c r="D372" s="361"/>
      <c r="E372" s="361"/>
      <c r="F372" s="361"/>
      <c r="G372" s="361"/>
      <c r="H372" s="361"/>
      <c r="I372" s="361"/>
      <c r="J372" s="361"/>
      <c r="K372" s="361"/>
      <c r="L372" s="361"/>
      <c r="M372" s="361"/>
      <c r="N372" s="361"/>
      <c r="O372" s="361"/>
      <c r="P372" s="361"/>
      <c r="Q372" s="361"/>
      <c r="R372" s="361"/>
      <c r="S372" s="361"/>
      <c r="T372" s="361"/>
      <c r="U372" s="362"/>
      <c r="V372" s="362"/>
      <c r="W372" s="362"/>
      <c r="X372" s="362"/>
      <c r="Y372" s="362"/>
      <c r="Z372" s="362"/>
      <c r="AA372" s="362"/>
      <c r="AB372" s="362"/>
      <c r="AC372" s="362"/>
      <c r="AD372" s="362"/>
      <c r="AE372" s="362"/>
      <c r="AF372" s="362"/>
      <c r="AG372" s="362"/>
      <c r="AH372" s="362"/>
      <c r="AI372" s="362"/>
      <c r="AJ372" s="362"/>
      <c r="AK372" s="362"/>
      <c r="AL372" s="362"/>
      <c r="AM372" s="362"/>
      <c r="AN372" s="362"/>
      <c r="AO372" s="362"/>
      <c r="AP372" s="757">
        <f>+SUM(AP370:AU371)</f>
        <v>0</v>
      </c>
      <c r="AQ372" s="758"/>
      <c r="AR372" s="758"/>
      <c r="AS372" s="758"/>
      <c r="AT372" s="758"/>
      <c r="AU372" s="759"/>
    </row>
    <row r="373" spans="1:48" s="137" customFormat="1" hidden="1" x14ac:dyDescent="0.2">
      <c r="A373" s="72"/>
      <c r="B373" s="72"/>
      <c r="C373" s="360" t="s">
        <v>2476</v>
      </c>
      <c r="D373" s="361"/>
      <c r="E373" s="361"/>
      <c r="F373" s="361"/>
      <c r="G373" s="361"/>
      <c r="H373" s="361"/>
      <c r="I373" s="361"/>
      <c r="J373" s="361"/>
      <c r="K373" s="361"/>
      <c r="L373" s="361"/>
      <c r="M373" s="361"/>
      <c r="N373" s="361"/>
      <c r="O373" s="361"/>
      <c r="P373" s="361"/>
      <c r="Q373" s="361"/>
      <c r="R373" s="361"/>
      <c r="S373" s="361"/>
      <c r="T373" s="361"/>
      <c r="U373" s="362"/>
      <c r="V373" s="362"/>
      <c r="W373" s="362"/>
      <c r="X373" s="362"/>
      <c r="Y373" s="362"/>
      <c r="Z373" s="362"/>
      <c r="AA373" s="362"/>
      <c r="AB373" s="362"/>
      <c r="AC373" s="362"/>
      <c r="AD373" s="362"/>
      <c r="AE373" s="362"/>
      <c r="AF373" s="362"/>
      <c r="AG373" s="362"/>
      <c r="AH373" s="362"/>
      <c r="AI373" s="362"/>
      <c r="AJ373" s="362"/>
      <c r="AK373" s="362"/>
      <c r="AL373" s="362"/>
      <c r="AM373" s="362"/>
      <c r="AN373" s="362"/>
      <c r="AO373" s="362"/>
      <c r="AP373" s="760">
        <f>+AF226</f>
        <v>0</v>
      </c>
      <c r="AQ373" s="761"/>
      <c r="AR373" s="761"/>
      <c r="AS373" s="761"/>
      <c r="AT373" s="761"/>
      <c r="AU373" s="762"/>
    </row>
    <row r="374" spans="1:48" s="137" customFormat="1" ht="15" hidden="1" customHeight="1" thickBot="1" x14ac:dyDescent="0.25">
      <c r="C374" s="363" t="str">
        <f>+C366</f>
        <v>VALOR DE LAS OBRAS COMPLEMENTARIAS</v>
      </c>
      <c r="D374" s="300"/>
      <c r="E374" s="300"/>
      <c r="F374" s="300"/>
      <c r="G374" s="301"/>
      <c r="H374" s="364"/>
      <c r="I374" s="303"/>
      <c r="J374" s="304"/>
      <c r="K374" s="305"/>
      <c r="L374" s="301"/>
      <c r="M374" s="301"/>
      <c r="N374" s="301"/>
      <c r="O374" s="301"/>
      <c r="P374" s="301"/>
      <c r="Q374" s="301"/>
      <c r="R374" s="301"/>
      <c r="S374" s="365"/>
      <c r="T374" s="301"/>
      <c r="U374" s="301"/>
      <c r="V374" s="366"/>
      <c r="W374" s="367"/>
      <c r="X374" s="364"/>
      <c r="Y374" s="368"/>
      <c r="Z374" s="399" t="str">
        <f>UPPER(C368)</f>
        <v>DEPARTAMENTO N° ….</v>
      </c>
      <c r="AA374" s="369"/>
      <c r="AB374" s="369"/>
      <c r="AC374" s="366"/>
      <c r="AD374" s="301"/>
      <c r="AE374" s="301"/>
      <c r="AF374" s="301"/>
      <c r="AG374" s="301"/>
      <c r="AH374" s="301"/>
      <c r="AI374" s="301"/>
      <c r="AJ374" s="301"/>
      <c r="AK374" s="301"/>
      <c r="AL374" s="301"/>
      <c r="AM374" s="306"/>
      <c r="AN374" s="301"/>
      <c r="AO374" s="323"/>
      <c r="AP374" s="323"/>
      <c r="AQ374" s="985">
        <f>+AP372*AP373</f>
        <v>0</v>
      </c>
      <c r="AR374" s="986"/>
      <c r="AS374" s="986"/>
      <c r="AT374" s="986"/>
      <c r="AU374" s="986"/>
      <c r="AV374" s="986"/>
    </row>
    <row r="375" spans="1:48" s="137" customFormat="1" ht="13.5" hidden="1" thickTop="1" x14ac:dyDescent="0.2">
      <c r="A375" s="90"/>
      <c r="B375" s="90"/>
      <c r="C375" s="354" t="str">
        <f>+C361</f>
        <v>Estacionamiento N° …</v>
      </c>
      <c r="D375" s="90"/>
      <c r="E375" s="90"/>
      <c r="F375" s="90"/>
      <c r="G375" s="90"/>
      <c r="H375" s="90"/>
      <c r="I375" s="90"/>
      <c r="J375" s="90"/>
      <c r="K375" s="90"/>
      <c r="L375" s="90"/>
      <c r="M375" s="90"/>
      <c r="N375" s="90"/>
      <c r="O375" s="90"/>
      <c r="P375" s="346"/>
      <c r="Q375" s="90"/>
      <c r="R375" s="90"/>
      <c r="S375" s="90"/>
      <c r="T375" s="90"/>
      <c r="U375" s="90"/>
      <c r="V375" s="90"/>
      <c r="W375" s="90"/>
      <c r="X375" s="90"/>
      <c r="Y375" s="90"/>
      <c r="Z375" s="90"/>
      <c r="AA375" s="90"/>
      <c r="AB375" s="90"/>
      <c r="AC375" s="90"/>
      <c r="AD375" s="90"/>
      <c r="AE375" s="90"/>
      <c r="AF375" s="90"/>
      <c r="AG375" s="90"/>
      <c r="AH375" s="90"/>
      <c r="AI375" s="90"/>
      <c r="AJ375" s="90"/>
      <c r="AK375" s="90"/>
      <c r="AL375" s="90"/>
      <c r="AM375" s="90"/>
      <c r="AN375" s="90"/>
      <c r="AO375" s="90"/>
      <c r="AP375" s="90"/>
      <c r="AQ375" s="90"/>
      <c r="AR375" s="90"/>
      <c r="AS375" s="90"/>
      <c r="AT375" s="90"/>
      <c r="AU375" s="90"/>
      <c r="AV375" s="90"/>
    </row>
    <row r="376" spans="1:48" s="137" customFormat="1" ht="12" hidden="1" customHeight="1" x14ac:dyDescent="0.2">
      <c r="A376" s="348"/>
      <c r="B376" s="348"/>
      <c r="C376" s="912">
        <f>+C370</f>
        <v>0</v>
      </c>
      <c r="D376" s="913"/>
      <c r="E376" s="913"/>
      <c r="F376" s="913"/>
      <c r="G376" s="913"/>
      <c r="H376" s="913"/>
      <c r="I376" s="913"/>
      <c r="J376" s="913"/>
      <c r="K376" s="913"/>
      <c r="L376" s="913"/>
      <c r="M376" s="913"/>
      <c r="N376" s="913"/>
      <c r="O376" s="913"/>
      <c r="P376" s="913"/>
      <c r="Q376" s="913"/>
      <c r="R376" s="913"/>
      <c r="S376" s="913"/>
      <c r="T376" s="914"/>
      <c r="U376" s="984">
        <f>+U370</f>
        <v>0</v>
      </c>
      <c r="V376" s="916"/>
      <c r="W376" s="916"/>
      <c r="X376" s="916"/>
      <c r="Y376" s="916" t="str">
        <f>+Y370</f>
        <v>Und</v>
      </c>
      <c r="Z376" s="917"/>
      <c r="AA376" s="983">
        <f>+AA370</f>
        <v>0</v>
      </c>
      <c r="AB376" s="983"/>
      <c r="AC376" s="983"/>
      <c r="AD376" s="983"/>
      <c r="AE376" s="983"/>
      <c r="AF376" s="915">
        <f>+AF370</f>
        <v>1</v>
      </c>
      <c r="AG376" s="916"/>
      <c r="AH376" s="916"/>
      <c r="AI376" s="916"/>
      <c r="AJ376" s="917"/>
      <c r="AK376" s="915">
        <f>+AH339</f>
        <v>1</v>
      </c>
      <c r="AL376" s="916"/>
      <c r="AM376" s="916"/>
      <c r="AN376" s="916"/>
      <c r="AO376" s="917"/>
      <c r="AP376" s="918">
        <f>+U376*AA376*AF376*AK376</f>
        <v>0</v>
      </c>
      <c r="AQ376" s="919"/>
      <c r="AR376" s="919"/>
      <c r="AS376" s="919"/>
      <c r="AT376" s="919"/>
      <c r="AU376" s="920"/>
    </row>
    <row r="377" spans="1:48" s="137" customFormat="1" ht="12" hidden="1" customHeight="1" x14ac:dyDescent="0.2">
      <c r="A377" s="348"/>
      <c r="B377" s="348"/>
      <c r="C377" s="912">
        <f>+C371</f>
        <v>0</v>
      </c>
      <c r="D377" s="913"/>
      <c r="E377" s="913"/>
      <c r="F377" s="913"/>
      <c r="G377" s="913"/>
      <c r="H377" s="913"/>
      <c r="I377" s="913"/>
      <c r="J377" s="913"/>
      <c r="K377" s="913"/>
      <c r="L377" s="913"/>
      <c r="M377" s="913"/>
      <c r="N377" s="913"/>
      <c r="O377" s="913"/>
      <c r="P377" s="913"/>
      <c r="Q377" s="913"/>
      <c r="R377" s="913"/>
      <c r="S377" s="913"/>
      <c r="T377" s="914"/>
      <c r="U377" s="984">
        <f>+U371</f>
        <v>0</v>
      </c>
      <c r="V377" s="916"/>
      <c r="W377" s="916"/>
      <c r="X377" s="916"/>
      <c r="Y377" s="916" t="str">
        <f>+Y371</f>
        <v>m3</v>
      </c>
      <c r="Z377" s="917"/>
      <c r="AA377" s="983">
        <f>+AA371</f>
        <v>0</v>
      </c>
      <c r="AB377" s="983"/>
      <c r="AC377" s="983"/>
      <c r="AD377" s="983"/>
      <c r="AE377" s="983"/>
      <c r="AF377" s="915">
        <f>+AF371</f>
        <v>1</v>
      </c>
      <c r="AG377" s="916"/>
      <c r="AH377" s="916"/>
      <c r="AI377" s="916"/>
      <c r="AJ377" s="917"/>
      <c r="AK377" s="915">
        <f>+AK376</f>
        <v>1</v>
      </c>
      <c r="AL377" s="916"/>
      <c r="AM377" s="916"/>
      <c r="AN377" s="916"/>
      <c r="AO377" s="917"/>
      <c r="AP377" s="918">
        <f>+U377*AA377*AF377*AK377</f>
        <v>0</v>
      </c>
      <c r="AQ377" s="919"/>
      <c r="AR377" s="919"/>
      <c r="AS377" s="919"/>
      <c r="AT377" s="919"/>
      <c r="AU377" s="920"/>
    </row>
    <row r="378" spans="1:48" s="137" customFormat="1" hidden="1" x14ac:dyDescent="0.2">
      <c r="A378" s="72"/>
      <c r="B378" s="72"/>
      <c r="C378" s="360" t="s">
        <v>2480</v>
      </c>
      <c r="D378" s="361"/>
      <c r="E378" s="361"/>
      <c r="F378" s="361"/>
      <c r="G378" s="361"/>
      <c r="H378" s="361"/>
      <c r="I378" s="361"/>
      <c r="J378" s="361"/>
      <c r="K378" s="361"/>
      <c r="L378" s="361"/>
      <c r="M378" s="361"/>
      <c r="N378" s="361"/>
      <c r="O378" s="361"/>
      <c r="P378" s="361"/>
      <c r="Q378" s="361"/>
      <c r="R378" s="361"/>
      <c r="S378" s="361"/>
      <c r="T378" s="361"/>
      <c r="U378" s="362"/>
      <c r="V378" s="362"/>
      <c r="W378" s="362"/>
      <c r="X378" s="362"/>
      <c r="Y378" s="362"/>
      <c r="Z378" s="362"/>
      <c r="AA378" s="362"/>
      <c r="AB378" s="362"/>
      <c r="AC378" s="362"/>
      <c r="AD378" s="362"/>
      <c r="AE378" s="362"/>
      <c r="AF378" s="362"/>
      <c r="AG378" s="362"/>
      <c r="AH378" s="362"/>
      <c r="AI378" s="362"/>
      <c r="AJ378" s="362"/>
      <c r="AK378" s="362"/>
      <c r="AL378" s="362"/>
      <c r="AM378" s="362"/>
      <c r="AN378" s="362"/>
      <c r="AO378" s="362"/>
      <c r="AP378" s="757">
        <f>+SUM(AP376:AU377)</f>
        <v>0</v>
      </c>
      <c r="AQ378" s="758"/>
      <c r="AR378" s="758"/>
      <c r="AS378" s="758"/>
      <c r="AT378" s="758"/>
      <c r="AU378" s="759"/>
    </row>
    <row r="379" spans="1:48" s="137" customFormat="1" hidden="1" x14ac:dyDescent="0.2">
      <c r="A379" s="72"/>
      <c r="B379" s="72"/>
      <c r="C379" s="360" t="s">
        <v>2481</v>
      </c>
      <c r="D379" s="361"/>
      <c r="E379" s="361"/>
      <c r="F379" s="361"/>
      <c r="G379" s="361"/>
      <c r="H379" s="361"/>
      <c r="I379" s="361"/>
      <c r="J379" s="361"/>
      <c r="K379" s="361"/>
      <c r="L379" s="361"/>
      <c r="M379" s="361"/>
      <c r="N379" s="361"/>
      <c r="O379" s="361"/>
      <c r="P379" s="361"/>
      <c r="Q379" s="361"/>
      <c r="R379" s="361"/>
      <c r="S379" s="361"/>
      <c r="T379" s="361"/>
      <c r="U379" s="362"/>
      <c r="V379" s="362"/>
      <c r="W379" s="362"/>
      <c r="X379" s="362"/>
      <c r="Y379" s="362"/>
      <c r="Z379" s="362"/>
      <c r="AA379" s="362"/>
      <c r="AB379" s="362"/>
      <c r="AC379" s="362"/>
      <c r="AD379" s="362"/>
      <c r="AE379" s="362"/>
      <c r="AF379" s="362"/>
      <c r="AG379" s="362"/>
      <c r="AH379" s="362"/>
      <c r="AI379" s="362"/>
      <c r="AJ379" s="362"/>
      <c r="AK379" s="362"/>
      <c r="AL379" s="362"/>
      <c r="AM379" s="362"/>
      <c r="AN379" s="362"/>
      <c r="AO379" s="362"/>
      <c r="AP379" s="760">
        <f>+AF230</f>
        <v>0</v>
      </c>
      <c r="AQ379" s="761"/>
      <c r="AR379" s="761"/>
      <c r="AS379" s="761"/>
      <c r="AT379" s="761"/>
      <c r="AU379" s="762"/>
    </row>
    <row r="380" spans="1:48" s="137" customFormat="1" ht="15" hidden="1" customHeight="1" thickBot="1" x14ac:dyDescent="0.25">
      <c r="C380" s="363" t="str">
        <f>+C366</f>
        <v>VALOR DE LAS OBRAS COMPLEMENTARIAS</v>
      </c>
      <c r="D380" s="300"/>
      <c r="E380" s="300"/>
      <c r="F380" s="300"/>
      <c r="G380" s="301"/>
      <c r="H380" s="364"/>
      <c r="I380" s="303"/>
      <c r="J380" s="304"/>
      <c r="K380" s="305"/>
      <c r="L380" s="301"/>
      <c r="M380" s="301"/>
      <c r="N380" s="301"/>
      <c r="O380" s="301"/>
      <c r="P380" s="301"/>
      <c r="Q380" s="301"/>
      <c r="R380" s="301"/>
      <c r="S380" s="365"/>
      <c r="T380" s="301"/>
      <c r="U380" s="301"/>
      <c r="V380" s="366"/>
      <c r="W380" s="367"/>
      <c r="X380" s="364"/>
      <c r="Y380" s="368"/>
      <c r="Z380" s="399" t="str">
        <f>UPPER(C375)</f>
        <v>ESTACIONAMIENTO N° …</v>
      </c>
      <c r="AA380" s="369"/>
      <c r="AB380" s="369"/>
      <c r="AC380" s="366"/>
      <c r="AD380" s="301"/>
      <c r="AE380" s="301"/>
      <c r="AF380" s="301"/>
      <c r="AG380" s="301"/>
      <c r="AH380" s="301"/>
      <c r="AI380" s="301"/>
      <c r="AJ380" s="301"/>
      <c r="AK380" s="301"/>
      <c r="AL380" s="301"/>
      <c r="AM380" s="306"/>
      <c r="AN380" s="301"/>
      <c r="AO380" s="323"/>
      <c r="AP380" s="323"/>
      <c r="AQ380" s="985">
        <f>+AP378*AP379</f>
        <v>0</v>
      </c>
      <c r="AR380" s="986"/>
      <c r="AS380" s="986"/>
      <c r="AT380" s="986"/>
      <c r="AU380" s="986"/>
      <c r="AV380" s="986"/>
    </row>
    <row r="381" spans="1:48" s="137" customFormat="1" ht="13.5" hidden="1" thickTop="1" x14ac:dyDescent="0.2">
      <c r="A381" s="90"/>
      <c r="B381" s="90"/>
      <c r="C381" s="354" t="str">
        <f>+C363</f>
        <v>Depósito N°..</v>
      </c>
      <c r="D381" s="90"/>
      <c r="E381" s="90"/>
      <c r="F381" s="90"/>
      <c r="G381" s="90"/>
      <c r="H381" s="90"/>
      <c r="I381" s="90"/>
      <c r="J381" s="90"/>
      <c r="K381" s="90"/>
      <c r="L381" s="90"/>
      <c r="M381" s="90"/>
      <c r="N381" s="90"/>
      <c r="O381" s="90"/>
      <c r="P381" s="346"/>
      <c r="Q381" s="90"/>
      <c r="R381" s="90"/>
      <c r="S381" s="90"/>
      <c r="T381" s="90"/>
      <c r="U381" s="90"/>
      <c r="V381" s="90"/>
      <c r="W381" s="90"/>
      <c r="X381" s="90"/>
      <c r="Y381" s="90"/>
      <c r="Z381" s="90"/>
      <c r="AA381" s="90"/>
      <c r="AB381" s="90"/>
      <c r="AC381" s="90"/>
      <c r="AD381" s="90"/>
      <c r="AE381" s="90"/>
      <c r="AF381" s="90"/>
      <c r="AG381" s="90"/>
      <c r="AH381" s="90"/>
      <c r="AI381" s="90"/>
      <c r="AJ381" s="90"/>
      <c r="AK381" s="90"/>
      <c r="AL381" s="90"/>
      <c r="AM381" s="90"/>
      <c r="AN381" s="90"/>
      <c r="AO381" s="90"/>
      <c r="AP381" s="90"/>
      <c r="AQ381" s="90"/>
      <c r="AR381" s="90"/>
      <c r="AS381" s="90"/>
      <c r="AT381" s="90"/>
      <c r="AU381" s="90"/>
      <c r="AV381" s="90"/>
    </row>
    <row r="382" spans="1:48" s="137" customFormat="1" ht="12" hidden="1" customHeight="1" x14ac:dyDescent="0.2">
      <c r="A382" s="348"/>
      <c r="B382" s="348"/>
      <c r="C382" s="912">
        <f>+C376</f>
        <v>0</v>
      </c>
      <c r="D382" s="913"/>
      <c r="E382" s="913"/>
      <c r="F382" s="913"/>
      <c r="G382" s="913"/>
      <c r="H382" s="913"/>
      <c r="I382" s="913"/>
      <c r="J382" s="913"/>
      <c r="K382" s="913"/>
      <c r="L382" s="913"/>
      <c r="M382" s="913"/>
      <c r="N382" s="913"/>
      <c r="O382" s="913"/>
      <c r="P382" s="913"/>
      <c r="Q382" s="913"/>
      <c r="R382" s="913"/>
      <c r="S382" s="913"/>
      <c r="T382" s="914"/>
      <c r="U382" s="984">
        <f>+U376</f>
        <v>0</v>
      </c>
      <c r="V382" s="916"/>
      <c r="W382" s="916"/>
      <c r="X382" s="916"/>
      <c r="Y382" s="916" t="str">
        <f>+Y376</f>
        <v>Und</v>
      </c>
      <c r="Z382" s="917"/>
      <c r="AA382" s="983">
        <f>+AA376</f>
        <v>0</v>
      </c>
      <c r="AB382" s="983"/>
      <c r="AC382" s="983"/>
      <c r="AD382" s="983"/>
      <c r="AE382" s="983"/>
      <c r="AF382" s="915">
        <f>+AF376</f>
        <v>1</v>
      </c>
      <c r="AG382" s="916"/>
      <c r="AH382" s="916"/>
      <c r="AI382" s="916"/>
      <c r="AJ382" s="917"/>
      <c r="AK382" s="915">
        <f>+AH342</f>
        <v>1</v>
      </c>
      <c r="AL382" s="916"/>
      <c r="AM382" s="916"/>
      <c r="AN382" s="916"/>
      <c r="AO382" s="917"/>
      <c r="AP382" s="918">
        <f>+U382*AA382*AF382*AK382</f>
        <v>0</v>
      </c>
      <c r="AQ382" s="919"/>
      <c r="AR382" s="919"/>
      <c r="AS382" s="919"/>
      <c r="AT382" s="919"/>
      <c r="AU382" s="920"/>
    </row>
    <row r="383" spans="1:48" s="137" customFormat="1" ht="12" hidden="1" customHeight="1" x14ac:dyDescent="0.2">
      <c r="A383" s="348"/>
      <c r="B383" s="348"/>
      <c r="C383" s="912">
        <f>+C377</f>
        <v>0</v>
      </c>
      <c r="D383" s="913"/>
      <c r="E383" s="913"/>
      <c r="F383" s="913"/>
      <c r="G383" s="913"/>
      <c r="H383" s="913"/>
      <c r="I383" s="913"/>
      <c r="J383" s="913"/>
      <c r="K383" s="913"/>
      <c r="L383" s="913"/>
      <c r="M383" s="913"/>
      <c r="N383" s="913"/>
      <c r="O383" s="913"/>
      <c r="P383" s="913"/>
      <c r="Q383" s="913"/>
      <c r="R383" s="913"/>
      <c r="S383" s="913"/>
      <c r="T383" s="914"/>
      <c r="U383" s="984">
        <f>+U377</f>
        <v>0</v>
      </c>
      <c r="V383" s="916"/>
      <c r="W383" s="916"/>
      <c r="X383" s="916"/>
      <c r="Y383" s="916" t="str">
        <f>+Y377</f>
        <v>m3</v>
      </c>
      <c r="Z383" s="917"/>
      <c r="AA383" s="983">
        <f>+AA377</f>
        <v>0</v>
      </c>
      <c r="AB383" s="983"/>
      <c r="AC383" s="983"/>
      <c r="AD383" s="983"/>
      <c r="AE383" s="983"/>
      <c r="AF383" s="915">
        <f>+AF382</f>
        <v>1</v>
      </c>
      <c r="AG383" s="916"/>
      <c r="AH383" s="916"/>
      <c r="AI383" s="916"/>
      <c r="AJ383" s="917"/>
      <c r="AK383" s="915">
        <f>+AK382</f>
        <v>1</v>
      </c>
      <c r="AL383" s="916"/>
      <c r="AM383" s="916"/>
      <c r="AN383" s="916"/>
      <c r="AO383" s="917"/>
      <c r="AP383" s="918">
        <f>+U383*AA383*AF383*AK383</f>
        <v>0</v>
      </c>
      <c r="AQ383" s="919"/>
      <c r="AR383" s="919"/>
      <c r="AS383" s="919"/>
      <c r="AT383" s="919"/>
      <c r="AU383" s="920"/>
    </row>
    <row r="384" spans="1:48" s="137" customFormat="1" hidden="1" x14ac:dyDescent="0.2">
      <c r="A384" s="72"/>
      <c r="B384" s="72"/>
      <c r="C384" s="360" t="s">
        <v>2480</v>
      </c>
      <c r="D384" s="361"/>
      <c r="E384" s="361"/>
      <c r="F384" s="361"/>
      <c r="G384" s="361"/>
      <c r="H384" s="361"/>
      <c r="I384" s="361"/>
      <c r="J384" s="361"/>
      <c r="K384" s="361"/>
      <c r="L384" s="361"/>
      <c r="M384" s="361"/>
      <c r="N384" s="361"/>
      <c r="O384" s="361"/>
      <c r="P384" s="361"/>
      <c r="Q384" s="361"/>
      <c r="R384" s="361"/>
      <c r="S384" s="361"/>
      <c r="T384" s="361"/>
      <c r="U384" s="362"/>
      <c r="V384" s="362"/>
      <c r="W384" s="362"/>
      <c r="X384" s="362"/>
      <c r="Y384" s="362"/>
      <c r="Z384" s="362"/>
      <c r="AA384" s="362"/>
      <c r="AB384" s="362"/>
      <c r="AC384" s="362"/>
      <c r="AD384" s="362"/>
      <c r="AE384" s="362"/>
      <c r="AF384" s="362"/>
      <c r="AG384" s="362"/>
      <c r="AH384" s="362"/>
      <c r="AI384" s="362"/>
      <c r="AJ384" s="362"/>
      <c r="AK384" s="362"/>
      <c r="AL384" s="362"/>
      <c r="AM384" s="362"/>
      <c r="AN384" s="362"/>
      <c r="AO384" s="362"/>
      <c r="AP384" s="757">
        <f>+SUM(AP382:AU383)</f>
        <v>0</v>
      </c>
      <c r="AQ384" s="758"/>
      <c r="AR384" s="758"/>
      <c r="AS384" s="758"/>
      <c r="AT384" s="758"/>
      <c r="AU384" s="759"/>
    </row>
    <row r="385" spans="1:48" s="137" customFormat="1" hidden="1" x14ac:dyDescent="0.2">
      <c r="A385" s="72"/>
      <c r="B385" s="72"/>
      <c r="C385" s="360" t="s">
        <v>2482</v>
      </c>
      <c r="D385" s="361"/>
      <c r="E385" s="361"/>
      <c r="F385" s="361"/>
      <c r="G385" s="361"/>
      <c r="H385" s="361"/>
      <c r="I385" s="361"/>
      <c r="J385" s="361"/>
      <c r="K385" s="361"/>
      <c r="L385" s="361"/>
      <c r="M385" s="361"/>
      <c r="N385" s="361"/>
      <c r="O385" s="361"/>
      <c r="P385" s="361"/>
      <c r="Q385" s="361"/>
      <c r="R385" s="361"/>
      <c r="S385" s="361"/>
      <c r="T385" s="361"/>
      <c r="U385" s="362"/>
      <c r="V385" s="362"/>
      <c r="W385" s="362"/>
      <c r="X385" s="362"/>
      <c r="Y385" s="362"/>
      <c r="Z385" s="362"/>
      <c r="AA385" s="362"/>
      <c r="AB385" s="362"/>
      <c r="AC385" s="362"/>
      <c r="AD385" s="362"/>
      <c r="AE385" s="362"/>
      <c r="AF385" s="362"/>
      <c r="AG385" s="362"/>
      <c r="AH385" s="362"/>
      <c r="AI385" s="362"/>
      <c r="AJ385" s="362"/>
      <c r="AK385" s="362"/>
      <c r="AL385" s="362"/>
      <c r="AM385" s="362"/>
      <c r="AN385" s="362"/>
      <c r="AO385" s="362"/>
      <c r="AP385" s="760">
        <f>+AF234</f>
        <v>0</v>
      </c>
      <c r="AQ385" s="761"/>
      <c r="AR385" s="761"/>
      <c r="AS385" s="761"/>
      <c r="AT385" s="761"/>
      <c r="AU385" s="762"/>
    </row>
    <row r="386" spans="1:48" s="137" customFormat="1" ht="15" hidden="1" customHeight="1" thickBot="1" x14ac:dyDescent="0.25">
      <c r="C386" s="363" t="str">
        <f>+C366</f>
        <v>VALOR DE LAS OBRAS COMPLEMENTARIAS</v>
      </c>
      <c r="D386" s="300"/>
      <c r="E386" s="300"/>
      <c r="F386" s="300"/>
      <c r="G386" s="301"/>
      <c r="H386" s="364"/>
      <c r="I386" s="303"/>
      <c r="J386" s="304"/>
      <c r="K386" s="305"/>
      <c r="L386" s="301"/>
      <c r="M386" s="301"/>
      <c r="N386" s="301"/>
      <c r="O386" s="301"/>
      <c r="P386" s="301"/>
      <c r="Q386" s="301"/>
      <c r="R386" s="301"/>
      <c r="S386" s="365"/>
      <c r="T386" s="301"/>
      <c r="U386" s="301"/>
      <c r="V386" s="366"/>
      <c r="W386" s="367"/>
      <c r="X386" s="364"/>
      <c r="Y386" s="368"/>
      <c r="Z386" s="399" t="str">
        <f>UPPER(C381)</f>
        <v>DEPÓSITO N°..</v>
      </c>
      <c r="AA386" s="369"/>
      <c r="AB386" s="369"/>
      <c r="AC386" s="366"/>
      <c r="AD386" s="301"/>
      <c r="AE386" s="301"/>
      <c r="AF386" s="301"/>
      <c r="AG386" s="301"/>
      <c r="AH386" s="301"/>
      <c r="AI386" s="301"/>
      <c r="AJ386" s="301"/>
      <c r="AK386" s="301"/>
      <c r="AL386" s="301"/>
      <c r="AM386" s="306"/>
      <c r="AN386" s="301"/>
      <c r="AO386" s="323"/>
      <c r="AP386" s="323"/>
      <c r="AQ386" s="985">
        <f>+AP384*AP385</f>
        <v>0</v>
      </c>
      <c r="AR386" s="986"/>
      <c r="AS386" s="986"/>
      <c r="AT386" s="986"/>
      <c r="AU386" s="986"/>
      <c r="AV386" s="986"/>
    </row>
    <row r="387" spans="1:48" s="90" customFormat="1" ht="3" hidden="1" customHeight="1" thickTop="1" x14ac:dyDescent="0.2"/>
    <row r="388" spans="1:48" s="90" customFormat="1" ht="12.75" hidden="1" customHeight="1" x14ac:dyDescent="0.2"/>
    <row r="389" spans="1:48" s="90" customFormat="1" ht="8.25" hidden="1" customHeight="1" x14ac:dyDescent="0.2"/>
    <row r="390" spans="1:48" s="90" customFormat="1" ht="12.75" hidden="1" customHeight="1" x14ac:dyDescent="0.2">
      <c r="C390" s="90" t="str">
        <f>+C328</f>
        <v>Lima,</v>
      </c>
      <c r="F390" s="1018">
        <f>+F328</f>
        <v>0</v>
      </c>
      <c r="G390" s="750"/>
      <c r="H390" s="750"/>
      <c r="I390" s="750"/>
      <c r="J390" s="750"/>
      <c r="K390" s="750"/>
      <c r="L390" s="750"/>
      <c r="M390" s="750"/>
      <c r="N390" s="750"/>
      <c r="O390" s="750"/>
      <c r="P390" s="750"/>
      <c r="Q390" s="750"/>
      <c r="R390" s="750"/>
      <c r="S390" s="750"/>
      <c r="T390" s="750"/>
      <c r="U390" s="750"/>
      <c r="V390" s="750"/>
      <c r="W390" s="750"/>
      <c r="X390" s="750"/>
      <c r="Y390" s="750"/>
      <c r="Z390" s="750"/>
      <c r="AA390" s="750"/>
      <c r="AB390" s="750"/>
    </row>
    <row r="392" spans="1:48" x14ac:dyDescent="0.2"/>
    <row r="393" spans="1:48" x14ac:dyDescent="0.2"/>
    <row r="394" spans="1:48" x14ac:dyDescent="0.2"/>
    <row r="395" spans="1:48" x14ac:dyDescent="0.2"/>
    <row r="396" spans="1:48" x14ac:dyDescent="0.2"/>
    <row r="397" spans="1:48" x14ac:dyDescent="0.2"/>
    <row r="398" spans="1:48" x14ac:dyDescent="0.2"/>
    <row r="399" spans="1:48" x14ac:dyDescent="0.2"/>
    <row r="400" spans="1:48"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row r="1449" x14ac:dyDescent="0.2"/>
    <row r="1450" x14ac:dyDescent="0.2"/>
    <row r="1451" x14ac:dyDescent="0.2"/>
    <row r="1452" x14ac:dyDescent="0.2"/>
    <row r="1453" x14ac:dyDescent="0.2"/>
    <row r="1454" x14ac:dyDescent="0.2"/>
    <row r="1455" x14ac:dyDescent="0.2"/>
    <row r="1456" x14ac:dyDescent="0.2"/>
    <row r="1457" x14ac:dyDescent="0.2"/>
    <row r="1458" x14ac:dyDescent="0.2"/>
    <row r="1459" x14ac:dyDescent="0.2"/>
    <row r="1460" x14ac:dyDescent="0.2"/>
    <row r="1461" x14ac:dyDescent="0.2"/>
    <row r="1462" x14ac:dyDescent="0.2"/>
    <row r="1463" x14ac:dyDescent="0.2"/>
    <row r="1464" x14ac:dyDescent="0.2"/>
    <row r="1465" x14ac:dyDescent="0.2"/>
    <row r="1466" x14ac:dyDescent="0.2"/>
    <row r="1467" x14ac:dyDescent="0.2"/>
    <row r="1468" x14ac:dyDescent="0.2"/>
    <row r="1469" x14ac:dyDescent="0.2"/>
    <row r="1470" x14ac:dyDescent="0.2"/>
    <row r="1471" x14ac:dyDescent="0.2"/>
    <row r="1472" x14ac:dyDescent="0.2"/>
    <row r="1473" x14ac:dyDescent="0.2"/>
    <row r="1474" x14ac:dyDescent="0.2"/>
    <row r="1475" x14ac:dyDescent="0.2"/>
    <row r="1476" x14ac:dyDescent="0.2"/>
    <row r="1477" x14ac:dyDescent="0.2"/>
    <row r="1478" x14ac:dyDescent="0.2"/>
    <row r="1479" x14ac:dyDescent="0.2"/>
    <row r="1480" x14ac:dyDescent="0.2"/>
    <row r="1481" x14ac:dyDescent="0.2"/>
    <row r="1482" x14ac:dyDescent="0.2"/>
    <row r="1483" x14ac:dyDescent="0.2"/>
    <row r="1484" x14ac:dyDescent="0.2"/>
    <row r="1485" x14ac:dyDescent="0.2"/>
    <row r="1486" x14ac:dyDescent="0.2"/>
    <row r="1487" x14ac:dyDescent="0.2"/>
    <row r="1488" x14ac:dyDescent="0.2"/>
    <row r="1489" x14ac:dyDescent="0.2"/>
    <row r="1490" x14ac:dyDescent="0.2"/>
    <row r="1491" x14ac:dyDescent="0.2"/>
    <row r="1492" x14ac:dyDescent="0.2"/>
    <row r="1493" x14ac:dyDescent="0.2"/>
    <row r="1494" x14ac:dyDescent="0.2"/>
    <row r="1495" x14ac:dyDescent="0.2"/>
    <row r="1496" x14ac:dyDescent="0.2"/>
    <row r="1497" x14ac:dyDescent="0.2"/>
    <row r="1498" x14ac:dyDescent="0.2"/>
    <row r="1499" x14ac:dyDescent="0.2"/>
    <row r="1500" x14ac:dyDescent="0.2"/>
    <row r="1501" x14ac:dyDescent="0.2"/>
    <row r="1502" x14ac:dyDescent="0.2"/>
    <row r="1503" x14ac:dyDescent="0.2"/>
    <row r="1504" x14ac:dyDescent="0.2"/>
    <row r="1505" x14ac:dyDescent="0.2"/>
    <row r="1506" x14ac:dyDescent="0.2"/>
    <row r="1507" x14ac:dyDescent="0.2"/>
    <row r="1508" x14ac:dyDescent="0.2"/>
    <row r="1509" x14ac:dyDescent="0.2"/>
    <row r="1510" x14ac:dyDescent="0.2"/>
    <row r="1511" x14ac:dyDescent="0.2"/>
    <row r="1512" x14ac:dyDescent="0.2"/>
    <row r="1513" x14ac:dyDescent="0.2"/>
    <row r="1514" x14ac:dyDescent="0.2"/>
    <row r="1515" x14ac:dyDescent="0.2"/>
    <row r="1516" x14ac:dyDescent="0.2"/>
    <row r="1517" x14ac:dyDescent="0.2"/>
    <row r="1518" x14ac:dyDescent="0.2"/>
    <row r="1519" x14ac:dyDescent="0.2"/>
    <row r="1520" x14ac:dyDescent="0.2"/>
    <row r="1521" x14ac:dyDescent="0.2"/>
    <row r="1522" x14ac:dyDescent="0.2"/>
    <row r="1523" x14ac:dyDescent="0.2"/>
    <row r="1524" x14ac:dyDescent="0.2"/>
    <row r="1525" x14ac:dyDescent="0.2"/>
    <row r="1526" x14ac:dyDescent="0.2"/>
    <row r="1527" x14ac:dyDescent="0.2"/>
    <row r="1528" x14ac:dyDescent="0.2"/>
    <row r="1529" x14ac:dyDescent="0.2"/>
    <row r="1530" x14ac:dyDescent="0.2"/>
    <row r="1531" x14ac:dyDescent="0.2"/>
    <row r="1532" x14ac:dyDescent="0.2"/>
    <row r="1533" x14ac:dyDescent="0.2"/>
    <row r="1534" x14ac:dyDescent="0.2"/>
    <row r="1535" x14ac:dyDescent="0.2"/>
    <row r="1536" x14ac:dyDescent="0.2"/>
    <row r="1537" x14ac:dyDescent="0.2"/>
    <row r="1538" x14ac:dyDescent="0.2"/>
    <row r="1539" x14ac:dyDescent="0.2"/>
    <row r="1540" x14ac:dyDescent="0.2"/>
    <row r="1541" x14ac:dyDescent="0.2"/>
    <row r="1542" x14ac:dyDescent="0.2"/>
    <row r="1543" x14ac:dyDescent="0.2"/>
    <row r="1544" x14ac:dyDescent="0.2"/>
    <row r="1545" x14ac:dyDescent="0.2"/>
    <row r="1546" x14ac:dyDescent="0.2"/>
    <row r="1547" x14ac:dyDescent="0.2"/>
    <row r="1548" x14ac:dyDescent="0.2"/>
    <row r="1549" x14ac:dyDescent="0.2"/>
    <row r="1550" x14ac:dyDescent="0.2"/>
    <row r="1551" x14ac:dyDescent="0.2"/>
    <row r="1552" x14ac:dyDescent="0.2"/>
    <row r="1553" x14ac:dyDescent="0.2"/>
    <row r="1554" x14ac:dyDescent="0.2"/>
    <row r="1555" x14ac:dyDescent="0.2"/>
    <row r="1556" x14ac:dyDescent="0.2"/>
    <row r="1557" x14ac:dyDescent="0.2"/>
    <row r="1558" x14ac:dyDescent="0.2"/>
    <row r="1559" x14ac:dyDescent="0.2"/>
    <row r="1560" x14ac:dyDescent="0.2"/>
    <row r="1561" x14ac:dyDescent="0.2"/>
    <row r="1562" x14ac:dyDescent="0.2"/>
    <row r="1563" x14ac:dyDescent="0.2"/>
    <row r="1564" x14ac:dyDescent="0.2"/>
    <row r="1565" x14ac:dyDescent="0.2"/>
    <row r="1566" x14ac:dyDescent="0.2"/>
    <row r="1567" x14ac:dyDescent="0.2"/>
    <row r="1568" x14ac:dyDescent="0.2"/>
    <row r="1569" x14ac:dyDescent="0.2"/>
    <row r="1570" x14ac:dyDescent="0.2"/>
    <row r="1571" x14ac:dyDescent="0.2"/>
    <row r="1572" x14ac:dyDescent="0.2"/>
    <row r="1573" x14ac:dyDescent="0.2"/>
    <row r="1574" x14ac:dyDescent="0.2"/>
    <row r="1575" x14ac:dyDescent="0.2"/>
    <row r="1576" x14ac:dyDescent="0.2"/>
    <row r="1577" x14ac:dyDescent="0.2"/>
    <row r="1578" x14ac:dyDescent="0.2"/>
    <row r="1579" x14ac:dyDescent="0.2"/>
    <row r="1580" x14ac:dyDescent="0.2"/>
    <row r="1581" x14ac:dyDescent="0.2"/>
    <row r="1582" x14ac:dyDescent="0.2"/>
    <row r="1583" x14ac:dyDescent="0.2"/>
    <row r="1584" x14ac:dyDescent="0.2"/>
    <row r="1585" x14ac:dyDescent="0.2"/>
    <row r="1586" x14ac:dyDescent="0.2"/>
    <row r="1587" x14ac:dyDescent="0.2"/>
    <row r="1588" x14ac:dyDescent="0.2"/>
    <row r="1589" x14ac:dyDescent="0.2"/>
    <row r="1590" x14ac:dyDescent="0.2"/>
    <row r="1591" x14ac:dyDescent="0.2"/>
    <row r="1592" x14ac:dyDescent="0.2"/>
    <row r="1593" x14ac:dyDescent="0.2"/>
    <row r="1594" x14ac:dyDescent="0.2"/>
    <row r="1595" x14ac:dyDescent="0.2"/>
    <row r="1596" x14ac:dyDescent="0.2"/>
    <row r="1597" x14ac:dyDescent="0.2"/>
    <row r="1598" x14ac:dyDescent="0.2"/>
    <row r="1599" x14ac:dyDescent="0.2"/>
    <row r="1600" x14ac:dyDescent="0.2"/>
    <row r="1601" x14ac:dyDescent="0.2"/>
    <row r="1602" x14ac:dyDescent="0.2"/>
    <row r="1603" x14ac:dyDescent="0.2"/>
    <row r="1604" x14ac:dyDescent="0.2"/>
    <row r="1605" x14ac:dyDescent="0.2"/>
    <row r="1606" x14ac:dyDescent="0.2"/>
    <row r="1607" x14ac:dyDescent="0.2"/>
    <row r="1608" x14ac:dyDescent="0.2"/>
    <row r="1609" x14ac:dyDescent="0.2"/>
    <row r="1610" x14ac:dyDescent="0.2"/>
    <row r="1611" x14ac:dyDescent="0.2"/>
    <row r="1612" x14ac:dyDescent="0.2"/>
    <row r="1613" x14ac:dyDescent="0.2"/>
    <row r="1614" x14ac:dyDescent="0.2"/>
    <row r="1615" x14ac:dyDescent="0.2"/>
    <row r="1616" x14ac:dyDescent="0.2"/>
    <row r="1617" x14ac:dyDescent="0.2"/>
    <row r="1618" x14ac:dyDescent="0.2"/>
    <row r="1619" x14ac:dyDescent="0.2"/>
    <row r="1620" x14ac:dyDescent="0.2"/>
    <row r="1621" x14ac:dyDescent="0.2"/>
    <row r="1622" x14ac:dyDescent="0.2"/>
    <row r="1623" x14ac:dyDescent="0.2"/>
    <row r="1624" x14ac:dyDescent="0.2"/>
    <row r="1625" x14ac:dyDescent="0.2"/>
    <row r="1626" x14ac:dyDescent="0.2"/>
    <row r="1627" x14ac:dyDescent="0.2"/>
    <row r="1628" x14ac:dyDescent="0.2"/>
    <row r="1629" x14ac:dyDescent="0.2"/>
    <row r="1630" x14ac:dyDescent="0.2"/>
    <row r="1631" x14ac:dyDescent="0.2"/>
    <row r="1632" x14ac:dyDescent="0.2"/>
    <row r="1633" x14ac:dyDescent="0.2"/>
    <row r="1634" x14ac:dyDescent="0.2"/>
    <row r="1635" x14ac:dyDescent="0.2"/>
    <row r="1636" x14ac:dyDescent="0.2"/>
    <row r="1637" x14ac:dyDescent="0.2"/>
    <row r="1638" x14ac:dyDescent="0.2"/>
    <row r="1639" x14ac:dyDescent="0.2"/>
    <row r="1640" x14ac:dyDescent="0.2"/>
    <row r="1641" x14ac:dyDescent="0.2"/>
    <row r="1642" x14ac:dyDescent="0.2"/>
    <row r="1643" x14ac:dyDescent="0.2"/>
    <row r="1644" x14ac:dyDescent="0.2"/>
    <row r="1645" x14ac:dyDescent="0.2"/>
    <row r="1646" x14ac:dyDescent="0.2"/>
    <row r="1647" x14ac:dyDescent="0.2"/>
    <row r="1648" x14ac:dyDescent="0.2"/>
    <row r="1649" x14ac:dyDescent="0.2"/>
    <row r="1650" x14ac:dyDescent="0.2"/>
    <row r="1651" x14ac:dyDescent="0.2"/>
    <row r="1652" x14ac:dyDescent="0.2"/>
    <row r="1653" x14ac:dyDescent="0.2"/>
    <row r="1654" x14ac:dyDescent="0.2"/>
    <row r="1655" x14ac:dyDescent="0.2"/>
    <row r="1656" x14ac:dyDescent="0.2"/>
    <row r="1657" x14ac:dyDescent="0.2"/>
    <row r="1658" x14ac:dyDescent="0.2"/>
    <row r="1659" x14ac:dyDescent="0.2"/>
    <row r="1660" x14ac:dyDescent="0.2"/>
    <row r="1661" x14ac:dyDescent="0.2"/>
    <row r="1662" x14ac:dyDescent="0.2"/>
    <row r="1663" x14ac:dyDescent="0.2"/>
    <row r="1664" x14ac:dyDescent="0.2"/>
    <row r="1665" x14ac:dyDescent="0.2"/>
    <row r="1666" x14ac:dyDescent="0.2"/>
    <row r="1667" x14ac:dyDescent="0.2"/>
    <row r="1668" x14ac:dyDescent="0.2"/>
    <row r="1669" x14ac:dyDescent="0.2"/>
    <row r="1670" x14ac:dyDescent="0.2"/>
    <row r="1671" x14ac:dyDescent="0.2"/>
    <row r="1672" x14ac:dyDescent="0.2"/>
    <row r="1673" x14ac:dyDescent="0.2"/>
    <row r="1674" x14ac:dyDescent="0.2"/>
    <row r="1675" x14ac:dyDescent="0.2"/>
    <row r="1676" x14ac:dyDescent="0.2"/>
    <row r="1677" x14ac:dyDescent="0.2"/>
    <row r="1678" x14ac:dyDescent="0.2"/>
    <row r="1679" x14ac:dyDescent="0.2"/>
    <row r="1680" x14ac:dyDescent="0.2"/>
    <row r="1681" x14ac:dyDescent="0.2"/>
    <row r="1682" x14ac:dyDescent="0.2"/>
    <row r="1683" x14ac:dyDescent="0.2"/>
    <row r="1684" x14ac:dyDescent="0.2"/>
    <row r="1685" x14ac:dyDescent="0.2"/>
    <row r="1686" x14ac:dyDescent="0.2"/>
    <row r="1687" x14ac:dyDescent="0.2"/>
    <row r="1688" x14ac:dyDescent="0.2"/>
    <row r="1689" x14ac:dyDescent="0.2"/>
    <row r="1690" x14ac:dyDescent="0.2"/>
    <row r="1691" x14ac:dyDescent="0.2"/>
    <row r="1692" x14ac:dyDescent="0.2"/>
    <row r="1693" x14ac:dyDescent="0.2"/>
    <row r="1694" x14ac:dyDescent="0.2"/>
    <row r="1695" x14ac:dyDescent="0.2"/>
    <row r="1696" x14ac:dyDescent="0.2"/>
    <row r="1697" x14ac:dyDescent="0.2"/>
    <row r="1698" x14ac:dyDescent="0.2"/>
    <row r="1699" x14ac:dyDescent="0.2"/>
    <row r="1700" x14ac:dyDescent="0.2"/>
    <row r="1701" x14ac:dyDescent="0.2"/>
    <row r="1702" x14ac:dyDescent="0.2"/>
    <row r="1703" x14ac:dyDescent="0.2"/>
    <row r="1704" x14ac:dyDescent="0.2"/>
    <row r="1705" x14ac:dyDescent="0.2"/>
    <row r="1706" x14ac:dyDescent="0.2"/>
    <row r="1707" x14ac:dyDescent="0.2"/>
    <row r="1708" x14ac:dyDescent="0.2"/>
    <row r="1709" x14ac:dyDescent="0.2"/>
    <row r="1710" x14ac:dyDescent="0.2"/>
    <row r="1711" x14ac:dyDescent="0.2"/>
    <row r="1712" x14ac:dyDescent="0.2"/>
    <row r="1713" x14ac:dyDescent="0.2"/>
    <row r="1714" x14ac:dyDescent="0.2"/>
    <row r="1715" x14ac:dyDescent="0.2"/>
    <row r="1716" x14ac:dyDescent="0.2"/>
    <row r="1717" x14ac:dyDescent="0.2"/>
    <row r="1718" x14ac:dyDescent="0.2"/>
    <row r="1719" x14ac:dyDescent="0.2"/>
    <row r="1720" x14ac:dyDescent="0.2"/>
    <row r="1721" x14ac:dyDescent="0.2"/>
    <row r="1722" x14ac:dyDescent="0.2"/>
    <row r="1723" x14ac:dyDescent="0.2"/>
    <row r="1724" x14ac:dyDescent="0.2"/>
    <row r="1725" x14ac:dyDescent="0.2"/>
    <row r="1726" x14ac:dyDescent="0.2"/>
    <row r="1727" x14ac:dyDescent="0.2"/>
    <row r="1728" x14ac:dyDescent="0.2"/>
    <row r="1729" x14ac:dyDescent="0.2"/>
    <row r="1730" x14ac:dyDescent="0.2"/>
    <row r="1731" x14ac:dyDescent="0.2"/>
    <row r="1732" x14ac:dyDescent="0.2"/>
    <row r="1733" x14ac:dyDescent="0.2"/>
    <row r="1734" x14ac:dyDescent="0.2"/>
    <row r="1735" x14ac:dyDescent="0.2"/>
    <row r="1736" x14ac:dyDescent="0.2"/>
    <row r="1737" x14ac:dyDescent="0.2"/>
    <row r="1738" x14ac:dyDescent="0.2"/>
    <row r="1739" x14ac:dyDescent="0.2"/>
    <row r="1740" x14ac:dyDescent="0.2"/>
    <row r="1741" x14ac:dyDescent="0.2"/>
    <row r="1742" x14ac:dyDescent="0.2"/>
    <row r="1743" x14ac:dyDescent="0.2"/>
    <row r="1744" x14ac:dyDescent="0.2"/>
    <row r="1745" x14ac:dyDescent="0.2"/>
    <row r="1746" x14ac:dyDescent="0.2"/>
    <row r="1747" x14ac:dyDescent="0.2"/>
    <row r="1748" x14ac:dyDescent="0.2"/>
    <row r="1749" x14ac:dyDescent="0.2"/>
    <row r="1750" x14ac:dyDescent="0.2"/>
    <row r="1751" x14ac:dyDescent="0.2"/>
    <row r="1752" x14ac:dyDescent="0.2"/>
    <row r="1753" x14ac:dyDescent="0.2"/>
    <row r="1754" x14ac:dyDescent="0.2"/>
    <row r="1755" x14ac:dyDescent="0.2"/>
    <row r="1756" x14ac:dyDescent="0.2"/>
    <row r="1757" x14ac:dyDescent="0.2"/>
    <row r="1758" x14ac:dyDescent="0.2"/>
    <row r="1759" x14ac:dyDescent="0.2"/>
    <row r="1760" x14ac:dyDescent="0.2"/>
    <row r="1761" x14ac:dyDescent="0.2"/>
    <row r="1762" x14ac:dyDescent="0.2"/>
    <row r="1763" x14ac:dyDescent="0.2"/>
    <row r="1764" x14ac:dyDescent="0.2"/>
    <row r="1765" x14ac:dyDescent="0.2"/>
    <row r="1766" x14ac:dyDescent="0.2"/>
    <row r="1767" x14ac:dyDescent="0.2"/>
    <row r="1768" x14ac:dyDescent="0.2"/>
    <row r="1769" x14ac:dyDescent="0.2"/>
    <row r="1770" x14ac:dyDescent="0.2"/>
    <row r="1771" x14ac:dyDescent="0.2"/>
    <row r="1772" x14ac:dyDescent="0.2"/>
    <row r="1773" x14ac:dyDescent="0.2"/>
    <row r="1774" x14ac:dyDescent="0.2"/>
    <row r="1775" x14ac:dyDescent="0.2"/>
    <row r="1776" x14ac:dyDescent="0.2"/>
    <row r="1777" x14ac:dyDescent="0.2"/>
    <row r="1778" x14ac:dyDescent="0.2"/>
    <row r="1779" x14ac:dyDescent="0.2"/>
    <row r="1780" x14ac:dyDescent="0.2"/>
    <row r="1781" x14ac:dyDescent="0.2"/>
    <row r="1782" x14ac:dyDescent="0.2"/>
    <row r="1783" x14ac:dyDescent="0.2"/>
    <row r="1784" x14ac:dyDescent="0.2"/>
    <row r="1785" x14ac:dyDescent="0.2"/>
    <row r="1786" x14ac:dyDescent="0.2"/>
    <row r="1787" x14ac:dyDescent="0.2"/>
    <row r="1788" x14ac:dyDescent="0.2"/>
    <row r="1789" x14ac:dyDescent="0.2"/>
    <row r="1790" x14ac:dyDescent="0.2"/>
    <row r="1791" x14ac:dyDescent="0.2"/>
    <row r="1792" x14ac:dyDescent="0.2"/>
    <row r="1793" x14ac:dyDescent="0.2"/>
    <row r="1794" x14ac:dyDescent="0.2"/>
    <row r="1795" x14ac:dyDescent="0.2"/>
    <row r="1796" x14ac:dyDescent="0.2"/>
    <row r="1797" x14ac:dyDescent="0.2"/>
    <row r="1798" x14ac:dyDescent="0.2"/>
    <row r="1799" x14ac:dyDescent="0.2"/>
    <row r="1800" x14ac:dyDescent="0.2"/>
    <row r="1801" x14ac:dyDescent="0.2"/>
    <row r="1802" x14ac:dyDescent="0.2"/>
    <row r="1803" x14ac:dyDescent="0.2"/>
    <row r="1804" x14ac:dyDescent="0.2"/>
    <row r="1805" x14ac:dyDescent="0.2"/>
    <row r="1806" x14ac:dyDescent="0.2"/>
    <row r="1807" x14ac:dyDescent="0.2"/>
    <row r="1808" x14ac:dyDescent="0.2"/>
    <row r="1809" x14ac:dyDescent="0.2"/>
    <row r="1810" x14ac:dyDescent="0.2"/>
    <row r="1811" x14ac:dyDescent="0.2"/>
    <row r="1812" x14ac:dyDescent="0.2"/>
    <row r="1813" x14ac:dyDescent="0.2"/>
    <row r="1814" x14ac:dyDescent="0.2"/>
    <row r="1815" x14ac:dyDescent="0.2"/>
    <row r="1816" x14ac:dyDescent="0.2"/>
    <row r="1817" x14ac:dyDescent="0.2"/>
    <row r="1818" x14ac:dyDescent="0.2"/>
    <row r="1819" x14ac:dyDescent="0.2"/>
    <row r="1820" x14ac:dyDescent="0.2"/>
    <row r="1821" x14ac:dyDescent="0.2"/>
    <row r="1822" x14ac:dyDescent="0.2"/>
    <row r="1823" x14ac:dyDescent="0.2"/>
    <row r="1824" x14ac:dyDescent="0.2"/>
    <row r="1825" x14ac:dyDescent="0.2"/>
    <row r="1826" x14ac:dyDescent="0.2"/>
    <row r="1827" x14ac:dyDescent="0.2"/>
    <row r="1828" x14ac:dyDescent="0.2"/>
    <row r="1829" x14ac:dyDescent="0.2"/>
    <row r="1830" x14ac:dyDescent="0.2"/>
    <row r="1831" x14ac:dyDescent="0.2"/>
    <row r="1832" x14ac:dyDescent="0.2"/>
    <row r="1833" x14ac:dyDescent="0.2"/>
    <row r="1834" x14ac:dyDescent="0.2"/>
    <row r="1835" x14ac:dyDescent="0.2"/>
    <row r="1836" x14ac:dyDescent="0.2"/>
    <row r="1837" x14ac:dyDescent="0.2"/>
    <row r="1838" x14ac:dyDescent="0.2"/>
    <row r="1839" x14ac:dyDescent="0.2"/>
    <row r="1840" x14ac:dyDescent="0.2"/>
    <row r="1841" x14ac:dyDescent="0.2"/>
    <row r="1842" x14ac:dyDescent="0.2"/>
    <row r="1843" x14ac:dyDescent="0.2"/>
    <row r="1844" x14ac:dyDescent="0.2"/>
    <row r="1845" x14ac:dyDescent="0.2"/>
    <row r="1846" x14ac:dyDescent="0.2"/>
    <row r="1847" x14ac:dyDescent="0.2"/>
    <row r="1848" x14ac:dyDescent="0.2"/>
    <row r="1849" x14ac:dyDescent="0.2"/>
    <row r="1850" x14ac:dyDescent="0.2"/>
    <row r="1851" x14ac:dyDescent="0.2"/>
    <row r="1852" x14ac:dyDescent="0.2"/>
    <row r="1853" x14ac:dyDescent="0.2"/>
    <row r="1854" x14ac:dyDescent="0.2"/>
    <row r="1855" x14ac:dyDescent="0.2"/>
    <row r="1856" x14ac:dyDescent="0.2"/>
    <row r="1857" x14ac:dyDescent="0.2"/>
    <row r="1858" x14ac:dyDescent="0.2"/>
    <row r="1859" x14ac:dyDescent="0.2"/>
    <row r="1860" x14ac:dyDescent="0.2"/>
    <row r="1861" x14ac:dyDescent="0.2"/>
    <row r="1862" x14ac:dyDescent="0.2"/>
    <row r="1863" x14ac:dyDescent="0.2"/>
    <row r="1864" x14ac:dyDescent="0.2"/>
    <row r="1865" x14ac:dyDescent="0.2"/>
    <row r="1866" x14ac:dyDescent="0.2"/>
    <row r="1867" x14ac:dyDescent="0.2"/>
    <row r="1868" x14ac:dyDescent="0.2"/>
    <row r="1869" x14ac:dyDescent="0.2"/>
    <row r="1870" x14ac:dyDescent="0.2"/>
    <row r="1871" x14ac:dyDescent="0.2"/>
    <row r="1872" x14ac:dyDescent="0.2"/>
    <row r="1873" x14ac:dyDescent="0.2"/>
    <row r="1874" x14ac:dyDescent="0.2"/>
    <row r="1875" x14ac:dyDescent="0.2"/>
    <row r="1876" x14ac:dyDescent="0.2"/>
    <row r="1877" x14ac:dyDescent="0.2"/>
    <row r="1878" x14ac:dyDescent="0.2"/>
    <row r="1879" x14ac:dyDescent="0.2"/>
    <row r="1880" x14ac:dyDescent="0.2"/>
    <row r="1881" x14ac:dyDescent="0.2"/>
    <row r="1882" x14ac:dyDescent="0.2"/>
    <row r="1883" x14ac:dyDescent="0.2"/>
    <row r="1884" x14ac:dyDescent="0.2"/>
    <row r="1885" x14ac:dyDescent="0.2"/>
    <row r="1886" x14ac:dyDescent="0.2"/>
    <row r="1887" x14ac:dyDescent="0.2"/>
    <row r="1888" x14ac:dyDescent="0.2"/>
    <row r="1889" x14ac:dyDescent="0.2"/>
    <row r="1890" x14ac:dyDescent="0.2"/>
    <row r="1891" x14ac:dyDescent="0.2"/>
    <row r="1892" x14ac:dyDescent="0.2"/>
    <row r="1893" x14ac:dyDescent="0.2"/>
    <row r="1894" x14ac:dyDescent="0.2"/>
    <row r="1895" x14ac:dyDescent="0.2"/>
    <row r="1896" x14ac:dyDescent="0.2"/>
    <row r="1897" x14ac:dyDescent="0.2"/>
    <row r="1898" x14ac:dyDescent="0.2"/>
    <row r="1899" x14ac:dyDescent="0.2"/>
    <row r="1900" x14ac:dyDescent="0.2"/>
    <row r="1901" x14ac:dyDescent="0.2"/>
    <row r="1902" x14ac:dyDescent="0.2"/>
    <row r="1903" x14ac:dyDescent="0.2"/>
    <row r="1904" x14ac:dyDescent="0.2"/>
    <row r="1905" x14ac:dyDescent="0.2"/>
    <row r="1906" x14ac:dyDescent="0.2"/>
    <row r="1907" x14ac:dyDescent="0.2"/>
    <row r="1908" x14ac:dyDescent="0.2"/>
    <row r="1909" x14ac:dyDescent="0.2"/>
    <row r="1910" x14ac:dyDescent="0.2"/>
    <row r="1911" x14ac:dyDescent="0.2"/>
    <row r="1912" x14ac:dyDescent="0.2"/>
    <row r="1913" x14ac:dyDescent="0.2"/>
    <row r="1914" x14ac:dyDescent="0.2"/>
    <row r="1915" x14ac:dyDescent="0.2"/>
    <row r="1916" x14ac:dyDescent="0.2"/>
    <row r="1917" x14ac:dyDescent="0.2"/>
    <row r="1918" x14ac:dyDescent="0.2"/>
    <row r="1919" x14ac:dyDescent="0.2"/>
    <row r="1920" x14ac:dyDescent="0.2"/>
    <row r="1921" x14ac:dyDescent="0.2"/>
    <row r="1922" x14ac:dyDescent="0.2"/>
    <row r="1923" x14ac:dyDescent="0.2"/>
    <row r="1924" x14ac:dyDescent="0.2"/>
    <row r="1925" x14ac:dyDescent="0.2"/>
    <row r="1926" x14ac:dyDescent="0.2"/>
    <row r="1927" x14ac:dyDescent="0.2"/>
    <row r="1928" x14ac:dyDescent="0.2"/>
    <row r="1929" x14ac:dyDescent="0.2"/>
    <row r="1930" x14ac:dyDescent="0.2"/>
    <row r="1931" x14ac:dyDescent="0.2"/>
    <row r="1932" x14ac:dyDescent="0.2"/>
    <row r="1933" x14ac:dyDescent="0.2"/>
    <row r="1934" x14ac:dyDescent="0.2"/>
    <row r="1935" x14ac:dyDescent="0.2"/>
    <row r="1936" x14ac:dyDescent="0.2"/>
    <row r="1937" x14ac:dyDescent="0.2"/>
    <row r="1938" x14ac:dyDescent="0.2"/>
    <row r="1939" x14ac:dyDescent="0.2"/>
    <row r="1940" x14ac:dyDescent="0.2"/>
    <row r="1941" x14ac:dyDescent="0.2"/>
    <row r="1942" x14ac:dyDescent="0.2"/>
    <row r="1943" x14ac:dyDescent="0.2"/>
    <row r="1944" x14ac:dyDescent="0.2"/>
    <row r="1945" x14ac:dyDescent="0.2"/>
    <row r="1946" x14ac:dyDescent="0.2"/>
    <row r="1947" x14ac:dyDescent="0.2"/>
    <row r="1948" x14ac:dyDescent="0.2"/>
    <row r="1949" x14ac:dyDescent="0.2"/>
    <row r="1950" x14ac:dyDescent="0.2"/>
    <row r="1951" x14ac:dyDescent="0.2"/>
    <row r="1952" x14ac:dyDescent="0.2"/>
    <row r="1953" x14ac:dyDescent="0.2"/>
    <row r="1954" x14ac:dyDescent="0.2"/>
    <row r="1955" x14ac:dyDescent="0.2"/>
    <row r="1956" x14ac:dyDescent="0.2"/>
    <row r="1957" x14ac:dyDescent="0.2"/>
    <row r="1958" x14ac:dyDescent="0.2"/>
    <row r="1959" x14ac:dyDescent="0.2"/>
    <row r="1960" x14ac:dyDescent="0.2"/>
    <row r="1961" x14ac:dyDescent="0.2"/>
    <row r="1962" x14ac:dyDescent="0.2"/>
    <row r="1963" x14ac:dyDescent="0.2"/>
    <row r="1964" x14ac:dyDescent="0.2"/>
    <row r="1965" x14ac:dyDescent="0.2"/>
    <row r="1966" x14ac:dyDescent="0.2"/>
    <row r="1967" x14ac:dyDescent="0.2"/>
    <row r="1968" x14ac:dyDescent="0.2"/>
    <row r="1969" x14ac:dyDescent="0.2"/>
    <row r="1970" x14ac:dyDescent="0.2"/>
    <row r="1971" x14ac:dyDescent="0.2"/>
    <row r="1972" x14ac:dyDescent="0.2"/>
    <row r="1973" x14ac:dyDescent="0.2"/>
    <row r="1974" x14ac:dyDescent="0.2"/>
    <row r="1975" x14ac:dyDescent="0.2"/>
    <row r="1976" x14ac:dyDescent="0.2"/>
    <row r="1977" x14ac:dyDescent="0.2"/>
    <row r="1978" x14ac:dyDescent="0.2"/>
    <row r="1979" x14ac:dyDescent="0.2"/>
    <row r="1980" x14ac:dyDescent="0.2"/>
    <row r="1981" x14ac:dyDescent="0.2"/>
    <row r="1982" x14ac:dyDescent="0.2"/>
    <row r="1983" x14ac:dyDescent="0.2"/>
    <row r="1984" x14ac:dyDescent="0.2"/>
    <row r="1985" x14ac:dyDescent="0.2"/>
    <row r="1986" x14ac:dyDescent="0.2"/>
    <row r="1987" x14ac:dyDescent="0.2"/>
    <row r="1988" x14ac:dyDescent="0.2"/>
    <row r="1989" x14ac:dyDescent="0.2"/>
    <row r="1990" x14ac:dyDescent="0.2"/>
    <row r="1991" x14ac:dyDescent="0.2"/>
    <row r="1992" x14ac:dyDescent="0.2"/>
    <row r="1993" x14ac:dyDescent="0.2"/>
    <row r="1994" x14ac:dyDescent="0.2"/>
    <row r="1995" x14ac:dyDescent="0.2"/>
    <row r="1996" x14ac:dyDescent="0.2"/>
    <row r="1997" x14ac:dyDescent="0.2"/>
    <row r="1998" x14ac:dyDescent="0.2"/>
    <row r="1999" x14ac:dyDescent="0.2"/>
    <row r="2000" x14ac:dyDescent="0.2"/>
    <row r="2001" x14ac:dyDescent="0.2"/>
    <row r="2002" x14ac:dyDescent="0.2"/>
    <row r="2003" x14ac:dyDescent="0.2"/>
    <row r="2004" x14ac:dyDescent="0.2"/>
    <row r="2005" x14ac:dyDescent="0.2"/>
    <row r="2006" x14ac:dyDescent="0.2"/>
    <row r="2007" x14ac:dyDescent="0.2"/>
    <row r="2008" x14ac:dyDescent="0.2"/>
    <row r="2009" x14ac:dyDescent="0.2"/>
    <row r="2010" x14ac:dyDescent="0.2"/>
    <row r="2011" x14ac:dyDescent="0.2"/>
    <row r="2012" x14ac:dyDescent="0.2"/>
    <row r="2013" x14ac:dyDescent="0.2"/>
    <row r="2014" x14ac:dyDescent="0.2"/>
    <row r="2015" x14ac:dyDescent="0.2"/>
    <row r="2016" x14ac:dyDescent="0.2"/>
    <row r="2017" x14ac:dyDescent="0.2"/>
    <row r="2018" x14ac:dyDescent="0.2"/>
    <row r="2019" x14ac:dyDescent="0.2"/>
    <row r="2020" x14ac:dyDescent="0.2"/>
    <row r="2021" x14ac:dyDescent="0.2"/>
    <row r="2022" x14ac:dyDescent="0.2"/>
    <row r="2023" x14ac:dyDescent="0.2"/>
    <row r="2024" x14ac:dyDescent="0.2"/>
    <row r="2025" x14ac:dyDescent="0.2"/>
    <row r="2026" x14ac:dyDescent="0.2"/>
    <row r="2027" x14ac:dyDescent="0.2"/>
    <row r="2028" x14ac:dyDescent="0.2"/>
    <row r="2029" x14ac:dyDescent="0.2"/>
    <row r="2030" x14ac:dyDescent="0.2"/>
    <row r="2031" x14ac:dyDescent="0.2"/>
    <row r="2032" x14ac:dyDescent="0.2"/>
    <row r="2033" x14ac:dyDescent="0.2"/>
    <row r="2034" x14ac:dyDescent="0.2"/>
    <row r="2035" x14ac:dyDescent="0.2"/>
    <row r="2036" x14ac:dyDescent="0.2"/>
    <row r="2037" x14ac:dyDescent="0.2"/>
    <row r="2038" x14ac:dyDescent="0.2"/>
    <row r="2039" x14ac:dyDescent="0.2"/>
    <row r="2040" x14ac:dyDescent="0.2"/>
    <row r="2041" x14ac:dyDescent="0.2"/>
    <row r="2042" x14ac:dyDescent="0.2"/>
    <row r="2043" x14ac:dyDescent="0.2"/>
    <row r="2044" x14ac:dyDescent="0.2"/>
    <row r="2045" x14ac:dyDescent="0.2"/>
    <row r="2046" x14ac:dyDescent="0.2"/>
    <row r="2047" x14ac:dyDescent="0.2"/>
    <row r="2048" x14ac:dyDescent="0.2"/>
    <row r="2049" x14ac:dyDescent="0.2"/>
    <row r="2050" x14ac:dyDescent="0.2"/>
    <row r="2051" x14ac:dyDescent="0.2"/>
    <row r="2052" x14ac:dyDescent="0.2"/>
    <row r="2053" x14ac:dyDescent="0.2"/>
    <row r="2054" x14ac:dyDescent="0.2"/>
    <row r="2055" x14ac:dyDescent="0.2"/>
    <row r="2056" x14ac:dyDescent="0.2"/>
    <row r="2057" x14ac:dyDescent="0.2"/>
    <row r="2058" x14ac:dyDescent="0.2"/>
    <row r="2059" x14ac:dyDescent="0.2"/>
    <row r="2060" x14ac:dyDescent="0.2"/>
    <row r="2061" x14ac:dyDescent="0.2"/>
    <row r="2062" x14ac:dyDescent="0.2"/>
    <row r="2063" x14ac:dyDescent="0.2"/>
    <row r="2064" x14ac:dyDescent="0.2"/>
    <row r="2065" x14ac:dyDescent="0.2"/>
    <row r="2066" x14ac:dyDescent="0.2"/>
    <row r="2067" x14ac:dyDescent="0.2"/>
    <row r="2068" x14ac:dyDescent="0.2"/>
    <row r="2069" x14ac:dyDescent="0.2"/>
    <row r="2070" x14ac:dyDescent="0.2"/>
    <row r="2071" x14ac:dyDescent="0.2"/>
    <row r="2072" x14ac:dyDescent="0.2"/>
    <row r="2073" x14ac:dyDescent="0.2"/>
    <row r="2074" x14ac:dyDescent="0.2"/>
    <row r="2075" x14ac:dyDescent="0.2"/>
    <row r="2076" x14ac:dyDescent="0.2"/>
    <row r="2077" x14ac:dyDescent="0.2"/>
    <row r="2078" x14ac:dyDescent="0.2"/>
    <row r="2079" x14ac:dyDescent="0.2"/>
    <row r="2080" x14ac:dyDescent="0.2"/>
    <row r="2081" x14ac:dyDescent="0.2"/>
    <row r="2082" x14ac:dyDescent="0.2"/>
    <row r="2083" x14ac:dyDescent="0.2"/>
    <row r="2084" x14ac:dyDescent="0.2"/>
    <row r="2085" x14ac:dyDescent="0.2"/>
    <row r="2086" x14ac:dyDescent="0.2"/>
    <row r="2087" x14ac:dyDescent="0.2"/>
    <row r="2088" x14ac:dyDescent="0.2"/>
    <row r="2089" x14ac:dyDescent="0.2"/>
    <row r="2090" x14ac:dyDescent="0.2"/>
    <row r="2091" x14ac:dyDescent="0.2"/>
    <row r="2092" x14ac:dyDescent="0.2"/>
    <row r="2093" x14ac:dyDescent="0.2"/>
    <row r="2094" x14ac:dyDescent="0.2"/>
    <row r="2095" x14ac:dyDescent="0.2"/>
    <row r="2096" x14ac:dyDescent="0.2"/>
    <row r="2097" x14ac:dyDescent="0.2"/>
    <row r="2098" x14ac:dyDescent="0.2"/>
    <row r="2099" x14ac:dyDescent="0.2"/>
    <row r="2100" x14ac:dyDescent="0.2"/>
    <row r="2101" x14ac:dyDescent="0.2"/>
    <row r="2102" x14ac:dyDescent="0.2"/>
    <row r="2103" x14ac:dyDescent="0.2"/>
    <row r="2104" x14ac:dyDescent="0.2"/>
    <row r="2105" x14ac:dyDescent="0.2"/>
    <row r="2106" x14ac:dyDescent="0.2"/>
    <row r="2107" x14ac:dyDescent="0.2"/>
    <row r="2108" x14ac:dyDescent="0.2"/>
    <row r="2109" x14ac:dyDescent="0.2"/>
    <row r="2110" x14ac:dyDescent="0.2"/>
    <row r="2111" x14ac:dyDescent="0.2"/>
    <row r="2112" x14ac:dyDescent="0.2"/>
    <row r="2113" x14ac:dyDescent="0.2"/>
    <row r="2114" x14ac:dyDescent="0.2"/>
    <row r="2115" x14ac:dyDescent="0.2"/>
    <row r="2116" x14ac:dyDescent="0.2"/>
    <row r="2117" x14ac:dyDescent="0.2"/>
    <row r="2118" x14ac:dyDescent="0.2"/>
    <row r="2119" x14ac:dyDescent="0.2"/>
    <row r="2120" x14ac:dyDescent="0.2"/>
    <row r="2121" x14ac:dyDescent="0.2"/>
    <row r="2122" x14ac:dyDescent="0.2"/>
    <row r="2123" x14ac:dyDescent="0.2"/>
    <row r="2124" x14ac:dyDescent="0.2"/>
    <row r="2125" x14ac:dyDescent="0.2"/>
    <row r="2126" x14ac:dyDescent="0.2"/>
    <row r="2127" x14ac:dyDescent="0.2"/>
    <row r="2128" x14ac:dyDescent="0.2"/>
    <row r="2129" x14ac:dyDescent="0.2"/>
    <row r="2130" x14ac:dyDescent="0.2"/>
    <row r="2131" x14ac:dyDescent="0.2"/>
    <row r="2132" x14ac:dyDescent="0.2"/>
    <row r="2133" x14ac:dyDescent="0.2"/>
    <row r="2134" x14ac:dyDescent="0.2"/>
    <row r="2135" x14ac:dyDescent="0.2"/>
    <row r="2136" x14ac:dyDescent="0.2"/>
    <row r="2137" x14ac:dyDescent="0.2"/>
    <row r="2138" x14ac:dyDescent="0.2"/>
    <row r="2139" x14ac:dyDescent="0.2"/>
    <row r="2140" x14ac:dyDescent="0.2"/>
    <row r="2141" x14ac:dyDescent="0.2"/>
    <row r="2142" x14ac:dyDescent="0.2"/>
    <row r="2143" x14ac:dyDescent="0.2"/>
    <row r="2144" x14ac:dyDescent="0.2"/>
    <row r="2145" x14ac:dyDescent="0.2"/>
    <row r="2146" x14ac:dyDescent="0.2"/>
    <row r="2147" x14ac:dyDescent="0.2"/>
    <row r="2148" x14ac:dyDescent="0.2"/>
    <row r="2149" x14ac:dyDescent="0.2"/>
    <row r="2150" x14ac:dyDescent="0.2"/>
    <row r="2151" x14ac:dyDescent="0.2"/>
    <row r="2152" x14ac:dyDescent="0.2"/>
    <row r="2153" x14ac:dyDescent="0.2"/>
    <row r="2154" x14ac:dyDescent="0.2"/>
    <row r="2155" x14ac:dyDescent="0.2"/>
    <row r="2156" x14ac:dyDescent="0.2"/>
    <row r="2157" x14ac:dyDescent="0.2"/>
    <row r="2158" x14ac:dyDescent="0.2"/>
    <row r="2159" x14ac:dyDescent="0.2"/>
    <row r="2160" x14ac:dyDescent="0.2"/>
    <row r="2161" x14ac:dyDescent="0.2"/>
    <row r="2162" x14ac:dyDescent="0.2"/>
    <row r="2163" x14ac:dyDescent="0.2"/>
    <row r="2164" x14ac:dyDescent="0.2"/>
    <row r="2165" x14ac:dyDescent="0.2"/>
    <row r="2166" x14ac:dyDescent="0.2"/>
    <row r="2167" x14ac:dyDescent="0.2"/>
    <row r="2168" x14ac:dyDescent="0.2"/>
    <row r="2169" x14ac:dyDescent="0.2"/>
    <row r="2170" x14ac:dyDescent="0.2"/>
    <row r="2171" x14ac:dyDescent="0.2"/>
    <row r="2172" x14ac:dyDescent="0.2"/>
    <row r="2173" x14ac:dyDescent="0.2"/>
    <row r="2174" x14ac:dyDescent="0.2"/>
    <row r="2175" x14ac:dyDescent="0.2"/>
    <row r="2176" x14ac:dyDescent="0.2"/>
    <row r="2177" x14ac:dyDescent="0.2"/>
    <row r="2178" x14ac:dyDescent="0.2"/>
    <row r="2179" x14ac:dyDescent="0.2"/>
    <row r="2180" x14ac:dyDescent="0.2"/>
    <row r="2181" x14ac:dyDescent="0.2"/>
    <row r="2182" x14ac:dyDescent="0.2"/>
    <row r="2183" x14ac:dyDescent="0.2"/>
    <row r="2184" x14ac:dyDescent="0.2"/>
    <row r="2185" x14ac:dyDescent="0.2"/>
    <row r="2186" x14ac:dyDescent="0.2"/>
    <row r="2187" x14ac:dyDescent="0.2"/>
    <row r="2188" x14ac:dyDescent="0.2"/>
    <row r="2189" x14ac:dyDescent="0.2"/>
    <row r="2190" x14ac:dyDescent="0.2"/>
    <row r="2191" x14ac:dyDescent="0.2"/>
    <row r="2192" x14ac:dyDescent="0.2"/>
    <row r="2193" x14ac:dyDescent="0.2"/>
    <row r="2194" x14ac:dyDescent="0.2"/>
    <row r="2195" x14ac:dyDescent="0.2"/>
    <row r="2196" x14ac:dyDescent="0.2"/>
    <row r="2197" x14ac:dyDescent="0.2"/>
    <row r="2198" x14ac:dyDescent="0.2"/>
    <row r="2199" x14ac:dyDescent="0.2"/>
    <row r="2200" x14ac:dyDescent="0.2"/>
    <row r="2201" x14ac:dyDescent="0.2"/>
    <row r="2202" x14ac:dyDescent="0.2"/>
    <row r="2203" x14ac:dyDescent="0.2"/>
    <row r="2204" x14ac:dyDescent="0.2"/>
    <row r="2205" x14ac:dyDescent="0.2"/>
    <row r="2206" x14ac:dyDescent="0.2"/>
    <row r="2207" x14ac:dyDescent="0.2"/>
    <row r="2208" x14ac:dyDescent="0.2"/>
    <row r="2209" x14ac:dyDescent="0.2"/>
    <row r="2210" x14ac:dyDescent="0.2"/>
    <row r="2211" x14ac:dyDescent="0.2"/>
    <row r="2212" x14ac:dyDescent="0.2"/>
    <row r="2213" x14ac:dyDescent="0.2"/>
    <row r="2214" x14ac:dyDescent="0.2"/>
    <row r="2215" x14ac:dyDescent="0.2"/>
    <row r="2216" x14ac:dyDescent="0.2"/>
    <row r="2217" x14ac:dyDescent="0.2"/>
    <row r="2218" x14ac:dyDescent="0.2"/>
    <row r="2219" x14ac:dyDescent="0.2"/>
    <row r="2220" x14ac:dyDescent="0.2"/>
    <row r="2221" x14ac:dyDescent="0.2"/>
    <row r="2222" x14ac:dyDescent="0.2"/>
    <row r="2223" x14ac:dyDescent="0.2"/>
    <row r="2224" x14ac:dyDescent="0.2"/>
    <row r="2225" x14ac:dyDescent="0.2"/>
    <row r="2226" x14ac:dyDescent="0.2"/>
    <row r="2227" x14ac:dyDescent="0.2"/>
    <row r="2228" x14ac:dyDescent="0.2"/>
    <row r="2229" x14ac:dyDescent="0.2"/>
    <row r="2230" x14ac:dyDescent="0.2"/>
    <row r="2231" x14ac:dyDescent="0.2"/>
    <row r="2232" x14ac:dyDescent="0.2"/>
    <row r="2233" x14ac:dyDescent="0.2"/>
    <row r="2234" x14ac:dyDescent="0.2"/>
    <row r="2235" x14ac:dyDescent="0.2"/>
    <row r="2236" x14ac:dyDescent="0.2"/>
    <row r="2237" x14ac:dyDescent="0.2"/>
    <row r="2238" x14ac:dyDescent="0.2"/>
    <row r="2239" x14ac:dyDescent="0.2"/>
    <row r="2240" x14ac:dyDescent="0.2"/>
    <row r="2241" x14ac:dyDescent="0.2"/>
    <row r="2242" x14ac:dyDescent="0.2"/>
    <row r="2243" x14ac:dyDescent="0.2"/>
    <row r="2244" x14ac:dyDescent="0.2"/>
    <row r="2245" x14ac:dyDescent="0.2"/>
    <row r="2246" x14ac:dyDescent="0.2"/>
    <row r="2247" x14ac:dyDescent="0.2"/>
    <row r="2248" x14ac:dyDescent="0.2"/>
    <row r="2249" x14ac:dyDescent="0.2"/>
    <row r="2250" x14ac:dyDescent="0.2"/>
    <row r="2251" x14ac:dyDescent="0.2"/>
    <row r="2252" x14ac:dyDescent="0.2"/>
    <row r="2253" x14ac:dyDescent="0.2"/>
    <row r="2254" x14ac:dyDescent="0.2"/>
    <row r="2255" x14ac:dyDescent="0.2"/>
    <row r="2256" x14ac:dyDescent="0.2"/>
    <row r="2257" x14ac:dyDescent="0.2"/>
    <row r="2258" x14ac:dyDescent="0.2"/>
    <row r="2259" x14ac:dyDescent="0.2"/>
    <row r="2260" x14ac:dyDescent="0.2"/>
    <row r="2261" x14ac:dyDescent="0.2"/>
    <row r="2262" x14ac:dyDescent="0.2"/>
    <row r="2263" x14ac:dyDescent="0.2"/>
    <row r="2264" x14ac:dyDescent="0.2"/>
    <row r="2265" x14ac:dyDescent="0.2"/>
    <row r="2266" x14ac:dyDescent="0.2"/>
    <row r="2267" x14ac:dyDescent="0.2"/>
    <row r="2268" x14ac:dyDescent="0.2"/>
    <row r="2269" x14ac:dyDescent="0.2"/>
    <row r="2270" x14ac:dyDescent="0.2"/>
    <row r="2271" x14ac:dyDescent="0.2"/>
    <row r="2272" x14ac:dyDescent="0.2"/>
    <row r="2273" x14ac:dyDescent="0.2"/>
    <row r="2274" x14ac:dyDescent="0.2"/>
    <row r="2275" x14ac:dyDescent="0.2"/>
    <row r="2276" x14ac:dyDescent="0.2"/>
    <row r="2277" x14ac:dyDescent="0.2"/>
    <row r="2278" x14ac:dyDescent="0.2"/>
    <row r="2279" x14ac:dyDescent="0.2"/>
    <row r="2280" x14ac:dyDescent="0.2"/>
    <row r="2281" x14ac:dyDescent="0.2"/>
    <row r="2282" x14ac:dyDescent="0.2"/>
    <row r="2283" x14ac:dyDescent="0.2"/>
    <row r="2284" x14ac:dyDescent="0.2"/>
    <row r="2285" x14ac:dyDescent="0.2"/>
    <row r="2286" x14ac:dyDescent="0.2"/>
    <row r="2287" x14ac:dyDescent="0.2"/>
    <row r="2288" x14ac:dyDescent="0.2"/>
    <row r="2289" x14ac:dyDescent="0.2"/>
    <row r="2290" x14ac:dyDescent="0.2"/>
    <row r="2291" x14ac:dyDescent="0.2"/>
    <row r="2292" x14ac:dyDescent="0.2"/>
    <row r="2293" x14ac:dyDescent="0.2"/>
    <row r="2294" x14ac:dyDescent="0.2"/>
    <row r="2295" x14ac:dyDescent="0.2"/>
    <row r="2296" x14ac:dyDescent="0.2"/>
    <row r="2297" x14ac:dyDescent="0.2"/>
    <row r="2298" x14ac:dyDescent="0.2"/>
    <row r="2299" x14ac:dyDescent="0.2"/>
    <row r="2300" x14ac:dyDescent="0.2"/>
    <row r="2301" x14ac:dyDescent="0.2"/>
    <row r="2302" x14ac:dyDescent="0.2"/>
    <row r="2303" x14ac:dyDescent="0.2"/>
    <row r="2304" x14ac:dyDescent="0.2"/>
    <row r="2305" x14ac:dyDescent="0.2"/>
    <row r="2306" x14ac:dyDescent="0.2"/>
    <row r="2307" x14ac:dyDescent="0.2"/>
    <row r="2308" x14ac:dyDescent="0.2"/>
    <row r="2309" x14ac:dyDescent="0.2"/>
    <row r="2310" x14ac:dyDescent="0.2"/>
    <row r="2311" x14ac:dyDescent="0.2"/>
    <row r="2312" x14ac:dyDescent="0.2"/>
    <row r="2313" x14ac:dyDescent="0.2"/>
    <row r="2314" x14ac:dyDescent="0.2"/>
    <row r="2315" x14ac:dyDescent="0.2"/>
    <row r="2316" x14ac:dyDescent="0.2"/>
    <row r="2317" x14ac:dyDescent="0.2"/>
    <row r="2318" x14ac:dyDescent="0.2"/>
    <row r="2319" x14ac:dyDescent="0.2"/>
    <row r="2320" x14ac:dyDescent="0.2"/>
    <row r="2321" x14ac:dyDescent="0.2"/>
    <row r="2322" x14ac:dyDescent="0.2"/>
    <row r="2323" x14ac:dyDescent="0.2"/>
    <row r="2324" x14ac:dyDescent="0.2"/>
    <row r="2325" x14ac:dyDescent="0.2"/>
    <row r="2326" x14ac:dyDescent="0.2"/>
    <row r="2327" x14ac:dyDescent="0.2"/>
    <row r="2328" x14ac:dyDescent="0.2"/>
    <row r="2329" x14ac:dyDescent="0.2"/>
    <row r="2330" x14ac:dyDescent="0.2"/>
    <row r="2331" x14ac:dyDescent="0.2"/>
    <row r="2332" x14ac:dyDescent="0.2"/>
    <row r="2333" x14ac:dyDescent="0.2"/>
    <row r="2334" x14ac:dyDescent="0.2"/>
    <row r="2335" x14ac:dyDescent="0.2"/>
    <row r="2336" x14ac:dyDescent="0.2"/>
    <row r="2337" x14ac:dyDescent="0.2"/>
    <row r="2338" x14ac:dyDescent="0.2"/>
    <row r="2339" x14ac:dyDescent="0.2"/>
    <row r="2340" x14ac:dyDescent="0.2"/>
    <row r="2341" x14ac:dyDescent="0.2"/>
    <row r="2342" x14ac:dyDescent="0.2"/>
    <row r="2343" x14ac:dyDescent="0.2"/>
    <row r="2344" x14ac:dyDescent="0.2"/>
    <row r="2345" x14ac:dyDescent="0.2"/>
    <row r="2346" x14ac:dyDescent="0.2"/>
    <row r="2347" x14ac:dyDescent="0.2"/>
    <row r="2348" x14ac:dyDescent="0.2"/>
    <row r="2349" x14ac:dyDescent="0.2"/>
    <row r="2350" x14ac:dyDescent="0.2"/>
    <row r="2351" x14ac:dyDescent="0.2"/>
    <row r="2352" x14ac:dyDescent="0.2"/>
    <row r="2353" x14ac:dyDescent="0.2"/>
    <row r="2354" x14ac:dyDescent="0.2"/>
    <row r="2355" x14ac:dyDescent="0.2"/>
    <row r="2356" x14ac:dyDescent="0.2"/>
    <row r="2357" x14ac:dyDescent="0.2"/>
    <row r="2358" x14ac:dyDescent="0.2"/>
    <row r="2359" x14ac:dyDescent="0.2"/>
    <row r="2360" x14ac:dyDescent="0.2"/>
    <row r="2361" x14ac:dyDescent="0.2"/>
    <row r="2362" x14ac:dyDescent="0.2"/>
    <row r="2363" x14ac:dyDescent="0.2"/>
    <row r="2364" x14ac:dyDescent="0.2"/>
    <row r="2365" x14ac:dyDescent="0.2"/>
    <row r="2366" x14ac:dyDescent="0.2"/>
    <row r="2367" x14ac:dyDescent="0.2"/>
    <row r="2368" x14ac:dyDescent="0.2"/>
    <row r="2369" x14ac:dyDescent="0.2"/>
    <row r="2370" x14ac:dyDescent="0.2"/>
    <row r="2371" x14ac:dyDescent="0.2"/>
    <row r="2372" x14ac:dyDescent="0.2"/>
    <row r="2373" x14ac:dyDescent="0.2"/>
    <row r="2374" x14ac:dyDescent="0.2"/>
    <row r="2375" x14ac:dyDescent="0.2"/>
    <row r="2376" x14ac:dyDescent="0.2"/>
    <row r="2377" x14ac:dyDescent="0.2"/>
    <row r="2378" x14ac:dyDescent="0.2"/>
    <row r="2379" x14ac:dyDescent="0.2"/>
    <row r="2380" x14ac:dyDescent="0.2"/>
    <row r="2381" x14ac:dyDescent="0.2"/>
    <row r="2382" x14ac:dyDescent="0.2"/>
    <row r="2383" x14ac:dyDescent="0.2"/>
    <row r="2384" x14ac:dyDescent="0.2"/>
    <row r="2385" x14ac:dyDescent="0.2"/>
    <row r="2386" x14ac:dyDescent="0.2"/>
    <row r="2387" x14ac:dyDescent="0.2"/>
    <row r="2388" x14ac:dyDescent="0.2"/>
    <row r="2389" x14ac:dyDescent="0.2"/>
    <row r="2390" x14ac:dyDescent="0.2"/>
    <row r="2391" x14ac:dyDescent="0.2"/>
    <row r="2392" x14ac:dyDescent="0.2"/>
    <row r="2393" x14ac:dyDescent="0.2"/>
    <row r="2394" x14ac:dyDescent="0.2"/>
    <row r="2395" x14ac:dyDescent="0.2"/>
    <row r="2396" x14ac:dyDescent="0.2"/>
    <row r="2397" x14ac:dyDescent="0.2"/>
    <row r="2398" x14ac:dyDescent="0.2"/>
    <row r="2399" x14ac:dyDescent="0.2"/>
    <row r="2400" x14ac:dyDescent="0.2"/>
    <row r="2401" x14ac:dyDescent="0.2"/>
    <row r="2402" x14ac:dyDescent="0.2"/>
    <row r="2403" x14ac:dyDescent="0.2"/>
    <row r="2404" x14ac:dyDescent="0.2"/>
    <row r="2405" x14ac:dyDescent="0.2"/>
    <row r="2406" x14ac:dyDescent="0.2"/>
    <row r="2407" x14ac:dyDescent="0.2"/>
    <row r="2408" x14ac:dyDescent="0.2"/>
    <row r="2409" x14ac:dyDescent="0.2"/>
    <row r="2410" x14ac:dyDescent="0.2"/>
    <row r="2411" x14ac:dyDescent="0.2"/>
    <row r="2412" x14ac:dyDescent="0.2"/>
    <row r="2413" x14ac:dyDescent="0.2"/>
    <row r="2414" x14ac:dyDescent="0.2"/>
    <row r="2415" x14ac:dyDescent="0.2"/>
    <row r="2416" x14ac:dyDescent="0.2"/>
    <row r="2417" x14ac:dyDescent="0.2"/>
    <row r="2418" x14ac:dyDescent="0.2"/>
    <row r="2419" x14ac:dyDescent="0.2"/>
    <row r="2420" x14ac:dyDescent="0.2"/>
    <row r="2421" x14ac:dyDescent="0.2"/>
    <row r="2422" x14ac:dyDescent="0.2"/>
    <row r="2423" x14ac:dyDescent="0.2"/>
    <row r="2424" x14ac:dyDescent="0.2"/>
    <row r="2425" x14ac:dyDescent="0.2"/>
    <row r="2426" x14ac:dyDescent="0.2"/>
    <row r="2427" x14ac:dyDescent="0.2"/>
    <row r="2428" x14ac:dyDescent="0.2"/>
    <row r="2429" x14ac:dyDescent="0.2"/>
    <row r="2430" x14ac:dyDescent="0.2"/>
    <row r="2431" x14ac:dyDescent="0.2"/>
    <row r="2432" x14ac:dyDescent="0.2"/>
    <row r="2433" x14ac:dyDescent="0.2"/>
    <row r="2434" x14ac:dyDescent="0.2"/>
    <row r="2435" x14ac:dyDescent="0.2"/>
    <row r="2436" x14ac:dyDescent="0.2"/>
    <row r="2437" x14ac:dyDescent="0.2"/>
    <row r="2438" x14ac:dyDescent="0.2"/>
    <row r="2439" x14ac:dyDescent="0.2"/>
    <row r="2440" x14ac:dyDescent="0.2"/>
    <row r="2441" x14ac:dyDescent="0.2"/>
    <row r="2442" x14ac:dyDescent="0.2"/>
    <row r="2443" x14ac:dyDescent="0.2"/>
    <row r="2444" x14ac:dyDescent="0.2"/>
    <row r="2445" x14ac:dyDescent="0.2"/>
    <row r="2446" x14ac:dyDescent="0.2"/>
    <row r="2447" x14ac:dyDescent="0.2"/>
    <row r="2448" x14ac:dyDescent="0.2"/>
    <row r="2449" x14ac:dyDescent="0.2"/>
    <row r="2450" x14ac:dyDescent="0.2"/>
    <row r="2451" x14ac:dyDescent="0.2"/>
    <row r="2452" x14ac:dyDescent="0.2"/>
    <row r="2453" x14ac:dyDescent="0.2"/>
    <row r="2454" x14ac:dyDescent="0.2"/>
    <row r="2455" x14ac:dyDescent="0.2"/>
    <row r="2456" x14ac:dyDescent="0.2"/>
    <row r="2457" x14ac:dyDescent="0.2"/>
    <row r="2458" x14ac:dyDescent="0.2"/>
    <row r="2459" x14ac:dyDescent="0.2"/>
    <row r="2460" x14ac:dyDescent="0.2"/>
    <row r="2461" x14ac:dyDescent="0.2"/>
    <row r="2462" x14ac:dyDescent="0.2"/>
    <row r="2463" x14ac:dyDescent="0.2"/>
    <row r="2464" x14ac:dyDescent="0.2"/>
    <row r="2465" x14ac:dyDescent="0.2"/>
    <row r="2466" x14ac:dyDescent="0.2"/>
    <row r="2467" x14ac:dyDescent="0.2"/>
    <row r="2468" x14ac:dyDescent="0.2"/>
    <row r="2469" x14ac:dyDescent="0.2"/>
    <row r="2470" x14ac:dyDescent="0.2"/>
    <row r="2471" x14ac:dyDescent="0.2"/>
    <row r="2472" x14ac:dyDescent="0.2"/>
    <row r="2473" x14ac:dyDescent="0.2"/>
    <row r="2474" x14ac:dyDescent="0.2"/>
    <row r="2475" x14ac:dyDescent="0.2"/>
    <row r="2476" x14ac:dyDescent="0.2"/>
    <row r="2477" x14ac:dyDescent="0.2"/>
    <row r="2478" x14ac:dyDescent="0.2"/>
    <row r="2479" x14ac:dyDescent="0.2"/>
    <row r="2480" x14ac:dyDescent="0.2"/>
    <row r="2481" x14ac:dyDescent="0.2"/>
    <row r="2482" x14ac:dyDescent="0.2"/>
    <row r="2483" x14ac:dyDescent="0.2"/>
    <row r="2484" x14ac:dyDescent="0.2"/>
    <row r="2485" x14ac:dyDescent="0.2"/>
    <row r="2486" x14ac:dyDescent="0.2"/>
    <row r="2487" x14ac:dyDescent="0.2"/>
    <row r="2488" x14ac:dyDescent="0.2"/>
    <row r="2489" x14ac:dyDescent="0.2"/>
    <row r="2490" x14ac:dyDescent="0.2"/>
    <row r="2491" x14ac:dyDescent="0.2"/>
    <row r="2492" x14ac:dyDescent="0.2"/>
    <row r="2493" x14ac:dyDescent="0.2"/>
    <row r="2494" x14ac:dyDescent="0.2"/>
    <row r="2495" x14ac:dyDescent="0.2"/>
    <row r="2496" x14ac:dyDescent="0.2"/>
    <row r="2497" x14ac:dyDescent="0.2"/>
    <row r="2498" x14ac:dyDescent="0.2"/>
    <row r="2499" x14ac:dyDescent="0.2"/>
    <row r="2500" x14ac:dyDescent="0.2"/>
    <row r="2501" x14ac:dyDescent="0.2"/>
    <row r="2502" x14ac:dyDescent="0.2"/>
    <row r="2503" x14ac:dyDescent="0.2"/>
    <row r="2504" x14ac:dyDescent="0.2"/>
    <row r="2505" x14ac:dyDescent="0.2"/>
    <row r="2506" x14ac:dyDescent="0.2"/>
    <row r="2507" x14ac:dyDescent="0.2"/>
    <row r="2508" x14ac:dyDescent="0.2"/>
    <row r="2509" x14ac:dyDescent="0.2"/>
    <row r="2510" x14ac:dyDescent="0.2"/>
    <row r="2511" x14ac:dyDescent="0.2"/>
    <row r="2512" x14ac:dyDescent="0.2"/>
    <row r="2513" x14ac:dyDescent="0.2"/>
    <row r="2514" x14ac:dyDescent="0.2"/>
    <row r="2515" x14ac:dyDescent="0.2"/>
    <row r="2516" x14ac:dyDescent="0.2"/>
    <row r="2517" x14ac:dyDescent="0.2"/>
    <row r="2518" x14ac:dyDescent="0.2"/>
    <row r="2519" x14ac:dyDescent="0.2"/>
    <row r="2520" x14ac:dyDescent="0.2"/>
    <row r="2521" x14ac:dyDescent="0.2"/>
    <row r="2522" x14ac:dyDescent="0.2"/>
    <row r="2523" x14ac:dyDescent="0.2"/>
    <row r="2524" x14ac:dyDescent="0.2"/>
    <row r="2525" x14ac:dyDescent="0.2"/>
    <row r="2526" x14ac:dyDescent="0.2"/>
    <row r="2527" x14ac:dyDescent="0.2"/>
    <row r="2528" x14ac:dyDescent="0.2"/>
    <row r="2529" x14ac:dyDescent="0.2"/>
    <row r="2530" x14ac:dyDescent="0.2"/>
    <row r="2531" x14ac:dyDescent="0.2"/>
    <row r="2532" x14ac:dyDescent="0.2"/>
    <row r="2533" x14ac:dyDescent="0.2"/>
    <row r="2534" x14ac:dyDescent="0.2"/>
    <row r="2535" x14ac:dyDescent="0.2"/>
    <row r="2536" x14ac:dyDescent="0.2"/>
    <row r="2537" x14ac:dyDescent="0.2"/>
    <row r="2538" x14ac:dyDescent="0.2"/>
    <row r="2539" x14ac:dyDescent="0.2"/>
    <row r="2540" x14ac:dyDescent="0.2"/>
    <row r="2541" x14ac:dyDescent="0.2"/>
    <row r="2542" x14ac:dyDescent="0.2"/>
    <row r="2543" x14ac:dyDescent="0.2"/>
    <row r="2544" x14ac:dyDescent="0.2"/>
    <row r="2545" x14ac:dyDescent="0.2"/>
    <row r="2546" x14ac:dyDescent="0.2"/>
    <row r="2547" x14ac:dyDescent="0.2"/>
    <row r="2548" x14ac:dyDescent="0.2"/>
    <row r="2549" x14ac:dyDescent="0.2"/>
    <row r="2550" x14ac:dyDescent="0.2"/>
    <row r="2551" x14ac:dyDescent="0.2"/>
    <row r="2552" x14ac:dyDescent="0.2"/>
    <row r="2553" x14ac:dyDescent="0.2"/>
    <row r="2554" x14ac:dyDescent="0.2"/>
    <row r="2555" x14ac:dyDescent="0.2"/>
    <row r="2556" x14ac:dyDescent="0.2"/>
    <row r="2557" x14ac:dyDescent="0.2"/>
    <row r="2558" x14ac:dyDescent="0.2"/>
    <row r="2559" x14ac:dyDescent="0.2"/>
    <row r="2560" x14ac:dyDescent="0.2"/>
    <row r="2561" x14ac:dyDescent="0.2"/>
    <row r="2562" x14ac:dyDescent="0.2"/>
    <row r="2563" x14ac:dyDescent="0.2"/>
    <row r="2564" x14ac:dyDescent="0.2"/>
    <row r="2565" x14ac:dyDescent="0.2"/>
    <row r="2566" x14ac:dyDescent="0.2"/>
    <row r="2567" x14ac:dyDescent="0.2"/>
    <row r="2568" x14ac:dyDescent="0.2"/>
    <row r="2569" x14ac:dyDescent="0.2"/>
    <row r="2570" x14ac:dyDescent="0.2"/>
    <row r="2571" x14ac:dyDescent="0.2"/>
    <row r="2572" x14ac:dyDescent="0.2"/>
    <row r="2573" x14ac:dyDescent="0.2"/>
    <row r="2574" x14ac:dyDescent="0.2"/>
    <row r="2575" x14ac:dyDescent="0.2"/>
    <row r="2576" x14ac:dyDescent="0.2"/>
    <row r="2577" x14ac:dyDescent="0.2"/>
    <row r="2578" x14ac:dyDescent="0.2"/>
    <row r="2579" x14ac:dyDescent="0.2"/>
    <row r="2580" x14ac:dyDescent="0.2"/>
    <row r="2581" x14ac:dyDescent="0.2"/>
    <row r="2582" x14ac:dyDescent="0.2"/>
    <row r="2583" x14ac:dyDescent="0.2"/>
    <row r="2584" x14ac:dyDescent="0.2"/>
    <row r="2585" x14ac:dyDescent="0.2"/>
    <row r="2586" x14ac:dyDescent="0.2"/>
    <row r="2587" x14ac:dyDescent="0.2"/>
    <row r="2588" x14ac:dyDescent="0.2"/>
    <row r="2589" x14ac:dyDescent="0.2"/>
    <row r="2590" x14ac:dyDescent="0.2"/>
    <row r="2591" x14ac:dyDescent="0.2"/>
    <row r="2592" x14ac:dyDescent="0.2"/>
    <row r="2593" x14ac:dyDescent="0.2"/>
    <row r="2594" x14ac:dyDescent="0.2"/>
    <row r="2595" x14ac:dyDescent="0.2"/>
    <row r="2596" x14ac:dyDescent="0.2"/>
    <row r="2597" x14ac:dyDescent="0.2"/>
    <row r="2598" x14ac:dyDescent="0.2"/>
    <row r="2599" x14ac:dyDescent="0.2"/>
    <row r="2600" x14ac:dyDescent="0.2"/>
    <row r="2601" x14ac:dyDescent="0.2"/>
    <row r="2602" x14ac:dyDescent="0.2"/>
    <row r="2603" x14ac:dyDescent="0.2"/>
    <row r="2604" x14ac:dyDescent="0.2"/>
    <row r="2605" x14ac:dyDescent="0.2"/>
    <row r="2606" x14ac:dyDescent="0.2"/>
    <row r="2607" x14ac:dyDescent="0.2"/>
    <row r="2608" x14ac:dyDescent="0.2"/>
    <row r="2609" x14ac:dyDescent="0.2"/>
    <row r="2610" x14ac:dyDescent="0.2"/>
    <row r="2611" x14ac:dyDescent="0.2"/>
    <row r="2612" x14ac:dyDescent="0.2"/>
    <row r="2613" x14ac:dyDescent="0.2"/>
    <row r="2614" x14ac:dyDescent="0.2"/>
    <row r="2615" x14ac:dyDescent="0.2"/>
    <row r="2616" x14ac:dyDescent="0.2"/>
    <row r="2617" x14ac:dyDescent="0.2"/>
    <row r="2618" x14ac:dyDescent="0.2"/>
    <row r="2619" x14ac:dyDescent="0.2"/>
    <row r="2620" x14ac:dyDescent="0.2"/>
    <row r="2621" x14ac:dyDescent="0.2"/>
    <row r="2622" x14ac:dyDescent="0.2"/>
    <row r="2623" x14ac:dyDescent="0.2"/>
    <row r="2624" x14ac:dyDescent="0.2"/>
    <row r="2625" x14ac:dyDescent="0.2"/>
    <row r="2626" x14ac:dyDescent="0.2"/>
    <row r="2627" x14ac:dyDescent="0.2"/>
    <row r="2628" x14ac:dyDescent="0.2"/>
    <row r="2629" x14ac:dyDescent="0.2"/>
    <row r="2630" x14ac:dyDescent="0.2"/>
    <row r="2631" x14ac:dyDescent="0.2"/>
    <row r="2632" x14ac:dyDescent="0.2"/>
    <row r="2633" x14ac:dyDescent="0.2"/>
    <row r="2634" x14ac:dyDescent="0.2"/>
    <row r="2635" x14ac:dyDescent="0.2"/>
    <row r="2636" x14ac:dyDescent="0.2"/>
    <row r="2637" x14ac:dyDescent="0.2"/>
    <row r="2638" x14ac:dyDescent="0.2"/>
    <row r="2639" x14ac:dyDescent="0.2"/>
    <row r="2640" x14ac:dyDescent="0.2"/>
    <row r="2641" x14ac:dyDescent="0.2"/>
    <row r="2642" x14ac:dyDescent="0.2"/>
    <row r="2643" x14ac:dyDescent="0.2"/>
    <row r="2644" x14ac:dyDescent="0.2"/>
    <row r="2645" x14ac:dyDescent="0.2"/>
    <row r="2646" x14ac:dyDescent="0.2"/>
    <row r="2647" x14ac:dyDescent="0.2"/>
    <row r="2648" x14ac:dyDescent="0.2"/>
    <row r="2649" x14ac:dyDescent="0.2"/>
    <row r="2650" x14ac:dyDescent="0.2"/>
    <row r="2651" x14ac:dyDescent="0.2"/>
    <row r="2652" x14ac:dyDescent="0.2"/>
    <row r="2653" x14ac:dyDescent="0.2"/>
    <row r="2654" x14ac:dyDescent="0.2"/>
    <row r="2655" x14ac:dyDescent="0.2"/>
    <row r="2656" x14ac:dyDescent="0.2"/>
    <row r="2657" x14ac:dyDescent="0.2"/>
    <row r="2658" x14ac:dyDescent="0.2"/>
    <row r="2659" x14ac:dyDescent="0.2"/>
    <row r="2660" x14ac:dyDescent="0.2"/>
    <row r="2661" x14ac:dyDescent="0.2"/>
    <row r="2662" x14ac:dyDescent="0.2"/>
    <row r="2663" x14ac:dyDescent="0.2"/>
    <row r="2664" x14ac:dyDescent="0.2"/>
    <row r="2665" x14ac:dyDescent="0.2"/>
    <row r="2666" x14ac:dyDescent="0.2"/>
    <row r="2667" x14ac:dyDescent="0.2"/>
    <row r="2668" x14ac:dyDescent="0.2"/>
    <row r="2669" x14ac:dyDescent="0.2"/>
    <row r="2670" x14ac:dyDescent="0.2"/>
    <row r="2671" x14ac:dyDescent="0.2"/>
    <row r="2672" x14ac:dyDescent="0.2"/>
    <row r="2673" x14ac:dyDescent="0.2"/>
    <row r="2674" x14ac:dyDescent="0.2"/>
    <row r="2675" x14ac:dyDescent="0.2"/>
    <row r="2676" x14ac:dyDescent="0.2"/>
    <row r="2677" x14ac:dyDescent="0.2"/>
    <row r="2678" x14ac:dyDescent="0.2"/>
    <row r="2679" x14ac:dyDescent="0.2"/>
    <row r="2680" x14ac:dyDescent="0.2"/>
    <row r="2681" x14ac:dyDescent="0.2"/>
    <row r="2682" x14ac:dyDescent="0.2"/>
    <row r="2683" x14ac:dyDescent="0.2"/>
    <row r="2684" x14ac:dyDescent="0.2"/>
    <row r="2685" x14ac:dyDescent="0.2"/>
    <row r="2686" x14ac:dyDescent="0.2"/>
    <row r="2687" x14ac:dyDescent="0.2"/>
    <row r="2688" x14ac:dyDescent="0.2"/>
    <row r="2689" x14ac:dyDescent="0.2"/>
    <row r="2690" x14ac:dyDescent="0.2"/>
    <row r="2691" x14ac:dyDescent="0.2"/>
    <row r="2692" x14ac:dyDescent="0.2"/>
    <row r="2693" x14ac:dyDescent="0.2"/>
    <row r="2694" x14ac:dyDescent="0.2"/>
    <row r="2695" x14ac:dyDescent="0.2"/>
    <row r="2696" x14ac:dyDescent="0.2"/>
    <row r="2697" x14ac:dyDescent="0.2"/>
    <row r="2698" x14ac:dyDescent="0.2"/>
    <row r="2699" x14ac:dyDescent="0.2"/>
    <row r="2700" x14ac:dyDescent="0.2"/>
    <row r="2701" x14ac:dyDescent="0.2"/>
    <row r="2702" x14ac:dyDescent="0.2"/>
    <row r="2703" x14ac:dyDescent="0.2"/>
    <row r="2704" x14ac:dyDescent="0.2"/>
    <row r="2705" x14ac:dyDescent="0.2"/>
    <row r="2706" x14ac:dyDescent="0.2"/>
    <row r="2707" x14ac:dyDescent="0.2"/>
    <row r="2708" x14ac:dyDescent="0.2"/>
    <row r="2709" x14ac:dyDescent="0.2"/>
  </sheetData>
  <mergeCells count="620">
    <mergeCell ref="C160:H160"/>
    <mergeCell ref="N160:S160"/>
    <mergeCell ref="AA160:AD160"/>
    <mergeCell ref="AI160:AL160"/>
    <mergeCell ref="AO160:AV160"/>
    <mergeCell ref="C205:H205"/>
    <mergeCell ref="N205:S205"/>
    <mergeCell ref="AA205:AD205"/>
    <mergeCell ref="AI205:AL205"/>
    <mergeCell ref="AO205:AV205"/>
    <mergeCell ref="C115:D115"/>
    <mergeCell ref="E115:AV115"/>
    <mergeCell ref="Y43:Z43"/>
    <mergeCell ref="Y45:Z45"/>
    <mergeCell ref="AF45:AG45"/>
    <mergeCell ref="AO45:AP45"/>
    <mergeCell ref="M47:N47"/>
    <mergeCell ref="C125:AV125"/>
    <mergeCell ref="M43:N43"/>
    <mergeCell ref="M45:N45"/>
    <mergeCell ref="C51:AV51"/>
    <mergeCell ref="C56:AI67"/>
    <mergeCell ref="AR86:AV87"/>
    <mergeCell ref="C86:AL86"/>
    <mergeCell ref="E113:AV113"/>
    <mergeCell ref="C124:Q124"/>
    <mergeCell ref="C113:D113"/>
    <mergeCell ref="C102:AV102"/>
    <mergeCell ref="C99:N99"/>
    <mergeCell ref="AP377:AU377"/>
    <mergeCell ref="AP378:AU378"/>
    <mergeCell ref="AP379:AU379"/>
    <mergeCell ref="AQ380:AV380"/>
    <mergeCell ref="AS130:AV130"/>
    <mergeCell ref="AP372:AU372"/>
    <mergeCell ref="AP373:AU373"/>
    <mergeCell ref="AQ374:AV374"/>
    <mergeCell ref="AP376:AU376"/>
    <mergeCell ref="AP370:AU370"/>
    <mergeCell ref="AO343:AV343"/>
    <mergeCell ref="AO342:AV342"/>
    <mergeCell ref="AM303:AU303"/>
    <mergeCell ref="AM310:AU310"/>
    <mergeCell ref="C236:AV236"/>
    <mergeCell ref="AP193:AU193"/>
    <mergeCell ref="AQ194:AV194"/>
    <mergeCell ref="AB197:AF197"/>
    <mergeCell ref="AA223:AE223"/>
    <mergeCell ref="AF223:AK223"/>
    <mergeCell ref="AK199:AL199"/>
    <mergeCell ref="AO203:AV203"/>
    <mergeCell ref="AO219:AV219"/>
    <mergeCell ref="C246:AV246"/>
    <mergeCell ref="AP385:AU385"/>
    <mergeCell ref="AQ386:AV386"/>
    <mergeCell ref="AP382:AU382"/>
    <mergeCell ref="C383:T383"/>
    <mergeCell ref="U383:X383"/>
    <mergeCell ref="Y383:Z383"/>
    <mergeCell ref="AA383:AE383"/>
    <mergeCell ref="AF383:AJ383"/>
    <mergeCell ref="AK383:AO383"/>
    <mergeCell ref="AP383:AU383"/>
    <mergeCell ref="C382:T382"/>
    <mergeCell ref="U382:X382"/>
    <mergeCell ref="Y382:Z382"/>
    <mergeCell ref="AA382:AE382"/>
    <mergeCell ref="AF382:AJ382"/>
    <mergeCell ref="AK382:AO382"/>
    <mergeCell ref="AP384:AU384"/>
    <mergeCell ref="C377:T377"/>
    <mergeCell ref="U377:X377"/>
    <mergeCell ref="Y377:Z377"/>
    <mergeCell ref="AA377:AE377"/>
    <mergeCell ref="AF377:AJ377"/>
    <mergeCell ref="AK377:AO377"/>
    <mergeCell ref="C376:T376"/>
    <mergeCell ref="U376:X376"/>
    <mergeCell ref="Y376:Z376"/>
    <mergeCell ref="AA376:AE376"/>
    <mergeCell ref="AF376:AJ376"/>
    <mergeCell ref="AK376:AO376"/>
    <mergeCell ref="AA371:AE371"/>
    <mergeCell ref="AF371:AJ371"/>
    <mergeCell ref="AK371:AO371"/>
    <mergeCell ref="AP371:AU371"/>
    <mergeCell ref="C370:T370"/>
    <mergeCell ref="U370:X370"/>
    <mergeCell ref="Y370:Z370"/>
    <mergeCell ref="AA370:AE370"/>
    <mergeCell ref="AF370:AJ370"/>
    <mergeCell ref="AK370:AO370"/>
    <mergeCell ref="AP369:AU369"/>
    <mergeCell ref="AO352:AV352"/>
    <mergeCell ref="AA356:AD356"/>
    <mergeCell ref="AI356:AL356"/>
    <mergeCell ref="AO356:AV356"/>
    <mergeCell ref="AO357:AV357"/>
    <mergeCell ref="AA354:AD354"/>
    <mergeCell ref="AI354:AL354"/>
    <mergeCell ref="AO354:AV354"/>
    <mergeCell ref="AO360:AV360"/>
    <mergeCell ref="AO365:AV365"/>
    <mergeCell ref="F390:AB390"/>
    <mergeCell ref="U335:X335"/>
    <mergeCell ref="U338:X338"/>
    <mergeCell ref="C339:H339"/>
    <mergeCell ref="N339:T339"/>
    <mergeCell ref="AH339:AK339"/>
    <mergeCell ref="C352:H352"/>
    <mergeCell ref="N352:S352"/>
    <mergeCell ref="AA352:AD352"/>
    <mergeCell ref="AI352:AL352"/>
    <mergeCell ref="C360:I360"/>
    <mergeCell ref="N360:U360"/>
    <mergeCell ref="N342:T342"/>
    <mergeCell ref="AH342:AK342"/>
    <mergeCell ref="U341:X341"/>
    <mergeCell ref="N364:U364"/>
    <mergeCell ref="C369:T369"/>
    <mergeCell ref="U369:Z369"/>
    <mergeCell ref="AA369:AE369"/>
    <mergeCell ref="AF369:AJ369"/>
    <mergeCell ref="AK369:AO369"/>
    <mergeCell ref="C371:T371"/>
    <mergeCell ref="U371:X371"/>
    <mergeCell ref="Y371:Z371"/>
    <mergeCell ref="A366:B366"/>
    <mergeCell ref="C362:I362"/>
    <mergeCell ref="N362:U362"/>
    <mergeCell ref="AO362:AV362"/>
    <mergeCell ref="C364:I364"/>
    <mergeCell ref="C348:H348"/>
    <mergeCell ref="N348:S348"/>
    <mergeCell ref="AA348:AD348"/>
    <mergeCell ref="AI348:AL348"/>
    <mergeCell ref="AO348:AV348"/>
    <mergeCell ref="A358:B358"/>
    <mergeCell ref="C354:H354"/>
    <mergeCell ref="N354:S354"/>
    <mergeCell ref="C356:H356"/>
    <mergeCell ref="N356:S356"/>
    <mergeCell ref="AO364:AV364"/>
    <mergeCell ref="C350:H350"/>
    <mergeCell ref="N350:S350"/>
    <mergeCell ref="AA350:AD350"/>
    <mergeCell ref="AI350:AL350"/>
    <mergeCell ref="AO350:AV350"/>
    <mergeCell ref="A344:B344"/>
    <mergeCell ref="AK326:AL326"/>
    <mergeCell ref="AB332:AF332"/>
    <mergeCell ref="F328:AV328"/>
    <mergeCell ref="A333:B333"/>
    <mergeCell ref="C336:H336"/>
    <mergeCell ref="N336:T336"/>
    <mergeCell ref="AH336:AK336"/>
    <mergeCell ref="AO336:AV336"/>
    <mergeCell ref="C327:AV327"/>
    <mergeCell ref="AK311:AL311"/>
    <mergeCell ref="C342:H342"/>
    <mergeCell ref="AK323:AL323"/>
    <mergeCell ref="AM323:AU323"/>
    <mergeCell ref="AK324:AL324"/>
    <mergeCell ref="AM324:AU324"/>
    <mergeCell ref="C325:AV325"/>
    <mergeCell ref="C331:AV331"/>
    <mergeCell ref="AM271:AU271"/>
    <mergeCell ref="AK272:AL272"/>
    <mergeCell ref="AM272:AU272"/>
    <mergeCell ref="AO339:AV339"/>
    <mergeCell ref="AK278:AL278"/>
    <mergeCell ref="AM278:AU278"/>
    <mergeCell ref="AM301:AU301"/>
    <mergeCell ref="AM311:AU311"/>
    <mergeCell ref="AK280:AL280"/>
    <mergeCell ref="AM326:AU326"/>
    <mergeCell ref="AK276:AL276"/>
    <mergeCell ref="AM276:AU276"/>
    <mergeCell ref="AK277:AL277"/>
    <mergeCell ref="AM275:AU275"/>
    <mergeCell ref="AK274:AL274"/>
    <mergeCell ref="AM274:AU274"/>
    <mergeCell ref="C275:D275"/>
    <mergeCell ref="AK275:AL275"/>
    <mergeCell ref="C264:AV264"/>
    <mergeCell ref="AC265:AG265"/>
    <mergeCell ref="AK269:AL269"/>
    <mergeCell ref="AA245:AC245"/>
    <mergeCell ref="C274:D274"/>
    <mergeCell ref="AK268:AL268"/>
    <mergeCell ref="AK270:AL270"/>
    <mergeCell ref="AM270:AU270"/>
    <mergeCell ref="AN245:AR245"/>
    <mergeCell ref="A220:B220"/>
    <mergeCell ref="C222:T222"/>
    <mergeCell ref="U222:Z222"/>
    <mergeCell ref="AA222:AE222"/>
    <mergeCell ref="AF222:AK222"/>
    <mergeCell ref="AI203:AL203"/>
    <mergeCell ref="AA203:AD203"/>
    <mergeCell ref="C218:I218"/>
    <mergeCell ref="N218:U218"/>
    <mergeCell ref="AI207:AL207"/>
    <mergeCell ref="A212:B212"/>
    <mergeCell ref="C281:D281"/>
    <mergeCell ref="AK281:AL281"/>
    <mergeCell ref="AM281:AU281"/>
    <mergeCell ref="C224:T224"/>
    <mergeCell ref="AF224:AK224"/>
    <mergeCell ref="AM269:AU269"/>
    <mergeCell ref="AM277:AU277"/>
    <mergeCell ref="AF225:AK225"/>
    <mergeCell ref="AD245:AH245"/>
    <mergeCell ref="AI245:AM245"/>
    <mergeCell ref="AM280:AU280"/>
    <mergeCell ref="AA224:AE224"/>
    <mergeCell ref="C263:AV263"/>
    <mergeCell ref="AM268:AU268"/>
    <mergeCell ref="AD242:AH242"/>
    <mergeCell ref="AF229:AK229"/>
    <mergeCell ref="AB237:AF237"/>
    <mergeCell ref="C244:Q244"/>
    <mergeCell ref="AK271:AL271"/>
    <mergeCell ref="U244:W244"/>
    <mergeCell ref="X244:Z244"/>
    <mergeCell ref="AA244:AC244"/>
    <mergeCell ref="AD244:AH244"/>
    <mergeCell ref="AI244:AM244"/>
    <mergeCell ref="I301:M301"/>
    <mergeCell ref="N301:V301"/>
    <mergeCell ref="AK301:AL301"/>
    <mergeCell ref="Y190:Z190"/>
    <mergeCell ref="Y191:Z191"/>
    <mergeCell ref="AA191:AE191"/>
    <mergeCell ref="AF191:AJ191"/>
    <mergeCell ref="AK191:AO191"/>
    <mergeCell ref="U223:X223"/>
    <mergeCell ref="U224:X224"/>
    <mergeCell ref="C243:AV243"/>
    <mergeCell ref="AI242:AM242"/>
    <mergeCell ref="R244:T244"/>
    <mergeCell ref="AF233:AK233"/>
    <mergeCell ref="AF234:AK234"/>
    <mergeCell ref="AF235:AK235"/>
    <mergeCell ref="AF226:AK226"/>
    <mergeCell ref="AF227:AK227"/>
    <mergeCell ref="AF230:AK230"/>
    <mergeCell ref="AF231:AK231"/>
    <mergeCell ref="C196:AV196"/>
    <mergeCell ref="C223:T223"/>
    <mergeCell ref="AP191:AU191"/>
    <mergeCell ref="AP192:AU192"/>
    <mergeCell ref="AQ182:AV182"/>
    <mergeCell ref="AP184:AU184"/>
    <mergeCell ref="AP185:AU185"/>
    <mergeCell ref="C216:I216"/>
    <mergeCell ref="C185:T185"/>
    <mergeCell ref="U185:X185"/>
    <mergeCell ref="Y185:Z185"/>
    <mergeCell ref="AA184:AE184"/>
    <mergeCell ref="AF184:AJ184"/>
    <mergeCell ref="AK184:AO184"/>
    <mergeCell ref="AA185:AE185"/>
    <mergeCell ref="AF185:AJ185"/>
    <mergeCell ref="AK185:AO185"/>
    <mergeCell ref="AK190:AO190"/>
    <mergeCell ref="AA190:AE190"/>
    <mergeCell ref="AF190:AJ190"/>
    <mergeCell ref="C190:T190"/>
    <mergeCell ref="U190:X190"/>
    <mergeCell ref="AP190:AU190"/>
    <mergeCell ref="C191:T191"/>
    <mergeCell ref="U191:X191"/>
    <mergeCell ref="AP186:AU186"/>
    <mergeCell ref="AP187:AU187"/>
    <mergeCell ref="AQ188:AV188"/>
    <mergeCell ref="C314:D314"/>
    <mergeCell ref="AK314:AL314"/>
    <mergeCell ref="AM314:AU314"/>
    <mergeCell ref="C184:T184"/>
    <mergeCell ref="U184:X184"/>
    <mergeCell ref="AK312:AL312"/>
    <mergeCell ref="AM312:AU312"/>
    <mergeCell ref="Y184:Z184"/>
    <mergeCell ref="AK310:AL310"/>
    <mergeCell ref="C214:I214"/>
    <mergeCell ref="C308:D308"/>
    <mergeCell ref="AK308:AL308"/>
    <mergeCell ref="AM308:AU308"/>
    <mergeCell ref="C309:D309"/>
    <mergeCell ref="AK309:AL309"/>
    <mergeCell ref="AM309:AU309"/>
    <mergeCell ref="I303:M303"/>
    <mergeCell ref="N303:V303"/>
    <mergeCell ref="C280:D280"/>
    <mergeCell ref="AK303:AL303"/>
    <mergeCell ref="AH293:AL293"/>
    <mergeCell ref="AM283:AU283"/>
    <mergeCell ref="AH294:AL294"/>
    <mergeCell ref="C292:D292"/>
    <mergeCell ref="AM321:AU321"/>
    <mergeCell ref="AK318:AL318"/>
    <mergeCell ref="AM318:AU318"/>
    <mergeCell ref="AO218:AV218"/>
    <mergeCell ref="C315:D315"/>
    <mergeCell ref="AK315:AL315"/>
    <mergeCell ref="AM315:AU315"/>
    <mergeCell ref="A174:B174"/>
    <mergeCell ref="C177:T177"/>
    <mergeCell ref="U177:Z177"/>
    <mergeCell ref="AA177:AE177"/>
    <mergeCell ref="AF177:AJ177"/>
    <mergeCell ref="AK177:AO177"/>
    <mergeCell ref="Y179:Z179"/>
    <mergeCell ref="AA179:AE179"/>
    <mergeCell ref="AF179:AJ179"/>
    <mergeCell ref="U178:X178"/>
    <mergeCell ref="Y178:Z178"/>
    <mergeCell ref="AA178:AE178"/>
    <mergeCell ref="AF178:AJ178"/>
    <mergeCell ref="C179:T179"/>
    <mergeCell ref="U179:X179"/>
    <mergeCell ref="AK179:AO179"/>
    <mergeCell ref="AP179:AU179"/>
    <mergeCell ref="AK322:AL322"/>
    <mergeCell ref="AM322:AU322"/>
    <mergeCell ref="AK316:AL316"/>
    <mergeCell ref="AM316:AU316"/>
    <mergeCell ref="AK317:AL317"/>
    <mergeCell ref="AM317:AU317"/>
    <mergeCell ref="AK320:AL320"/>
    <mergeCell ref="AM320:AU320"/>
    <mergeCell ref="C162:H162"/>
    <mergeCell ref="AM299:AU299"/>
    <mergeCell ref="C305:AV305"/>
    <mergeCell ref="AK299:AL299"/>
    <mergeCell ref="C320:D320"/>
    <mergeCell ref="AN242:AR242"/>
    <mergeCell ref="AS242:AV242"/>
    <mergeCell ref="AO214:AV214"/>
    <mergeCell ref="R247:T247"/>
    <mergeCell ref="AN247:AR247"/>
    <mergeCell ref="AA247:AC247"/>
    <mergeCell ref="AD247:AH247"/>
    <mergeCell ref="X245:Z245"/>
    <mergeCell ref="U245:W245"/>
    <mergeCell ref="C321:D321"/>
    <mergeCell ref="AK321:AL321"/>
    <mergeCell ref="AO36:AT36"/>
    <mergeCell ref="AO38:AT38"/>
    <mergeCell ref="AO39:AS39"/>
    <mergeCell ref="A306:B306"/>
    <mergeCell ref="AO34:AT34"/>
    <mergeCell ref="C74:U74"/>
    <mergeCell ref="V74:AC74"/>
    <mergeCell ref="R98:V98"/>
    <mergeCell ref="C153:H153"/>
    <mergeCell ref="C295:D295"/>
    <mergeCell ref="AH292:AL292"/>
    <mergeCell ref="AH296:AL296"/>
    <mergeCell ref="C294:D294"/>
    <mergeCell ref="C293:D293"/>
    <mergeCell ref="I299:M299"/>
    <mergeCell ref="N299:V299"/>
    <mergeCell ref="I297:M297"/>
    <mergeCell ref="AK304:AL304"/>
    <mergeCell ref="AM304:AU304"/>
    <mergeCell ref="AH295:AL295"/>
    <mergeCell ref="AO172:AV172"/>
    <mergeCell ref="N216:U216"/>
    <mergeCell ref="AO216:AV216"/>
    <mergeCell ref="AO150:AV150"/>
    <mergeCell ref="C19:AV19"/>
    <mergeCell ref="N162:S162"/>
    <mergeCell ref="C29:AV29"/>
    <mergeCell ref="S15:AV15"/>
    <mergeCell ref="A48:B48"/>
    <mergeCell ref="C49:AV49"/>
    <mergeCell ref="A32:B32"/>
    <mergeCell ref="C100:N100"/>
    <mergeCell ref="C103:AV103"/>
    <mergeCell ref="AJ56:AV67"/>
    <mergeCell ref="AS128:AV128"/>
    <mergeCell ref="V76:AA76"/>
    <mergeCell ref="E107:AV107"/>
    <mergeCell ref="C111:D111"/>
    <mergeCell ref="AR94:AV95"/>
    <mergeCell ref="A116:AV116"/>
    <mergeCell ref="C107:D107"/>
    <mergeCell ref="AR96:AV96"/>
    <mergeCell ref="C109:D109"/>
    <mergeCell ref="O99:T99"/>
    <mergeCell ref="U149:X149"/>
    <mergeCell ref="A79:B79"/>
    <mergeCell ref="A119:B119"/>
    <mergeCell ref="C23:AV23"/>
    <mergeCell ref="A12:AV12"/>
    <mergeCell ref="AO37:AS37"/>
    <mergeCell ref="A24:B24"/>
    <mergeCell ref="C27:AV27"/>
    <mergeCell ref="C21:AV21"/>
    <mergeCell ref="R124:T124"/>
    <mergeCell ref="AC99:AI99"/>
    <mergeCell ref="C104:AV104"/>
    <mergeCell ref="AH291:AL291"/>
    <mergeCell ref="AD128:AH128"/>
    <mergeCell ref="AI128:AM128"/>
    <mergeCell ref="AN128:AR128"/>
    <mergeCell ref="AS127:AV127"/>
    <mergeCell ref="C122:AV122"/>
    <mergeCell ref="AI150:AL150"/>
    <mergeCell ref="AM286:AU286"/>
    <mergeCell ref="AK282:AL282"/>
    <mergeCell ref="C150:H150"/>
    <mergeCell ref="N150:T150"/>
    <mergeCell ref="C268:D268"/>
    <mergeCell ref="C269:D269"/>
    <mergeCell ref="C291:D291"/>
    <mergeCell ref="AR84:AV85"/>
    <mergeCell ref="AR88:AV89"/>
    <mergeCell ref="A288:B288"/>
    <mergeCell ref="A105:B105"/>
    <mergeCell ref="C203:H203"/>
    <mergeCell ref="N203:S203"/>
    <mergeCell ref="C147:H147"/>
    <mergeCell ref="C130:Q130"/>
    <mergeCell ref="AM282:AU282"/>
    <mergeCell ref="AK283:AL283"/>
    <mergeCell ref="AK286:AL286"/>
    <mergeCell ref="AK284:AL284"/>
    <mergeCell ref="AM284:AU284"/>
    <mergeCell ref="C287:AV287"/>
    <mergeCell ref="AO154:AV154"/>
    <mergeCell ref="AG143:AV143"/>
    <mergeCell ref="U128:W128"/>
    <mergeCell ref="AI124:AM124"/>
    <mergeCell ref="C178:T178"/>
    <mergeCell ref="AK178:AO178"/>
    <mergeCell ref="AP178:AU178"/>
    <mergeCell ref="AA162:AD162"/>
    <mergeCell ref="AI162:AL162"/>
    <mergeCell ref="A266:B266"/>
    <mergeCell ref="N214:U214"/>
    <mergeCell ref="C126:Q126"/>
    <mergeCell ref="A72:B72"/>
    <mergeCell ref="A103:B103"/>
    <mergeCell ref="A97:B97"/>
    <mergeCell ref="U100:AB100"/>
    <mergeCell ref="C120:AV120"/>
    <mergeCell ref="AB118:AF118"/>
    <mergeCell ref="AD127:AH127"/>
    <mergeCell ref="A200:B200"/>
    <mergeCell ref="X130:Z130"/>
    <mergeCell ref="V143:AB143"/>
    <mergeCell ref="U152:X152"/>
    <mergeCell ref="AI147:AL147"/>
    <mergeCell ref="C195:AV195"/>
    <mergeCell ref="C164:H164"/>
    <mergeCell ref="C128:Q128"/>
    <mergeCell ref="R128:T128"/>
    <mergeCell ref="AA128:AC128"/>
    <mergeCell ref="AI158:AL158"/>
    <mergeCell ref="N147:T147"/>
    <mergeCell ref="AO158:AV158"/>
    <mergeCell ref="AO164:AV164"/>
    <mergeCell ref="R126:T126"/>
    <mergeCell ref="A117:B117"/>
    <mergeCell ref="A155:B155"/>
    <mergeCell ref="C158:H158"/>
    <mergeCell ref="AD126:AH126"/>
    <mergeCell ref="X128:Z128"/>
    <mergeCell ref="N153:T153"/>
    <mergeCell ref="R130:T130"/>
    <mergeCell ref="X124:Z124"/>
    <mergeCell ref="U124:W124"/>
    <mergeCell ref="X126:Z126"/>
    <mergeCell ref="U126:W126"/>
    <mergeCell ref="C143:U143"/>
    <mergeCell ref="C129:AV129"/>
    <mergeCell ref="AA130:AC130"/>
    <mergeCell ref="AD130:AH130"/>
    <mergeCell ref="AI130:AM130"/>
    <mergeCell ref="AN130:AR130"/>
    <mergeCell ref="AD124:AH124"/>
    <mergeCell ref="A101:B101"/>
    <mergeCell ref="AC100:AI100"/>
    <mergeCell ref="O100:Q100"/>
    <mergeCell ref="AM96:AQ96"/>
    <mergeCell ref="C91:AL91"/>
    <mergeCell ref="AM82:AQ83"/>
    <mergeCell ref="AR81:AV81"/>
    <mergeCell ref="AD76:AI76"/>
    <mergeCell ref="C94:AL94"/>
    <mergeCell ref="AR82:AV83"/>
    <mergeCell ref="V77:AA77"/>
    <mergeCell ref="AM81:AQ81"/>
    <mergeCell ref="U99:AB99"/>
    <mergeCell ref="AR90:AV91"/>
    <mergeCell ref="AM92:AQ93"/>
    <mergeCell ref="C88:AL88"/>
    <mergeCell ref="A40:B40"/>
    <mergeCell ref="C20:AV20"/>
    <mergeCell ref="AO33:AS33"/>
    <mergeCell ref="S14:AV14"/>
    <mergeCell ref="AD78:AI78"/>
    <mergeCell ref="V78:AA78"/>
    <mergeCell ref="D78:U78"/>
    <mergeCell ref="A52:B52"/>
    <mergeCell ref="A68:B68"/>
    <mergeCell ref="V16:AV16"/>
    <mergeCell ref="AD77:AI77"/>
    <mergeCell ref="AD75:AI75"/>
    <mergeCell ref="D77:U77"/>
    <mergeCell ref="D75:U75"/>
    <mergeCell ref="A70:B70"/>
    <mergeCell ref="AO35:AS35"/>
    <mergeCell ref="C54:AV54"/>
    <mergeCell ref="AD74:AK74"/>
    <mergeCell ref="C69:AV69"/>
    <mergeCell ref="C71:AV71"/>
    <mergeCell ref="C53:AV53"/>
    <mergeCell ref="C41:AV41"/>
    <mergeCell ref="A50:B50"/>
    <mergeCell ref="C22:AV22"/>
    <mergeCell ref="AB11:AF11"/>
    <mergeCell ref="AN124:AR124"/>
    <mergeCell ref="R127:T127"/>
    <mergeCell ref="C87:AL87"/>
    <mergeCell ref="C31:AV31"/>
    <mergeCell ref="C84:AL84"/>
    <mergeCell ref="C85:AL85"/>
    <mergeCell ref="V75:AA75"/>
    <mergeCell ref="C93:AL93"/>
    <mergeCell ref="C95:AL95"/>
    <mergeCell ref="AM86:AQ87"/>
    <mergeCell ref="AM88:AQ89"/>
    <mergeCell ref="AM94:AQ95"/>
    <mergeCell ref="C92:AL92"/>
    <mergeCell ref="C83:AL83"/>
    <mergeCell ref="C90:AL90"/>
    <mergeCell ref="AM84:AQ85"/>
    <mergeCell ref="AM90:AQ91"/>
    <mergeCell ref="C89:AL89"/>
    <mergeCell ref="C127:Q127"/>
    <mergeCell ref="AA124:AC124"/>
    <mergeCell ref="X127:Z127"/>
    <mergeCell ref="AS126:AV126"/>
    <mergeCell ref="AI127:AM127"/>
    <mergeCell ref="AO209:AV209"/>
    <mergeCell ref="AO173:AV173"/>
    <mergeCell ref="AO165:AV165"/>
    <mergeCell ref="N164:S164"/>
    <mergeCell ref="AR92:AV93"/>
    <mergeCell ref="AS124:AV124"/>
    <mergeCell ref="N170:U170"/>
    <mergeCell ref="AO170:AV170"/>
    <mergeCell ref="N207:S207"/>
    <mergeCell ref="AO207:AV207"/>
    <mergeCell ref="C117:AV117"/>
    <mergeCell ref="U146:X146"/>
    <mergeCell ref="AA158:AD158"/>
    <mergeCell ref="U130:W130"/>
    <mergeCell ref="AA126:AC126"/>
    <mergeCell ref="AI126:AM126"/>
    <mergeCell ref="AN127:AR127"/>
    <mergeCell ref="AP177:AU177"/>
    <mergeCell ref="AO147:AV147"/>
    <mergeCell ref="AN126:AR126"/>
    <mergeCell ref="AO153:AV153"/>
    <mergeCell ref="U127:W127"/>
    <mergeCell ref="N158:S158"/>
    <mergeCell ref="AI153:AL153"/>
    <mergeCell ref="A198:B198"/>
    <mergeCell ref="AA127:AC127"/>
    <mergeCell ref="N209:S209"/>
    <mergeCell ref="AA209:AD209"/>
    <mergeCell ref="AI209:AL209"/>
    <mergeCell ref="AA207:AD207"/>
    <mergeCell ref="C131:AV141"/>
    <mergeCell ref="C142:AV142"/>
    <mergeCell ref="AO210:AV210"/>
    <mergeCell ref="A166:B166"/>
    <mergeCell ref="C168:I168"/>
    <mergeCell ref="N168:U168"/>
    <mergeCell ref="AO168:AV168"/>
    <mergeCell ref="C207:H207"/>
    <mergeCell ref="C209:H209"/>
    <mergeCell ref="C170:I170"/>
    <mergeCell ref="AC143:AF143"/>
    <mergeCell ref="AO162:AV162"/>
    <mergeCell ref="C172:I172"/>
    <mergeCell ref="N172:U172"/>
    <mergeCell ref="AA164:AD164"/>
    <mergeCell ref="AI164:AL164"/>
    <mergeCell ref="AP180:AU180"/>
    <mergeCell ref="AP181:AU181"/>
    <mergeCell ref="A238:B238"/>
    <mergeCell ref="C239:AV239"/>
    <mergeCell ref="C240:AV240"/>
    <mergeCell ref="C242:Q242"/>
    <mergeCell ref="R242:T242"/>
    <mergeCell ref="U242:W242"/>
    <mergeCell ref="X242:Z242"/>
    <mergeCell ref="AA242:AC242"/>
    <mergeCell ref="AG262:AV262"/>
    <mergeCell ref="AI247:AM247"/>
    <mergeCell ref="AS247:AV247"/>
    <mergeCell ref="C248:AV260"/>
    <mergeCell ref="C261:AV261"/>
    <mergeCell ref="AN244:AR244"/>
    <mergeCell ref="AS244:AV244"/>
    <mergeCell ref="C245:Q245"/>
    <mergeCell ref="R245:T245"/>
    <mergeCell ref="C247:Q247"/>
    <mergeCell ref="C262:U262"/>
    <mergeCell ref="V262:AB262"/>
    <mergeCell ref="AC262:AF262"/>
    <mergeCell ref="AS245:AV245"/>
    <mergeCell ref="U247:W247"/>
    <mergeCell ref="X247:Z247"/>
  </mergeCells>
  <phoneticPr fontId="3" type="noConversion"/>
  <dataValidations count="2">
    <dataValidation type="list" allowBlank="1" showInputMessage="1" showErrorMessage="1" sqref="J45:J47 U46:V47 Y45:Z45" xr:uid="{C27097C5-0DE4-4A70-8682-A5E94CC3EA2A}">
      <formula1>$AW$11:$AW$12</formula1>
    </dataValidation>
    <dataValidation type="list" allowBlank="1" showInputMessage="1" showErrorMessage="1" sqref="J44 U44:V44" xr:uid="{E5E317C8-1458-4699-A06E-F5CA6A34DFE7}">
      <formula1>$AW$24:$AW$25</formula1>
    </dataValidation>
  </dataValidations>
  <printOptions horizontalCentered="1"/>
  <pageMargins left="0.59055118110236227" right="0.59055118110236227" top="0.78740157480314965" bottom="0.59055118110236227" header="0" footer="0.19685039370078741"/>
  <pageSetup paperSize="9" orientation="portrait" r:id="rId1"/>
  <headerFooter alignWithMargins="0">
    <oddFooter>&amp;L&amp;G&amp;R&amp;"Arial Narrow,Normal"&amp;8&amp;G
&amp;F  -  &amp;P</oddFooter>
  </headerFooter>
  <rowBreaks count="10" manualBreakCount="10">
    <brk id="39" max="47" man="1"/>
    <brk id="102" max="16383" man="1"/>
    <brk id="116" max="16383" man="1"/>
    <brk id="130" max="47" man="1"/>
    <brk id="154" max="16383" man="1"/>
    <brk id="195" max="16383" man="1"/>
    <brk id="236" max="16383" man="1"/>
    <brk id="247" max="16383" man="1"/>
    <brk id="263" max="16383" man="1"/>
    <brk id="305" max="16383" man="1"/>
  </rowBreaks>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5B4F-4158-4182-9281-D6DDAED29F0F}">
  <sheetPr>
    <pageSetUpPr fitToPage="1"/>
  </sheetPr>
  <dimension ref="A13:AR118"/>
  <sheetViews>
    <sheetView topLeftCell="A88" zoomScale="130" zoomScaleNormal="130" workbookViewId="0">
      <selection activeCell="S117" sqref="S117"/>
    </sheetView>
  </sheetViews>
  <sheetFormatPr baseColWidth="10" defaultColWidth="11.42578125" defaultRowHeight="12.75" x14ac:dyDescent="0.2"/>
  <cols>
    <col min="1" max="1" width="3.5703125" style="330" customWidth="1"/>
    <col min="2" max="2" width="5.42578125" style="330" customWidth="1"/>
    <col min="3" max="3" width="2.28515625" style="330" customWidth="1"/>
    <col min="4" max="5" width="3.42578125" style="330" customWidth="1"/>
    <col min="6" max="7" width="3.28515625" style="330" customWidth="1"/>
    <col min="8" max="9" width="3.140625" style="330" customWidth="1"/>
    <col min="10" max="10" width="2.7109375" style="330" customWidth="1"/>
    <col min="11" max="11" width="1.5703125" style="330" customWidth="1"/>
    <col min="12" max="12" width="3.28515625" style="330" customWidth="1"/>
    <col min="13" max="13" width="3.5703125" style="330" customWidth="1"/>
    <col min="14" max="14" width="3" style="330" customWidth="1"/>
    <col min="15" max="15" width="3.140625" style="330" customWidth="1"/>
    <col min="16" max="16" width="2.85546875" style="330" customWidth="1"/>
    <col min="17" max="17" width="2.5703125" style="330" customWidth="1"/>
    <col min="18" max="18" width="2.7109375" style="330" customWidth="1"/>
    <col min="19" max="19" width="4.140625" style="330" customWidth="1"/>
    <col min="20" max="20" width="3.5703125" style="330" customWidth="1"/>
    <col min="21" max="21" width="3" style="330" customWidth="1"/>
    <col min="22" max="22" width="3.5703125" style="330" customWidth="1"/>
    <col min="23" max="23" width="3.85546875" style="330" customWidth="1"/>
    <col min="24" max="24" width="2.7109375" style="330" customWidth="1"/>
    <col min="25" max="25" width="2.85546875" style="330" customWidth="1"/>
    <col min="26" max="26" width="3.5703125" style="330" customWidth="1"/>
    <col min="27" max="27" width="2.28515625" style="330" customWidth="1"/>
    <col min="28" max="28" width="1.7109375" style="330" customWidth="1"/>
    <col min="29" max="29" width="3.5703125" style="330" customWidth="1"/>
    <col min="30" max="30" width="2.85546875" style="330" customWidth="1"/>
    <col min="31" max="32" width="1.7109375" style="330" customWidth="1"/>
    <col min="33" max="33" width="2.5703125" style="330" customWidth="1"/>
    <col min="34" max="35" width="2.140625" style="330" customWidth="1"/>
    <col min="36" max="36" width="3.28515625" style="330" customWidth="1"/>
    <col min="37" max="37" width="4.140625" style="330" customWidth="1"/>
    <col min="38" max="38" width="2.7109375" style="330" customWidth="1"/>
    <col min="39" max="39" width="3.5703125" style="330" customWidth="1"/>
    <col min="40" max="40" width="4.140625" style="330" customWidth="1"/>
    <col min="41" max="41" width="3.85546875" style="330" customWidth="1"/>
    <col min="42" max="42" width="2.28515625" style="330" customWidth="1"/>
    <col min="43" max="43" width="2" style="330" customWidth="1"/>
    <col min="44" max="44" width="3.140625" style="330" customWidth="1"/>
    <col min="45" max="16384" width="11.42578125" style="331"/>
  </cols>
  <sheetData>
    <row r="13" spans="1:35" ht="12.75" customHeight="1" thickBot="1" x14ac:dyDescent="0.25"/>
    <row r="14" spans="1:35" ht="16.5" thickBot="1" x14ac:dyDescent="0.25">
      <c r="E14" s="1040" t="s">
        <v>2343</v>
      </c>
      <c r="F14" s="1041"/>
      <c r="G14" s="1041"/>
      <c r="H14" s="1041"/>
      <c r="I14" s="1041"/>
      <c r="J14" s="1041"/>
      <c r="K14" s="1041"/>
      <c r="L14" s="1041"/>
      <c r="M14" s="1041"/>
      <c r="N14" s="1041"/>
      <c r="O14" s="1041"/>
      <c r="P14" s="1041"/>
      <c r="Q14" s="1041"/>
      <c r="R14" s="1041"/>
      <c r="S14" s="1041"/>
      <c r="T14" s="1041"/>
      <c r="U14" s="1041"/>
      <c r="V14" s="1041"/>
      <c r="W14" s="1041"/>
      <c r="X14" s="1041"/>
      <c r="Y14" s="1041"/>
      <c r="Z14" s="1041"/>
      <c r="AA14" s="1041"/>
      <c r="AB14" s="1041"/>
      <c r="AC14" s="1041"/>
      <c r="AD14" s="1041"/>
      <c r="AE14" s="1041"/>
      <c r="AF14" s="1041"/>
      <c r="AG14" s="1041"/>
      <c r="AH14" s="1041"/>
      <c r="AI14" s="1042"/>
    </row>
    <row r="15" spans="1:35" ht="6" customHeight="1" x14ac:dyDescent="0.2"/>
    <row r="16" spans="1:35" x14ac:dyDescent="0.2">
      <c r="A16" s="330" t="s">
        <v>2344</v>
      </c>
      <c r="G16" s="1043"/>
      <c r="H16" s="1043"/>
      <c r="I16" s="1044" t="s">
        <v>2345</v>
      </c>
      <c r="J16" s="1044"/>
      <c r="K16" s="411"/>
      <c r="L16" s="1043"/>
      <c r="M16" s="1043"/>
      <c r="N16" s="1043"/>
      <c r="O16" s="1043"/>
      <c r="P16" s="1043"/>
      <c r="Q16" s="1043"/>
      <c r="R16" s="1043"/>
      <c r="S16" s="1043"/>
      <c r="T16" s="1044" t="s">
        <v>2345</v>
      </c>
      <c r="U16" s="1044"/>
      <c r="V16" s="1043">
        <v>2025</v>
      </c>
      <c r="W16" s="1043"/>
      <c r="X16" s="1043"/>
      <c r="Y16" s="1043"/>
      <c r="Z16" s="1043"/>
    </row>
    <row r="17" spans="1:44" ht="5.0999999999999996" customHeight="1" thickBot="1" x14ac:dyDescent="0.25"/>
    <row r="18" spans="1:44" ht="15.75" customHeight="1" thickBot="1" x14ac:dyDescent="0.25">
      <c r="A18" s="330" t="s">
        <v>2346</v>
      </c>
      <c r="G18" s="1045" t="s">
        <v>2347</v>
      </c>
      <c r="H18" s="1046"/>
      <c r="I18" s="1046"/>
      <c r="J18" s="1046"/>
      <c r="K18" s="1046"/>
      <c r="L18" s="1046"/>
      <c r="M18" s="1046"/>
      <c r="N18" s="1046"/>
      <c r="O18" s="1046"/>
      <c r="P18" s="1046"/>
      <c r="Q18" s="1046"/>
      <c r="R18" s="1046"/>
      <c r="S18" s="1046"/>
      <c r="T18" s="1047"/>
      <c r="Z18" s="332" t="s">
        <v>44</v>
      </c>
      <c r="AA18" s="1048">
        <f>+MEMORIA!S15</f>
        <v>0</v>
      </c>
      <c r="AB18" s="1049"/>
      <c r="AC18" s="1049"/>
      <c r="AD18" s="1049"/>
      <c r="AE18" s="1049"/>
      <c r="AF18" s="1049"/>
      <c r="AG18" s="1049"/>
      <c r="AH18" s="1049"/>
      <c r="AI18" s="1049"/>
      <c r="AJ18" s="1049"/>
      <c r="AK18" s="1049"/>
      <c r="AL18" s="1049"/>
      <c r="AM18" s="1049"/>
      <c r="AN18" s="1049"/>
      <c r="AO18" s="1049"/>
      <c r="AP18" s="1049"/>
      <c r="AQ18" s="1049"/>
      <c r="AR18" s="1050"/>
    </row>
    <row r="19" spans="1:44" ht="5.0999999999999996" customHeight="1" thickBot="1" x14ac:dyDescent="0.25"/>
    <row r="20" spans="1:44" ht="13.5" thickBot="1" x14ac:dyDescent="0.25">
      <c r="A20" s="330" t="s">
        <v>2348</v>
      </c>
      <c r="G20" s="1045">
        <f>+MEMORIA!S14</f>
        <v>0</v>
      </c>
      <c r="H20" s="1046"/>
      <c r="I20" s="1046"/>
      <c r="J20" s="1046"/>
      <c r="K20" s="1046"/>
      <c r="L20" s="1046"/>
      <c r="M20" s="1046"/>
      <c r="N20" s="1046"/>
      <c r="O20" s="1046"/>
      <c r="P20" s="1046"/>
      <c r="Q20" s="1046"/>
      <c r="R20" s="1046"/>
      <c r="S20" s="1046"/>
      <c r="T20" s="1046"/>
      <c r="U20" s="1046"/>
      <c r="V20" s="1046"/>
      <c r="W20" s="1046"/>
      <c r="X20" s="1046"/>
      <c r="Y20" s="1046"/>
      <c r="Z20" s="1046"/>
      <c r="AA20" s="1046"/>
      <c r="AB20" s="1046"/>
      <c r="AC20" s="1046"/>
      <c r="AD20" s="1047"/>
      <c r="AE20" s="1051" t="s">
        <v>2349</v>
      </c>
      <c r="AF20" s="1052"/>
      <c r="AG20" s="1052"/>
      <c r="AH20" s="1052"/>
      <c r="AI20" s="1052"/>
      <c r="AJ20" s="1053"/>
      <c r="AK20" s="1054"/>
      <c r="AL20" s="1055"/>
      <c r="AM20" s="1055"/>
      <c r="AN20" s="1055"/>
      <c r="AO20" s="1055"/>
      <c r="AP20" s="1055"/>
      <c r="AQ20" s="1055"/>
      <c r="AR20" s="1056"/>
    </row>
    <row r="21" spans="1:44" ht="5.0999999999999996" customHeight="1" thickBot="1" x14ac:dyDescent="0.25"/>
    <row r="22" spans="1:44" ht="13.5" thickBot="1" x14ac:dyDescent="0.25">
      <c r="A22" s="330" t="s">
        <v>2350</v>
      </c>
      <c r="G22" s="1045" t="s">
        <v>158</v>
      </c>
      <c r="H22" s="1046"/>
      <c r="I22" s="1046"/>
      <c r="J22" s="1046"/>
      <c r="K22" s="1046"/>
      <c r="L22" s="1046"/>
      <c r="M22" s="1046"/>
      <c r="N22" s="1046"/>
      <c r="O22" s="1046"/>
      <c r="P22" s="1046"/>
      <c r="Q22" s="1046"/>
      <c r="R22" s="1046"/>
      <c r="S22" s="1046"/>
      <c r="T22" s="1046"/>
      <c r="U22" s="1046"/>
      <c r="V22" s="1046"/>
      <c r="W22" s="1046"/>
      <c r="X22" s="1046"/>
      <c r="Y22" s="1046"/>
      <c r="Z22" s="1046"/>
      <c r="AA22" s="1046"/>
      <c r="AB22" s="1046"/>
      <c r="AC22" s="1046"/>
      <c r="AD22" s="1047"/>
      <c r="AF22" s="1052" t="s">
        <v>2351</v>
      </c>
      <c r="AG22" s="1052"/>
      <c r="AH22" s="1052"/>
      <c r="AI22" s="1052"/>
      <c r="AJ22" s="1053"/>
      <c r="AK22" s="1045" t="s">
        <v>2508</v>
      </c>
      <c r="AL22" s="1046"/>
      <c r="AM22" s="1046"/>
      <c r="AN22" s="1046"/>
      <c r="AO22" s="1046"/>
      <c r="AP22" s="1046"/>
      <c r="AQ22" s="1046"/>
      <c r="AR22" s="1047"/>
    </row>
    <row r="23" spans="1:44" ht="5.0999999999999996" customHeight="1" thickBot="1" x14ac:dyDescent="0.25"/>
    <row r="24" spans="1:44" ht="33" customHeight="1" thickBot="1" x14ac:dyDescent="0.25">
      <c r="A24" s="330" t="s">
        <v>2352</v>
      </c>
      <c r="G24" s="333" t="s">
        <v>2353</v>
      </c>
      <c r="H24" s="333"/>
      <c r="I24" s="333" t="s">
        <v>2342</v>
      </c>
      <c r="J24" s="333"/>
      <c r="K24" s="334" t="s">
        <v>2354</v>
      </c>
      <c r="L24" s="333"/>
      <c r="M24" s="333" t="s">
        <v>2355</v>
      </c>
      <c r="N24" s="333"/>
      <c r="O24" s="333" t="s">
        <v>2356</v>
      </c>
      <c r="P24" s="333"/>
      <c r="Q24" s="333"/>
      <c r="S24" s="1065">
        <f>+MEMORIA!C27</f>
        <v>0</v>
      </c>
      <c r="T24" s="1066"/>
      <c r="U24" s="1066"/>
      <c r="V24" s="1066"/>
      <c r="W24" s="1066"/>
      <c r="X24" s="1066"/>
      <c r="Y24" s="1066"/>
      <c r="Z24" s="1066"/>
      <c r="AA24" s="1066"/>
      <c r="AB24" s="1066"/>
      <c r="AC24" s="1066"/>
      <c r="AD24" s="1066"/>
      <c r="AE24" s="1066"/>
      <c r="AF24" s="1066"/>
      <c r="AG24" s="1066"/>
      <c r="AH24" s="1066"/>
      <c r="AI24" s="1066"/>
      <c r="AJ24" s="1066"/>
      <c r="AK24" s="1066"/>
      <c r="AL24" s="1066"/>
      <c r="AM24" s="1066"/>
      <c r="AN24" s="1066"/>
      <c r="AO24" s="1066"/>
      <c r="AP24" s="1066"/>
      <c r="AQ24" s="1066"/>
      <c r="AR24" s="1067"/>
    </row>
    <row r="25" spans="1:44" ht="5.0999999999999996" customHeight="1" thickBot="1" x14ac:dyDescent="0.25"/>
    <row r="26" spans="1:44" ht="13.5" thickBot="1" x14ac:dyDescent="0.25">
      <c r="A26" s="1068" t="s">
        <v>2357</v>
      </c>
      <c r="B26" s="1069"/>
      <c r="C26" s="1070"/>
      <c r="D26" s="1071"/>
      <c r="F26" s="1068" t="s">
        <v>2358</v>
      </c>
      <c r="G26" s="1072"/>
      <c r="H26" s="1072"/>
      <c r="I26" s="1073"/>
      <c r="J26" s="1071"/>
      <c r="N26" s="332" t="s">
        <v>2359</v>
      </c>
      <c r="O26" s="332"/>
      <c r="P26" s="1045"/>
      <c r="Q26" s="1046"/>
      <c r="R26" s="1046"/>
      <c r="S26" s="1046"/>
      <c r="T26" s="1046"/>
      <c r="U26" s="1046"/>
      <c r="V26" s="1046"/>
      <c r="W26" s="1046"/>
      <c r="X26" s="1046"/>
      <c r="Y26" s="1046"/>
      <c r="Z26" s="1046"/>
      <c r="AA26" s="1046"/>
      <c r="AB26" s="1046"/>
      <c r="AC26" s="1046"/>
      <c r="AD26" s="1046"/>
      <c r="AE26" s="1046"/>
      <c r="AF26" s="1046"/>
      <c r="AG26" s="1046"/>
      <c r="AH26" s="1046"/>
      <c r="AI26" s="1046"/>
      <c r="AJ26" s="1046"/>
      <c r="AK26" s="1046"/>
      <c r="AL26" s="1046"/>
      <c r="AM26" s="1046"/>
      <c r="AN26" s="1046"/>
      <c r="AO26" s="1046"/>
      <c r="AP26" s="1046"/>
      <c r="AQ26" s="1046"/>
      <c r="AR26" s="1047"/>
    </row>
    <row r="27" spans="1:44" ht="5.0999999999999996" customHeight="1" thickBot="1" x14ac:dyDescent="0.25"/>
    <row r="28" spans="1:44" ht="13.5" thickBot="1" x14ac:dyDescent="0.25">
      <c r="A28" s="330" t="s">
        <v>227</v>
      </c>
      <c r="D28" s="1054"/>
      <c r="E28" s="1055"/>
      <c r="F28" s="1055"/>
      <c r="G28" s="1055"/>
      <c r="H28" s="1055"/>
      <c r="I28" s="1055"/>
      <c r="J28" s="1056"/>
      <c r="M28" s="330" t="s">
        <v>228</v>
      </c>
      <c r="P28" s="1054"/>
      <c r="Q28" s="1055"/>
      <c r="R28" s="1055"/>
      <c r="S28" s="1055"/>
      <c r="T28" s="1056"/>
      <c r="Z28" s="1052" t="s">
        <v>229</v>
      </c>
      <c r="AA28" s="1052"/>
      <c r="AB28" s="1052"/>
      <c r="AC28" s="1052"/>
      <c r="AD28" s="1052"/>
      <c r="AE28" s="1052"/>
      <c r="AF28" s="1053"/>
      <c r="AG28" s="1074">
        <f>+'ANEXO II'!D12</f>
        <v>0</v>
      </c>
      <c r="AH28" s="1055"/>
      <c r="AI28" s="1055"/>
      <c r="AJ28" s="1055"/>
      <c r="AK28" s="1055"/>
      <c r="AL28" s="1055"/>
      <c r="AM28" s="1055"/>
      <c r="AN28" s="1056"/>
    </row>
    <row r="29" spans="1:44" ht="6" customHeight="1" thickBot="1" x14ac:dyDescent="0.25"/>
    <row r="30" spans="1:44" ht="13.5" thickBot="1" x14ac:dyDescent="0.25">
      <c r="A30" s="330" t="s">
        <v>2360</v>
      </c>
      <c r="F30" s="1075" t="s">
        <v>2361</v>
      </c>
      <c r="G30" s="1076"/>
      <c r="H30" s="1076"/>
      <c r="I30" s="1076"/>
      <c r="J30" s="1054"/>
      <c r="K30" s="1055"/>
      <c r="L30" s="1056"/>
      <c r="M30" s="1077" t="s">
        <v>2362</v>
      </c>
      <c r="N30" s="1077"/>
      <c r="O30" s="1077"/>
      <c r="P30" s="1077"/>
      <c r="Q30" s="1077"/>
      <c r="R30" s="1077"/>
      <c r="S30" s="475"/>
      <c r="T30" s="1078" t="s">
        <v>2363</v>
      </c>
      <c r="U30" s="1079"/>
      <c r="V30" s="1079"/>
      <c r="W30" s="1079"/>
      <c r="X30" s="1079"/>
      <c r="Y30" s="1079"/>
      <c r="Z30" s="1080"/>
      <c r="AA30" s="1054"/>
      <c r="AB30" s="1056"/>
      <c r="AC30" s="1078" t="s">
        <v>2364</v>
      </c>
      <c r="AD30" s="1079"/>
      <c r="AE30" s="1079"/>
      <c r="AF30" s="1079"/>
      <c r="AG30" s="1079"/>
      <c r="AH30" s="1079"/>
      <c r="AI30" s="1079"/>
      <c r="AJ30" s="1080"/>
      <c r="AK30" s="475"/>
      <c r="AL30" s="1078" t="s">
        <v>2365</v>
      </c>
      <c r="AM30" s="1079"/>
      <c r="AN30" s="1079"/>
      <c r="AO30" s="1079"/>
      <c r="AP30" s="1079"/>
      <c r="AQ30" s="1080"/>
      <c r="AR30" s="474"/>
    </row>
    <row r="31" spans="1:44" ht="13.5" thickBot="1" x14ac:dyDescent="0.25">
      <c r="E31" s="335"/>
      <c r="G31" s="335" t="s">
        <v>2366</v>
      </c>
      <c r="J31" s="412"/>
      <c r="K31" s="412"/>
      <c r="L31" s="412"/>
      <c r="M31" s="412"/>
      <c r="N31" s="412"/>
      <c r="O31" s="412"/>
      <c r="P31" s="412"/>
      <c r="Q31" s="412"/>
      <c r="R31" s="412"/>
      <c r="S31" s="412"/>
      <c r="T31" s="412"/>
      <c r="U31" s="412"/>
      <c r="V31" s="412"/>
      <c r="W31" s="412"/>
      <c r="X31" s="412"/>
      <c r="Y31" s="412"/>
      <c r="Z31" s="412"/>
      <c r="AA31" s="412"/>
      <c r="AB31" s="412"/>
      <c r="AC31" s="412"/>
      <c r="AD31" s="412"/>
      <c r="AE31" s="412"/>
      <c r="AF31" s="412"/>
      <c r="AG31" s="412"/>
      <c r="AH31" s="412"/>
      <c r="AI31" s="412"/>
      <c r="AJ31" s="412"/>
      <c r="AK31" s="412"/>
      <c r="AL31" s="412"/>
      <c r="AM31" s="412"/>
      <c r="AN31" s="412"/>
      <c r="AO31" s="412"/>
      <c r="AP31" s="412"/>
      <c r="AQ31" s="412"/>
      <c r="AR31" s="412"/>
    </row>
    <row r="32" spans="1:44" ht="13.5" thickBot="1" x14ac:dyDescent="0.25">
      <c r="F32" s="1075" t="s">
        <v>2268</v>
      </c>
      <c r="G32" s="1076"/>
      <c r="H32" s="1076"/>
      <c r="I32" s="1076"/>
      <c r="J32" s="1081"/>
      <c r="K32" s="1082"/>
      <c r="L32" s="1082"/>
      <c r="M32" s="1082" t="s">
        <v>2367</v>
      </c>
      <c r="N32" s="1082"/>
      <c r="O32" s="1082"/>
      <c r="P32" s="1082"/>
      <c r="Q32" s="1082"/>
      <c r="R32" s="1083"/>
      <c r="S32" s="475"/>
      <c r="T32" s="1084" t="s">
        <v>2368</v>
      </c>
      <c r="U32" s="1085"/>
      <c r="V32" s="475"/>
      <c r="W32" s="1086" t="s">
        <v>2369</v>
      </c>
      <c r="X32" s="1087"/>
      <c r="Y32" s="1054"/>
      <c r="Z32" s="1056"/>
      <c r="AA32" s="1088" t="s">
        <v>2370</v>
      </c>
      <c r="AB32" s="1077"/>
      <c r="AC32" s="1085"/>
      <c r="AD32" s="1054"/>
      <c r="AE32" s="1056"/>
      <c r="AF32" s="1088" t="s">
        <v>2371</v>
      </c>
      <c r="AG32" s="1077"/>
      <c r="AH32" s="1077"/>
      <c r="AI32" s="1077"/>
      <c r="AJ32" s="1085"/>
      <c r="AK32" s="487"/>
      <c r="AL32" s="488" t="s">
        <v>2372</v>
      </c>
      <c r="AM32" s="1054"/>
      <c r="AN32" s="1055"/>
      <c r="AO32" s="1055"/>
      <c r="AP32" s="1055"/>
      <c r="AQ32" s="1055"/>
      <c r="AR32" s="1056"/>
    </row>
    <row r="33" spans="1:44" ht="9" customHeight="1" x14ac:dyDescent="0.2">
      <c r="E33" s="335"/>
      <c r="F33" s="335" t="s">
        <v>2373</v>
      </c>
    </row>
    <row r="34" spans="1:44" ht="4.5" customHeight="1" x14ac:dyDescent="0.2"/>
    <row r="35" spans="1:44" x14ac:dyDescent="0.2">
      <c r="A35" s="1093" t="s">
        <v>2374</v>
      </c>
      <c r="B35" s="1094"/>
      <c r="C35" s="1094"/>
      <c r="D35" s="1094"/>
      <c r="E35" s="1094"/>
      <c r="F35" s="1094"/>
      <c r="G35" s="1094"/>
      <c r="H35" s="1094"/>
      <c r="I35" s="1094"/>
      <c r="J35" s="1094"/>
      <c r="K35" s="1094"/>
      <c r="L35" s="1094"/>
      <c r="M35" s="1094"/>
      <c r="N35" s="1094"/>
      <c r="O35" s="1094"/>
      <c r="P35" s="1094"/>
      <c r="Q35" s="1094"/>
      <c r="R35" s="1094"/>
      <c r="S35" s="1094"/>
      <c r="T35" s="1094"/>
      <c r="U35" s="1094"/>
      <c r="V35" s="1094"/>
      <c r="W35" s="1094"/>
      <c r="X35" s="1094"/>
      <c r="Y35" s="1094"/>
      <c r="Z35" s="1094"/>
      <c r="AA35" s="1094"/>
      <c r="AB35" s="1094"/>
      <c r="AC35" s="1094"/>
      <c r="AD35" s="1094"/>
      <c r="AE35" s="1094"/>
      <c r="AF35" s="1094"/>
      <c r="AG35" s="1094"/>
      <c r="AH35" s="1094"/>
      <c r="AI35" s="1094"/>
      <c r="AJ35" s="1094"/>
      <c r="AK35" s="1094"/>
      <c r="AL35" s="1094"/>
      <c r="AM35" s="1094"/>
      <c r="AN35" s="1094"/>
      <c r="AO35" s="1094"/>
      <c r="AP35" s="1094"/>
      <c r="AQ35" s="1094"/>
      <c r="AR35" s="1095"/>
    </row>
    <row r="36" spans="1:44" ht="4.5" customHeight="1" x14ac:dyDescent="0.2">
      <c r="A36" s="336"/>
      <c r="B36" s="336"/>
      <c r="C36" s="336"/>
      <c r="D36" s="336"/>
      <c r="E36" s="336"/>
      <c r="F36" s="336"/>
      <c r="G36" s="336"/>
      <c r="H36" s="336"/>
      <c r="I36" s="336"/>
      <c r="J36" s="336"/>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6"/>
      <c r="AI36" s="336"/>
      <c r="AJ36" s="336"/>
      <c r="AK36" s="336"/>
      <c r="AL36" s="336"/>
      <c r="AM36" s="336"/>
      <c r="AN36" s="336"/>
      <c r="AO36" s="336"/>
      <c r="AP36" s="336"/>
      <c r="AQ36" s="336"/>
    </row>
    <row r="37" spans="1:44" x14ac:dyDescent="0.2">
      <c r="A37" s="428" t="s">
        <v>2375</v>
      </c>
      <c r="B37" s="412"/>
      <c r="C37" s="412"/>
      <c r="D37" s="412"/>
      <c r="E37" s="412"/>
      <c r="F37" s="412"/>
      <c r="G37" s="412"/>
      <c r="H37" s="412"/>
      <c r="I37" s="412"/>
      <c r="J37" s="412"/>
      <c r="K37" s="412"/>
      <c r="L37" s="416" t="s">
        <v>2376</v>
      </c>
      <c r="M37" s="412"/>
      <c r="N37" s="412"/>
      <c r="O37" s="1084"/>
      <c r="P37" s="1092"/>
      <c r="Q37" s="412"/>
      <c r="R37" s="434"/>
      <c r="S37" s="434"/>
      <c r="T37" s="434"/>
      <c r="U37" s="434"/>
      <c r="V37" s="415"/>
      <c r="W37" s="416" t="s">
        <v>171</v>
      </c>
      <c r="X37" s="415"/>
      <c r="Y37" s="415"/>
      <c r="Z37" s="415"/>
      <c r="AA37" s="1096" t="s">
        <v>2277</v>
      </c>
      <c r="AB37" s="1097"/>
      <c r="AC37" s="415"/>
      <c r="AD37" s="412" t="s">
        <v>2377</v>
      </c>
      <c r="AE37" s="415"/>
      <c r="AF37" s="412"/>
      <c r="AG37" s="471"/>
      <c r="AH37" s="412"/>
      <c r="AI37" s="472"/>
      <c r="AJ37" s="472"/>
      <c r="AK37" s="472"/>
      <c r="AL37" s="472"/>
      <c r="AM37" s="472"/>
      <c r="AN37" s="472"/>
      <c r="AO37" s="415"/>
      <c r="AP37" s="1084"/>
      <c r="AQ37" s="1092"/>
      <c r="AR37" s="415"/>
    </row>
    <row r="38" spans="1:44" ht="3.75" customHeight="1" thickBot="1" x14ac:dyDescent="0.25">
      <c r="A38" s="412"/>
      <c r="B38" s="412"/>
      <c r="C38" s="412"/>
      <c r="D38" s="412"/>
      <c r="E38" s="412"/>
      <c r="F38" s="412"/>
      <c r="G38" s="412"/>
      <c r="H38" s="412"/>
      <c r="I38" s="412"/>
      <c r="J38" s="412"/>
      <c r="K38" s="412"/>
      <c r="L38" s="412"/>
      <c r="M38" s="412"/>
      <c r="N38" s="412"/>
      <c r="O38" s="412"/>
      <c r="P38" s="412"/>
      <c r="Q38" s="412"/>
      <c r="R38" s="412"/>
      <c r="S38" s="412"/>
      <c r="T38" s="412"/>
      <c r="U38" s="412"/>
      <c r="V38" s="412"/>
      <c r="W38" s="412"/>
      <c r="X38" s="412"/>
      <c r="Y38" s="412"/>
      <c r="Z38" s="415"/>
      <c r="AA38" s="415"/>
      <c r="AB38" s="412"/>
      <c r="AC38" s="412"/>
      <c r="AD38" s="412"/>
      <c r="AE38" s="412"/>
      <c r="AF38" s="412"/>
      <c r="AG38" s="412"/>
      <c r="AH38" s="412"/>
      <c r="AI38" s="412"/>
      <c r="AJ38" s="412"/>
      <c r="AK38" s="412"/>
      <c r="AL38" s="412"/>
      <c r="AM38" s="412"/>
      <c r="AN38" s="412"/>
      <c r="AO38" s="412"/>
      <c r="AP38" s="415"/>
      <c r="AQ38" s="415"/>
      <c r="AR38" s="412"/>
    </row>
    <row r="39" spans="1:44" ht="13.5" thickBot="1" x14ac:dyDescent="0.25">
      <c r="A39" s="428" t="s">
        <v>2378</v>
      </c>
      <c r="B39" s="412"/>
      <c r="C39" s="412"/>
      <c r="D39" s="412"/>
      <c r="E39" s="412"/>
      <c r="F39" s="412"/>
      <c r="G39" s="412"/>
      <c r="H39" s="412"/>
      <c r="I39" s="412"/>
      <c r="J39" s="412"/>
      <c r="K39" s="412"/>
      <c r="L39" s="412"/>
      <c r="M39" s="412"/>
      <c r="N39" s="412"/>
      <c r="O39" s="412"/>
      <c r="P39" s="471" t="s">
        <v>2379</v>
      </c>
      <c r="Q39" s="412"/>
      <c r="R39" s="1098">
        <f>+MEMORIA!AO35</f>
        <v>0</v>
      </c>
      <c r="S39" s="1099"/>
      <c r="T39" s="1100"/>
      <c r="U39" s="473" t="s">
        <v>2380</v>
      </c>
      <c r="V39" s="434"/>
      <c r="W39" s="434"/>
      <c r="X39" s="412"/>
      <c r="Y39" s="415"/>
      <c r="Z39" s="473"/>
      <c r="AA39" s="473"/>
      <c r="AB39" s="412"/>
      <c r="AC39" s="412"/>
      <c r="AD39" s="412"/>
      <c r="AE39" s="412"/>
      <c r="AF39" s="412"/>
      <c r="AG39" s="471" t="s">
        <v>2381</v>
      </c>
      <c r="AH39" s="412"/>
      <c r="AI39" s="415"/>
      <c r="AJ39" s="415"/>
      <c r="AK39" s="415"/>
      <c r="AL39" s="1101">
        <f>+MEMORIA!V75</f>
        <v>0</v>
      </c>
      <c r="AM39" s="1102"/>
      <c r="AN39" s="1103"/>
      <c r="AO39" s="473" t="s">
        <v>2380</v>
      </c>
      <c r="AP39" s="415"/>
      <c r="AQ39" s="471"/>
      <c r="AR39" s="412"/>
    </row>
    <row r="40" spans="1:44" ht="2.25" customHeight="1" x14ac:dyDescent="0.2">
      <c r="A40" s="412"/>
      <c r="B40" s="412"/>
      <c r="C40" s="412"/>
      <c r="D40" s="412"/>
      <c r="E40" s="412"/>
      <c r="F40" s="412"/>
      <c r="G40" s="412"/>
      <c r="H40" s="412"/>
      <c r="I40" s="412"/>
      <c r="J40" s="412"/>
      <c r="K40" s="412"/>
      <c r="L40" s="412"/>
      <c r="M40" s="412"/>
      <c r="N40" s="412"/>
      <c r="O40" s="412"/>
      <c r="P40" s="412"/>
      <c r="Q40" s="412"/>
      <c r="R40" s="412"/>
      <c r="S40" s="412"/>
      <c r="T40" s="412"/>
      <c r="U40" s="412"/>
      <c r="V40" s="412"/>
      <c r="W40" s="412"/>
      <c r="X40" s="412"/>
      <c r="Y40" s="412"/>
      <c r="Z40" s="412"/>
      <c r="AA40" s="412"/>
      <c r="AB40" s="412"/>
      <c r="AC40" s="412"/>
      <c r="AD40" s="412"/>
      <c r="AE40" s="412"/>
      <c r="AF40" s="412"/>
      <c r="AG40" s="412"/>
      <c r="AH40" s="412"/>
      <c r="AI40" s="412"/>
      <c r="AJ40" s="412"/>
      <c r="AK40" s="412"/>
      <c r="AL40" s="412"/>
      <c r="AM40" s="412"/>
      <c r="AN40" s="412"/>
      <c r="AO40" s="473"/>
      <c r="AP40" s="412"/>
      <c r="AQ40" s="412"/>
      <c r="AR40" s="412"/>
    </row>
    <row r="41" spans="1:44" ht="5.25" customHeight="1" thickBot="1" x14ac:dyDescent="0.25">
      <c r="A41" s="422"/>
      <c r="B41" s="418"/>
      <c r="C41" s="418"/>
      <c r="D41" s="418"/>
      <c r="E41" s="418"/>
      <c r="F41" s="418"/>
      <c r="G41" s="418"/>
      <c r="H41" s="418"/>
      <c r="I41" s="418"/>
      <c r="J41" s="418"/>
      <c r="K41" s="418"/>
      <c r="L41" s="418"/>
      <c r="M41" s="418"/>
      <c r="N41" s="418"/>
      <c r="O41" s="418"/>
      <c r="P41" s="418"/>
      <c r="Q41" s="418"/>
      <c r="R41" s="418"/>
      <c r="S41" s="418"/>
      <c r="T41" s="418"/>
      <c r="U41" s="418"/>
      <c r="V41" s="423"/>
      <c r="W41" s="412"/>
      <c r="X41" s="412"/>
      <c r="Y41" s="412"/>
      <c r="Z41" s="412"/>
      <c r="AA41" s="412"/>
      <c r="AB41" s="412"/>
      <c r="AC41" s="412"/>
      <c r="AD41" s="412"/>
      <c r="AE41" s="412"/>
      <c r="AF41" s="412"/>
      <c r="AG41" s="412"/>
      <c r="AH41" s="412"/>
      <c r="AI41" s="412"/>
      <c r="AJ41" s="412"/>
      <c r="AK41" s="412"/>
      <c r="AL41" s="412"/>
      <c r="AM41" s="412"/>
      <c r="AN41" s="412"/>
      <c r="AO41" s="473"/>
      <c r="AP41" s="412"/>
      <c r="AQ41" s="412"/>
      <c r="AR41" s="412"/>
    </row>
    <row r="42" spans="1:44" ht="13.5" thickBot="1" x14ac:dyDescent="0.25">
      <c r="A42" s="424" t="s">
        <v>2382</v>
      </c>
      <c r="B42" s="412"/>
      <c r="C42" s="412"/>
      <c r="D42" s="412"/>
      <c r="E42" s="412"/>
      <c r="F42" s="412"/>
      <c r="G42" s="412"/>
      <c r="H42" s="412"/>
      <c r="I42" s="412"/>
      <c r="J42" s="471" t="s">
        <v>2383</v>
      </c>
      <c r="K42" s="412"/>
      <c r="L42" s="474"/>
      <c r="M42" s="412"/>
      <c r="N42" s="412"/>
      <c r="O42" s="471" t="s">
        <v>2384</v>
      </c>
      <c r="P42" s="412"/>
      <c r="Q42" s="475"/>
      <c r="R42" s="412"/>
      <c r="S42" s="471" t="s">
        <v>2385</v>
      </c>
      <c r="T42" s="412"/>
      <c r="U42" s="475"/>
      <c r="V42" s="476"/>
      <c r="W42" s="412"/>
      <c r="X42" s="415"/>
      <c r="Y42" s="412"/>
      <c r="Z42" s="415"/>
      <c r="AA42" s="412" t="s">
        <v>2386</v>
      </c>
      <c r="AB42" s="412"/>
      <c r="AC42" s="412"/>
      <c r="AD42" s="412"/>
      <c r="AE42" s="412"/>
      <c r="AF42" s="412"/>
      <c r="AG42" s="412"/>
      <c r="AH42" s="412"/>
      <c r="AI42" s="415"/>
      <c r="AJ42" s="415"/>
      <c r="AK42" s="415"/>
      <c r="AL42" s="1089">
        <f>+'HOJA DE RESUMEN'!H56</f>
        <v>2025</v>
      </c>
      <c r="AM42" s="1090"/>
      <c r="AN42" s="1091"/>
      <c r="AO42" s="473" t="s">
        <v>48</v>
      </c>
      <c r="AP42" s="412"/>
      <c r="AQ42" s="471"/>
      <c r="AR42" s="412"/>
    </row>
    <row r="43" spans="1:44" ht="3.75" customHeight="1" x14ac:dyDescent="0.2">
      <c r="A43" s="426"/>
      <c r="B43" s="411"/>
      <c r="C43" s="411"/>
      <c r="D43" s="411"/>
      <c r="E43" s="411"/>
      <c r="F43" s="411"/>
      <c r="G43" s="411"/>
      <c r="H43" s="411"/>
      <c r="I43" s="411"/>
      <c r="J43" s="411"/>
      <c r="K43" s="411"/>
      <c r="L43" s="411"/>
      <c r="M43" s="411"/>
      <c r="N43" s="411"/>
      <c r="O43" s="411"/>
      <c r="P43" s="411"/>
      <c r="Q43" s="411"/>
      <c r="R43" s="411"/>
      <c r="S43" s="411"/>
      <c r="T43" s="411"/>
      <c r="U43" s="411"/>
      <c r="V43" s="431"/>
      <c r="W43" s="412"/>
      <c r="X43" s="412"/>
      <c r="Y43" s="412"/>
      <c r="Z43" s="412"/>
      <c r="AA43" s="412"/>
      <c r="AB43" s="412"/>
      <c r="AC43" s="412"/>
      <c r="AD43" s="412"/>
      <c r="AE43" s="412"/>
      <c r="AF43" s="412"/>
      <c r="AG43" s="412"/>
      <c r="AH43" s="412"/>
      <c r="AI43" s="412"/>
      <c r="AJ43" s="412"/>
      <c r="AK43" s="412"/>
      <c r="AL43" s="412"/>
      <c r="AM43" s="412"/>
      <c r="AN43" s="412"/>
      <c r="AO43" s="412"/>
      <c r="AP43" s="412"/>
      <c r="AQ43" s="412"/>
      <c r="AR43" s="412"/>
    </row>
    <row r="44" spans="1:44" ht="3.75" hidden="1" customHeight="1" x14ac:dyDescent="0.2"/>
    <row r="45" spans="1:44" ht="5.25" customHeight="1" x14ac:dyDescent="0.2"/>
    <row r="46" spans="1:44" x14ac:dyDescent="0.2">
      <c r="A46" s="412" t="s">
        <v>2387</v>
      </c>
      <c r="B46" s="412"/>
      <c r="C46" s="412"/>
      <c r="D46" s="412"/>
      <c r="E46" s="412"/>
      <c r="F46" s="412" t="s">
        <v>2284</v>
      </c>
      <c r="G46" s="413"/>
      <c r="H46" s="412" t="s">
        <v>2285</v>
      </c>
      <c r="I46" s="414"/>
      <c r="J46" s="415"/>
      <c r="K46" s="415"/>
      <c r="L46" s="412" t="s">
        <v>2388</v>
      </c>
      <c r="M46" s="412"/>
      <c r="N46" s="412"/>
      <c r="O46" s="412"/>
      <c r="P46" s="412"/>
      <c r="Q46" s="412"/>
      <c r="R46" s="412"/>
      <c r="S46" s="415"/>
      <c r="T46" s="1084"/>
      <c r="U46" s="1077"/>
      <c r="V46" s="1092"/>
      <c r="W46" s="412"/>
      <c r="X46" s="415"/>
      <c r="Y46" s="412" t="s">
        <v>2389</v>
      </c>
      <c r="Z46" s="416"/>
      <c r="AA46" s="415"/>
      <c r="AB46" s="415"/>
      <c r="AC46" s="415"/>
      <c r="AD46" s="415"/>
      <c r="AE46" s="412"/>
      <c r="AF46" s="412"/>
      <c r="AG46" s="412"/>
      <c r="AH46" s="1084"/>
      <c r="AI46" s="1077"/>
      <c r="AJ46" s="1077"/>
      <c r="AK46" s="1092"/>
      <c r="AL46" s="331"/>
      <c r="AM46" s="331"/>
      <c r="AN46" s="331"/>
      <c r="AO46" s="331"/>
      <c r="AP46" s="331"/>
      <c r="AQ46" s="331"/>
      <c r="AR46" s="331"/>
    </row>
    <row r="47" spans="1:44" x14ac:dyDescent="0.2">
      <c r="A47" s="412" t="s">
        <v>2390</v>
      </c>
      <c r="B47" s="412"/>
      <c r="C47" s="412"/>
      <c r="D47" s="412"/>
      <c r="E47" s="412"/>
      <c r="F47" s="412" t="s">
        <v>2284</v>
      </c>
      <c r="G47" s="413"/>
      <c r="H47" s="412" t="s">
        <v>2285</v>
      </c>
      <c r="I47" s="417"/>
      <c r="J47" s="415"/>
      <c r="K47" s="415"/>
      <c r="L47" s="412" t="s">
        <v>2391</v>
      </c>
      <c r="M47" s="412"/>
      <c r="N47" s="412"/>
      <c r="O47" s="412"/>
      <c r="P47" s="412"/>
      <c r="Q47" s="412"/>
      <c r="R47" s="415"/>
      <c r="S47" s="412" t="s">
        <v>2284</v>
      </c>
      <c r="T47" s="414"/>
      <c r="U47" s="412" t="s">
        <v>2285</v>
      </c>
      <c r="V47" s="413"/>
      <c r="W47" s="412"/>
      <c r="X47" s="415"/>
      <c r="Y47" s="412" t="s">
        <v>2392</v>
      </c>
      <c r="Z47" s="415"/>
      <c r="AA47" s="415"/>
      <c r="AB47" s="415"/>
      <c r="AC47" s="415"/>
      <c r="AD47" s="415"/>
      <c r="AE47" s="412"/>
      <c r="AF47" s="412" t="s">
        <v>2284</v>
      </c>
      <c r="AG47" s="412"/>
      <c r="AH47" s="1082"/>
      <c r="AI47" s="1082"/>
      <c r="AJ47" s="412" t="s">
        <v>2285</v>
      </c>
      <c r="AK47" s="413"/>
      <c r="AL47" s="331"/>
      <c r="AM47" s="331"/>
      <c r="AN47" s="331"/>
      <c r="AO47" s="331"/>
      <c r="AP47" s="331"/>
      <c r="AQ47" s="331"/>
      <c r="AR47" s="331"/>
    </row>
    <row r="48" spans="1:44" x14ac:dyDescent="0.2">
      <c r="A48" s="412" t="s">
        <v>2393</v>
      </c>
      <c r="B48" s="412"/>
      <c r="C48" s="412"/>
      <c r="D48" s="412"/>
      <c r="E48" s="412"/>
      <c r="F48" s="412"/>
      <c r="G48" s="1084"/>
      <c r="H48" s="1077"/>
      <c r="I48" s="1092"/>
      <c r="J48" s="415"/>
      <c r="K48" s="415"/>
      <c r="L48" s="412" t="s">
        <v>2394</v>
      </c>
      <c r="M48" s="412"/>
      <c r="N48" s="412"/>
      <c r="O48" s="412"/>
      <c r="P48" s="412"/>
      <c r="Q48" s="412"/>
      <c r="R48" s="415"/>
      <c r="S48" s="412" t="s">
        <v>2284</v>
      </c>
      <c r="T48" s="413"/>
      <c r="U48" s="412" t="s">
        <v>2285</v>
      </c>
      <c r="V48" s="413"/>
      <c r="W48" s="412"/>
      <c r="X48" s="415"/>
      <c r="Y48" s="412" t="s">
        <v>2395</v>
      </c>
      <c r="Z48" s="415"/>
      <c r="AA48" s="415"/>
      <c r="AB48" s="415"/>
      <c r="AC48" s="415"/>
      <c r="AD48" s="415"/>
      <c r="AE48" s="412"/>
      <c r="AF48" s="412" t="s">
        <v>2284</v>
      </c>
      <c r="AG48" s="412"/>
      <c r="AH48" s="1082"/>
      <c r="AI48" s="1082"/>
      <c r="AJ48" s="412" t="s">
        <v>2285</v>
      </c>
      <c r="AK48" s="413"/>
      <c r="AL48" s="331"/>
      <c r="AM48" s="331"/>
      <c r="AN48" s="331"/>
      <c r="AO48" s="331"/>
      <c r="AP48" s="331"/>
      <c r="AQ48" s="331"/>
      <c r="AR48" s="331"/>
    </row>
    <row r="49" spans="1:44" x14ac:dyDescent="0.2">
      <c r="A49" s="412" t="s">
        <v>2396</v>
      </c>
      <c r="B49" s="412"/>
      <c r="C49" s="412"/>
      <c r="D49" s="412"/>
      <c r="E49" s="412"/>
      <c r="F49" s="412" t="s">
        <v>2284</v>
      </c>
      <c r="G49" s="414"/>
      <c r="H49" s="412" t="s">
        <v>2285</v>
      </c>
      <c r="I49" s="413"/>
      <c r="J49" s="415"/>
      <c r="K49" s="415"/>
      <c r="L49" s="412" t="s">
        <v>2397</v>
      </c>
      <c r="M49" s="412"/>
      <c r="N49" s="412"/>
      <c r="O49" s="412"/>
      <c r="P49" s="412"/>
      <c r="Q49" s="412"/>
      <c r="R49" s="415"/>
      <c r="S49" s="412" t="s">
        <v>2284</v>
      </c>
      <c r="T49" s="413"/>
      <c r="U49" s="412" t="s">
        <v>2285</v>
      </c>
      <c r="V49" s="413"/>
      <c r="W49" s="412"/>
      <c r="X49" s="415"/>
      <c r="Y49" s="412" t="s">
        <v>2398</v>
      </c>
      <c r="Z49" s="412"/>
      <c r="AA49" s="412"/>
      <c r="AB49" s="412"/>
      <c r="AC49" s="412"/>
      <c r="AD49" s="412"/>
      <c r="AE49" s="412"/>
      <c r="AF49" s="412" t="s">
        <v>2284</v>
      </c>
      <c r="AG49" s="412"/>
      <c r="AH49" s="1104"/>
      <c r="AI49" s="1104"/>
      <c r="AJ49" s="412" t="s">
        <v>2285</v>
      </c>
      <c r="AK49" s="413"/>
      <c r="AL49" s="331"/>
      <c r="AM49" s="331"/>
      <c r="AN49" s="331"/>
      <c r="AO49" s="435"/>
      <c r="AP49" s="331"/>
      <c r="AQ49" s="331"/>
      <c r="AR49" s="331"/>
    </row>
    <row r="50" spans="1:44" x14ac:dyDescent="0.2">
      <c r="A50" s="412"/>
      <c r="B50" s="412"/>
      <c r="C50" s="412"/>
      <c r="D50" s="412"/>
      <c r="E50" s="412"/>
      <c r="F50" s="412"/>
      <c r="G50" s="418"/>
      <c r="H50" s="412"/>
      <c r="I50" s="419"/>
      <c r="J50" s="415"/>
      <c r="K50" s="415"/>
      <c r="L50" s="412" t="s">
        <v>2399</v>
      </c>
      <c r="M50" s="412"/>
      <c r="N50" s="412"/>
      <c r="O50" s="412"/>
      <c r="P50" s="412"/>
      <c r="Q50" s="412"/>
      <c r="R50" s="415"/>
      <c r="S50" s="412" t="s">
        <v>2284</v>
      </c>
      <c r="T50" s="420"/>
      <c r="U50" s="421" t="s">
        <v>2285</v>
      </c>
      <c r="V50" s="413"/>
      <c r="W50" s="412"/>
      <c r="X50" s="415"/>
      <c r="Y50" s="412" t="s">
        <v>2400</v>
      </c>
      <c r="Z50" s="412"/>
      <c r="AA50" s="412"/>
      <c r="AB50" s="412"/>
      <c r="AC50" s="412"/>
      <c r="AD50" s="412"/>
      <c r="AE50" s="412"/>
      <c r="AF50" s="412" t="s">
        <v>2284</v>
      </c>
      <c r="AG50" s="412"/>
      <c r="AH50" s="1082"/>
      <c r="AI50" s="1082"/>
      <c r="AJ50" s="412" t="s">
        <v>2285</v>
      </c>
      <c r="AK50" s="413"/>
      <c r="AL50" s="331"/>
      <c r="AM50" s="331"/>
      <c r="AN50" s="331"/>
      <c r="AO50" s="435"/>
      <c r="AP50" s="331"/>
      <c r="AQ50" s="331"/>
      <c r="AR50" s="331"/>
    </row>
    <row r="51" spans="1:44" x14ac:dyDescent="0.2">
      <c r="A51" s="412"/>
      <c r="B51" s="412"/>
      <c r="C51" s="412"/>
      <c r="D51" s="412"/>
      <c r="E51" s="412"/>
      <c r="F51" s="412"/>
      <c r="G51" s="412"/>
      <c r="H51" s="412"/>
      <c r="I51" s="416"/>
      <c r="J51" s="412"/>
      <c r="K51" s="412"/>
      <c r="L51" s="412"/>
      <c r="M51" s="412"/>
      <c r="N51" s="412"/>
      <c r="O51" s="412"/>
      <c r="P51" s="412"/>
      <c r="Q51" s="412"/>
      <c r="R51" s="412"/>
      <c r="S51" s="416"/>
      <c r="T51" s="412"/>
      <c r="U51" s="416"/>
      <c r="V51" s="415"/>
      <c r="W51" s="412"/>
      <c r="X51" s="415"/>
      <c r="Y51" s="412" t="s">
        <v>2401</v>
      </c>
      <c r="Z51" s="412"/>
      <c r="AA51" s="412"/>
      <c r="AB51" s="412"/>
      <c r="AC51" s="412"/>
      <c r="AD51" s="412"/>
      <c r="AE51" s="412"/>
      <c r="AF51" s="412" t="s">
        <v>2284</v>
      </c>
      <c r="AG51" s="412"/>
      <c r="AH51" s="1082"/>
      <c r="AI51" s="1082"/>
      <c r="AJ51" s="412" t="s">
        <v>2285</v>
      </c>
      <c r="AK51" s="413"/>
      <c r="AL51" s="331"/>
      <c r="AM51" s="331"/>
      <c r="AN51" s="331"/>
      <c r="AO51" s="435"/>
    </row>
    <row r="52" spans="1:44" x14ac:dyDescent="0.2">
      <c r="A52" s="412"/>
      <c r="B52" s="412"/>
      <c r="C52" s="412"/>
      <c r="D52" s="412"/>
      <c r="E52" s="412"/>
      <c r="F52" s="412"/>
      <c r="G52" s="412"/>
      <c r="H52" s="412"/>
      <c r="I52" s="416"/>
      <c r="J52" s="412"/>
      <c r="K52" s="412"/>
      <c r="L52" s="412"/>
      <c r="M52" s="412"/>
      <c r="N52" s="412"/>
      <c r="O52" s="412"/>
      <c r="P52" s="412"/>
      <c r="Q52" s="412"/>
      <c r="R52" s="412"/>
      <c r="S52" s="416"/>
      <c r="T52" s="412"/>
      <c r="U52" s="416"/>
      <c r="V52" s="415"/>
      <c r="W52" s="412"/>
      <c r="X52" s="415"/>
      <c r="Y52" s="412" t="s">
        <v>2402</v>
      </c>
      <c r="Z52" s="412"/>
      <c r="AA52" s="412"/>
      <c r="AB52" s="412"/>
      <c r="AC52" s="412"/>
      <c r="AD52" s="412"/>
      <c r="AE52" s="412"/>
      <c r="AF52" s="412" t="s">
        <v>2284</v>
      </c>
      <c r="AG52" s="412"/>
      <c r="AH52" s="1082"/>
      <c r="AI52" s="1082"/>
      <c r="AJ52" s="412" t="s">
        <v>2285</v>
      </c>
      <c r="AK52" s="413"/>
      <c r="AL52" s="435"/>
      <c r="AM52" s="435"/>
      <c r="AN52" s="435"/>
      <c r="AO52" s="435"/>
    </row>
    <row r="53" spans="1:44" ht="6" hidden="1" customHeight="1" x14ac:dyDescent="0.2"/>
    <row r="54" spans="1:44" ht="6" customHeight="1" x14ac:dyDescent="0.2"/>
    <row r="55" spans="1:44" x14ac:dyDescent="0.2">
      <c r="A55" s="1093" t="s">
        <v>2403</v>
      </c>
      <c r="B55" s="1094"/>
      <c r="C55" s="1094"/>
      <c r="D55" s="1094"/>
      <c r="E55" s="1094"/>
      <c r="F55" s="1094"/>
      <c r="G55" s="1094"/>
      <c r="H55" s="1094"/>
      <c r="I55" s="1094"/>
      <c r="J55" s="1094"/>
      <c r="K55" s="1094"/>
      <c r="L55" s="1094"/>
      <c r="M55" s="1094"/>
      <c r="N55" s="1094"/>
      <c r="O55" s="1094"/>
      <c r="P55" s="1094"/>
      <c r="Q55" s="1094"/>
      <c r="R55" s="1094"/>
      <c r="S55" s="1094"/>
      <c r="T55" s="1094"/>
      <c r="U55" s="1094"/>
      <c r="V55" s="1094"/>
      <c r="W55" s="1094"/>
      <c r="X55" s="1094"/>
      <c r="Y55" s="1094"/>
      <c r="Z55" s="1094"/>
      <c r="AA55" s="1094"/>
      <c r="AB55" s="1094"/>
      <c r="AC55" s="1094"/>
      <c r="AD55" s="1094"/>
      <c r="AE55" s="1094"/>
      <c r="AF55" s="1094"/>
      <c r="AG55" s="1094"/>
      <c r="AH55" s="1094"/>
      <c r="AI55" s="1094"/>
      <c r="AJ55" s="1094"/>
      <c r="AK55" s="1094"/>
      <c r="AL55" s="1094"/>
      <c r="AM55" s="1094"/>
      <c r="AN55" s="1094"/>
      <c r="AO55" s="1094"/>
      <c r="AP55" s="1094"/>
      <c r="AQ55" s="1094"/>
      <c r="AR55" s="1095"/>
    </row>
    <row r="56" spans="1:44" ht="3.75" customHeight="1" x14ac:dyDescent="0.2"/>
    <row r="57" spans="1:44" x14ac:dyDescent="0.2">
      <c r="A57" s="428" t="s">
        <v>2404</v>
      </c>
      <c r="B57" s="412"/>
      <c r="C57" s="412"/>
      <c r="D57" s="412"/>
      <c r="E57" s="412"/>
      <c r="F57" s="412"/>
      <c r="G57" s="412"/>
      <c r="H57" s="412"/>
      <c r="I57" s="412"/>
      <c r="J57" s="412"/>
      <c r="K57" s="412"/>
      <c r="L57" s="412"/>
      <c r="M57" s="412"/>
      <c r="N57" s="412"/>
      <c r="O57" s="412"/>
      <c r="P57" s="412"/>
      <c r="Q57" s="412"/>
      <c r="R57" s="412"/>
      <c r="S57" s="412"/>
      <c r="T57" s="412"/>
      <c r="U57" s="412"/>
      <c r="V57" s="412"/>
      <c r="W57" s="412"/>
      <c r="X57" s="412"/>
      <c r="Y57" s="412"/>
      <c r="Z57" s="412"/>
      <c r="AA57" s="412"/>
      <c r="AB57" s="412"/>
      <c r="AC57" s="412"/>
      <c r="AD57" s="412"/>
      <c r="AE57" s="412"/>
      <c r="AF57" s="412"/>
      <c r="AG57" s="412"/>
      <c r="AH57" s="412"/>
      <c r="AI57" s="412"/>
      <c r="AJ57" s="412"/>
      <c r="AK57" s="412"/>
      <c r="AL57" s="412"/>
      <c r="AM57" s="412"/>
      <c r="AN57" s="412"/>
      <c r="AO57" s="412"/>
      <c r="AP57" s="412"/>
      <c r="AQ57" s="412"/>
      <c r="AR57" s="412"/>
    </row>
    <row r="58" spans="1:44" x14ac:dyDescent="0.2">
      <c r="A58" s="422" t="s">
        <v>2405</v>
      </c>
      <c r="B58" s="418"/>
      <c r="C58" s="418"/>
      <c r="D58" s="418"/>
      <c r="E58" s="418"/>
      <c r="F58" s="418"/>
      <c r="G58" s="418"/>
      <c r="H58" s="418"/>
      <c r="I58" s="418"/>
      <c r="J58" s="422" t="s">
        <v>2406</v>
      </c>
      <c r="K58" s="418"/>
      <c r="L58" s="418"/>
      <c r="M58" s="418"/>
      <c r="N58" s="418"/>
      <c r="O58" s="418"/>
      <c r="P58" s="418"/>
      <c r="Q58" s="422" t="s">
        <v>2407</v>
      </c>
      <c r="R58" s="418"/>
      <c r="S58" s="418"/>
      <c r="T58" s="418"/>
      <c r="U58" s="418"/>
      <c r="V58" s="418"/>
      <c r="W58" s="418"/>
      <c r="X58" s="422" t="s">
        <v>2408</v>
      </c>
      <c r="Y58" s="418"/>
      <c r="Z58" s="418"/>
      <c r="AA58" s="418"/>
      <c r="AB58" s="418"/>
      <c r="AC58" s="418"/>
      <c r="AD58" s="418"/>
      <c r="AE58" s="422" t="s">
        <v>2409</v>
      </c>
      <c r="AF58" s="418"/>
      <c r="AG58" s="418"/>
      <c r="AH58" s="418"/>
      <c r="AI58" s="418"/>
      <c r="AJ58" s="418"/>
      <c r="AK58" s="418"/>
      <c r="AL58" s="418"/>
      <c r="AM58" s="418"/>
      <c r="AN58" s="418"/>
      <c r="AO58" s="418"/>
      <c r="AP58" s="418"/>
      <c r="AQ58" s="418"/>
      <c r="AR58" s="423"/>
    </row>
    <row r="59" spans="1:44" x14ac:dyDescent="0.2">
      <c r="A59" s="424" t="s">
        <v>2410</v>
      </c>
      <c r="B59" s="412"/>
      <c r="C59" s="412"/>
      <c r="D59" s="412"/>
      <c r="E59" s="412"/>
      <c r="F59" s="412"/>
      <c r="G59" s="412"/>
      <c r="H59" s="413"/>
      <c r="I59" s="412"/>
      <c r="J59" s="424" t="s">
        <v>2411</v>
      </c>
      <c r="K59" s="412"/>
      <c r="L59" s="412"/>
      <c r="M59" s="412"/>
      <c r="N59" s="412"/>
      <c r="O59" s="420"/>
      <c r="P59" s="412"/>
      <c r="Q59" s="424" t="s">
        <v>2411</v>
      </c>
      <c r="R59" s="412"/>
      <c r="S59" s="412"/>
      <c r="T59" s="412"/>
      <c r="U59" s="412"/>
      <c r="V59" s="420"/>
      <c r="W59" s="412"/>
      <c r="X59" s="424" t="s">
        <v>2412</v>
      </c>
      <c r="Y59" s="412"/>
      <c r="Z59" s="412"/>
      <c r="AA59" s="412"/>
      <c r="AB59" s="412"/>
      <c r="AC59" s="413"/>
      <c r="AD59" s="412"/>
      <c r="AE59" s="424" t="s">
        <v>2413</v>
      </c>
      <c r="AF59" s="412"/>
      <c r="AG59" s="412"/>
      <c r="AH59" s="412"/>
      <c r="AI59" s="412"/>
      <c r="AJ59" s="413"/>
      <c r="AK59" s="412"/>
      <c r="AL59" s="412"/>
      <c r="AM59" s="412" t="s">
        <v>2414</v>
      </c>
      <c r="AN59" s="412"/>
      <c r="AO59" s="412"/>
      <c r="AP59" s="412"/>
      <c r="AQ59" s="412"/>
      <c r="AR59" s="425"/>
    </row>
    <row r="60" spans="1:44" x14ac:dyDescent="0.2">
      <c r="A60" s="424" t="s">
        <v>2415</v>
      </c>
      <c r="B60" s="412"/>
      <c r="C60" s="412"/>
      <c r="D60" s="412"/>
      <c r="E60" s="412"/>
      <c r="F60" s="412"/>
      <c r="G60" s="412"/>
      <c r="H60" s="420"/>
      <c r="I60" s="412"/>
      <c r="J60" s="424" t="s">
        <v>2416</v>
      </c>
      <c r="K60" s="412"/>
      <c r="L60" s="412"/>
      <c r="M60" s="412"/>
      <c r="N60" s="412"/>
      <c r="O60" s="414"/>
      <c r="P60" s="412"/>
      <c r="Q60" s="424" t="s">
        <v>2416</v>
      </c>
      <c r="R60" s="412"/>
      <c r="S60" s="412"/>
      <c r="T60" s="412"/>
      <c r="U60" s="412"/>
      <c r="V60" s="414"/>
      <c r="W60" s="412"/>
      <c r="X60" s="424" t="s">
        <v>2417</v>
      </c>
      <c r="Y60" s="412"/>
      <c r="Z60" s="412"/>
      <c r="AA60" s="412"/>
      <c r="AB60" s="412"/>
      <c r="AC60" s="413"/>
      <c r="AD60" s="412"/>
      <c r="AE60" s="424" t="s">
        <v>2418</v>
      </c>
      <c r="AF60" s="412"/>
      <c r="AG60" s="412"/>
      <c r="AH60" s="412"/>
      <c r="AI60" s="412"/>
      <c r="AJ60" s="413"/>
      <c r="AK60" s="412" t="s">
        <v>2419</v>
      </c>
      <c r="AL60" s="412"/>
      <c r="AM60" s="412"/>
      <c r="AN60" s="420"/>
      <c r="AO60" s="412" t="s">
        <v>2413</v>
      </c>
      <c r="AP60" s="412"/>
      <c r="AQ60" s="412"/>
      <c r="AR60" s="413"/>
    </row>
    <row r="61" spans="1:44" x14ac:dyDescent="0.2">
      <c r="A61" s="426" t="s">
        <v>2420</v>
      </c>
      <c r="B61" s="411"/>
      <c r="C61" s="411"/>
      <c r="D61" s="411"/>
      <c r="E61" s="411"/>
      <c r="F61" s="411"/>
      <c r="G61" s="411"/>
      <c r="H61" s="420"/>
      <c r="I61" s="411"/>
      <c r="J61" s="426" t="s">
        <v>2421</v>
      </c>
      <c r="K61" s="411"/>
      <c r="L61" s="411"/>
      <c r="M61" s="411"/>
      <c r="N61" s="411"/>
      <c r="O61" s="413"/>
      <c r="P61" s="411"/>
      <c r="Q61" s="426" t="s">
        <v>2421</v>
      </c>
      <c r="R61" s="411"/>
      <c r="S61" s="411"/>
      <c r="T61" s="411"/>
      <c r="U61" s="427"/>
      <c r="V61" s="413"/>
      <c r="W61" s="411"/>
      <c r="X61" s="426"/>
      <c r="Y61" s="411"/>
      <c r="Z61" s="411"/>
      <c r="AA61" s="411"/>
      <c r="AB61" s="411"/>
      <c r="AC61" s="411"/>
      <c r="AD61" s="411"/>
      <c r="AE61" s="426"/>
      <c r="AF61" s="411"/>
      <c r="AG61" s="411"/>
      <c r="AH61" s="411"/>
      <c r="AI61" s="411"/>
      <c r="AJ61" s="411"/>
      <c r="AK61" s="411" t="s">
        <v>2422</v>
      </c>
      <c r="AL61" s="411"/>
      <c r="AM61" s="411"/>
      <c r="AN61" s="413"/>
      <c r="AO61" s="411" t="s">
        <v>2423</v>
      </c>
      <c r="AP61" s="411"/>
      <c r="AQ61" s="411"/>
      <c r="AR61" s="414"/>
    </row>
    <row r="62" spans="1:44" ht="5.0999999999999996" customHeight="1" x14ac:dyDescent="0.2">
      <c r="A62" s="412"/>
      <c r="B62" s="412"/>
      <c r="C62" s="412"/>
      <c r="D62" s="412"/>
      <c r="E62" s="412"/>
      <c r="F62" s="412"/>
      <c r="G62" s="412"/>
      <c r="H62" s="412"/>
      <c r="I62" s="412"/>
      <c r="J62" s="412"/>
      <c r="K62" s="412"/>
      <c r="L62" s="412"/>
      <c r="M62" s="412"/>
      <c r="N62" s="412"/>
      <c r="O62" s="412"/>
      <c r="P62" s="412"/>
      <c r="Q62" s="412"/>
      <c r="R62" s="412"/>
      <c r="S62" s="412"/>
      <c r="T62" s="412"/>
      <c r="U62" s="412"/>
      <c r="V62" s="412"/>
      <c r="W62" s="412"/>
      <c r="X62" s="412"/>
      <c r="Y62" s="412"/>
      <c r="Z62" s="412"/>
      <c r="AA62" s="412"/>
      <c r="AB62" s="412"/>
      <c r="AC62" s="412"/>
      <c r="AD62" s="412"/>
      <c r="AE62" s="412"/>
      <c r="AF62" s="412"/>
      <c r="AG62" s="412"/>
      <c r="AH62" s="412"/>
      <c r="AI62" s="412"/>
      <c r="AJ62" s="412"/>
      <c r="AK62" s="412"/>
      <c r="AL62" s="412"/>
      <c r="AM62" s="412"/>
      <c r="AN62" s="412"/>
      <c r="AO62" s="412"/>
      <c r="AP62" s="412"/>
      <c r="AQ62" s="412"/>
      <c r="AR62" s="412"/>
    </row>
    <row r="63" spans="1:44" x14ac:dyDescent="0.2">
      <c r="A63" s="428" t="s">
        <v>2424</v>
      </c>
      <c r="B63" s="412"/>
      <c r="C63" s="412"/>
      <c r="D63" s="412"/>
      <c r="E63" s="412"/>
      <c r="F63" s="412"/>
      <c r="G63" s="412"/>
      <c r="H63" s="412"/>
      <c r="I63" s="412"/>
      <c r="J63" s="412"/>
      <c r="K63" s="412"/>
      <c r="L63" s="412"/>
      <c r="M63" s="412"/>
      <c r="N63" s="412"/>
      <c r="O63" s="412"/>
      <c r="P63" s="412"/>
      <c r="Q63" s="412"/>
      <c r="R63" s="412"/>
      <c r="S63" s="412"/>
      <c r="T63" s="412"/>
      <c r="U63" s="412"/>
      <c r="V63" s="412"/>
      <c r="W63" s="412"/>
      <c r="X63" s="412"/>
      <c r="Y63" s="412"/>
      <c r="Z63" s="412"/>
      <c r="AA63" s="412"/>
      <c r="AB63" s="412"/>
      <c r="AC63" s="412"/>
      <c r="AD63" s="412"/>
      <c r="AE63" s="412"/>
      <c r="AF63" s="412"/>
      <c r="AG63" s="412"/>
      <c r="AH63" s="412"/>
      <c r="AI63" s="412"/>
      <c r="AJ63" s="412"/>
      <c r="AK63" s="412"/>
      <c r="AL63" s="412"/>
      <c r="AM63" s="412"/>
      <c r="AN63" s="412"/>
      <c r="AO63" s="412"/>
      <c r="AP63" s="412"/>
      <c r="AQ63" s="412"/>
      <c r="AR63" s="412"/>
    </row>
    <row r="64" spans="1:44" ht="5.0999999999999996" hidden="1" customHeight="1" x14ac:dyDescent="0.2">
      <c r="A64" s="428"/>
      <c r="B64" s="412"/>
      <c r="C64" s="412"/>
      <c r="D64" s="412"/>
      <c r="E64" s="412"/>
      <c r="F64" s="412"/>
      <c r="G64" s="412"/>
      <c r="H64" s="412"/>
      <c r="I64" s="412"/>
      <c r="J64" s="412"/>
      <c r="K64" s="412"/>
      <c r="L64" s="412"/>
      <c r="M64" s="412"/>
      <c r="N64" s="412"/>
      <c r="O64" s="412"/>
      <c r="P64" s="412"/>
      <c r="Q64" s="412"/>
      <c r="R64" s="412"/>
      <c r="S64" s="412"/>
      <c r="T64" s="412"/>
      <c r="U64" s="412"/>
      <c r="V64" s="412"/>
      <c r="W64" s="412"/>
      <c r="X64" s="412"/>
      <c r="Y64" s="412"/>
      <c r="Z64" s="412"/>
      <c r="AA64" s="412"/>
      <c r="AB64" s="412"/>
      <c r="AC64" s="412"/>
      <c r="AD64" s="412"/>
      <c r="AE64" s="412"/>
      <c r="AF64" s="412"/>
      <c r="AG64" s="412"/>
      <c r="AH64" s="412"/>
      <c r="AI64" s="412"/>
      <c r="AJ64" s="412"/>
      <c r="AK64" s="412"/>
      <c r="AL64" s="412"/>
      <c r="AM64" s="412"/>
      <c r="AN64" s="412"/>
      <c r="AO64" s="412"/>
      <c r="AP64" s="412"/>
      <c r="AQ64" s="412"/>
      <c r="AR64" s="412"/>
    </row>
    <row r="65" spans="1:44" ht="5.0999999999999996" customHeight="1" x14ac:dyDescent="0.2">
      <c r="A65" s="412"/>
      <c r="B65" s="412"/>
      <c r="C65" s="412"/>
      <c r="D65" s="412"/>
      <c r="E65" s="412"/>
      <c r="F65" s="412"/>
      <c r="G65" s="412"/>
      <c r="H65" s="412"/>
      <c r="I65" s="412"/>
      <c r="J65" s="412"/>
      <c r="K65" s="412"/>
      <c r="L65" s="412"/>
      <c r="M65" s="412"/>
      <c r="N65" s="412"/>
      <c r="O65" s="412"/>
      <c r="P65" s="412"/>
      <c r="Q65" s="412"/>
      <c r="R65" s="412"/>
      <c r="S65" s="412"/>
      <c r="T65" s="412"/>
      <c r="U65" s="412"/>
      <c r="V65" s="412"/>
      <c r="W65" s="412"/>
      <c r="X65" s="412"/>
      <c r="Y65" s="412"/>
      <c r="Z65" s="412"/>
      <c r="AA65" s="412"/>
      <c r="AB65" s="412"/>
      <c r="AC65" s="412"/>
      <c r="AD65" s="412"/>
      <c r="AE65" s="412"/>
      <c r="AF65" s="412"/>
      <c r="AG65" s="412"/>
      <c r="AH65" s="412"/>
      <c r="AI65" s="412"/>
      <c r="AJ65" s="412"/>
      <c r="AK65" s="412"/>
      <c r="AL65" s="412"/>
      <c r="AM65" s="412"/>
      <c r="AN65" s="412"/>
      <c r="AO65" s="412"/>
      <c r="AP65" s="412"/>
      <c r="AQ65" s="412"/>
      <c r="AR65" s="412"/>
    </row>
    <row r="66" spans="1:44" x14ac:dyDescent="0.2">
      <c r="A66" s="418"/>
      <c r="B66" s="429" t="s">
        <v>2425</v>
      </c>
      <c r="C66" s="429"/>
      <c r="D66" s="418"/>
      <c r="E66" s="418" t="s">
        <v>62</v>
      </c>
      <c r="F66" s="418"/>
      <c r="G66" s="418"/>
      <c r="H66" s="418"/>
      <c r="I66" s="418" t="s">
        <v>2426</v>
      </c>
      <c r="J66" s="418"/>
      <c r="K66" s="418"/>
      <c r="L66" s="418"/>
      <c r="M66" s="1084"/>
      <c r="N66" s="1092"/>
      <c r="O66" s="418" t="s">
        <v>2427</v>
      </c>
      <c r="P66" s="418"/>
      <c r="Q66" s="418"/>
      <c r="R66" s="1084"/>
      <c r="S66" s="1092"/>
      <c r="T66" s="418" t="s">
        <v>2428</v>
      </c>
      <c r="U66" s="418"/>
      <c r="V66" s="418"/>
      <c r="W66" s="418"/>
      <c r="X66" s="1096"/>
      <c r="Y66" s="1097"/>
      <c r="Z66" s="412"/>
      <c r="AA66" s="412"/>
      <c r="AB66" s="430" t="s">
        <v>2429</v>
      </c>
      <c r="AC66" s="418"/>
      <c r="AD66" s="418"/>
      <c r="AE66" s="418"/>
      <c r="AF66" s="418"/>
      <c r="AG66" s="418"/>
      <c r="AH66" s="418" t="s">
        <v>77</v>
      </c>
      <c r="AI66" s="418"/>
      <c r="AJ66" s="418"/>
      <c r="AK66" s="414"/>
      <c r="AL66" s="418" t="s">
        <v>2430</v>
      </c>
      <c r="AM66" s="418"/>
      <c r="AN66" s="418"/>
      <c r="AO66" s="413"/>
      <c r="AP66" s="418"/>
      <c r="AQ66" s="418"/>
      <c r="AR66" s="423"/>
    </row>
    <row r="67" spans="1:44" x14ac:dyDescent="0.2">
      <c r="A67" s="411"/>
      <c r="B67" s="411"/>
      <c r="C67" s="411"/>
      <c r="D67" s="411"/>
      <c r="E67" s="411" t="s">
        <v>2431</v>
      </c>
      <c r="F67" s="411"/>
      <c r="G67" s="411"/>
      <c r="H67" s="411"/>
      <c r="I67" s="411" t="s">
        <v>2432</v>
      </c>
      <c r="J67" s="411"/>
      <c r="K67" s="411"/>
      <c r="L67" s="411"/>
      <c r="M67" s="1084"/>
      <c r="N67" s="1092"/>
      <c r="O67" s="411" t="s">
        <v>2433</v>
      </c>
      <c r="P67" s="411"/>
      <c r="Q67" s="411"/>
      <c r="R67" s="1096"/>
      <c r="S67" s="1097"/>
      <c r="T67" s="411" t="s">
        <v>2434</v>
      </c>
      <c r="U67" s="411"/>
      <c r="V67" s="411"/>
      <c r="W67" s="414"/>
      <c r="X67" s="1084"/>
      <c r="Y67" s="1092"/>
      <c r="Z67" s="424"/>
      <c r="AA67" s="412"/>
      <c r="AB67" s="426"/>
      <c r="AC67" s="411"/>
      <c r="AD67" s="411"/>
      <c r="AE67" s="411"/>
      <c r="AF67" s="411"/>
      <c r="AG67" s="411"/>
      <c r="AH67" s="411" t="s">
        <v>2435</v>
      </c>
      <c r="AI67" s="411"/>
      <c r="AJ67" s="411"/>
      <c r="AK67" s="414"/>
      <c r="AL67" s="411" t="s">
        <v>66</v>
      </c>
      <c r="AM67" s="411"/>
      <c r="AN67" s="411"/>
      <c r="AO67" s="414"/>
      <c r="AP67" s="411"/>
      <c r="AQ67" s="411"/>
      <c r="AR67" s="431"/>
    </row>
    <row r="68" spans="1:44" ht="5.0999999999999996" customHeight="1" x14ac:dyDescent="0.2">
      <c r="A68" s="412"/>
      <c r="B68" s="412"/>
      <c r="C68" s="412"/>
      <c r="D68" s="412"/>
      <c r="E68" s="412"/>
      <c r="F68" s="412"/>
      <c r="G68" s="412"/>
      <c r="H68" s="412"/>
      <c r="I68" s="412"/>
      <c r="J68" s="412"/>
      <c r="K68" s="412"/>
      <c r="L68" s="412"/>
      <c r="M68" s="412"/>
      <c r="N68" s="412"/>
      <c r="O68" s="412"/>
      <c r="P68" s="412"/>
      <c r="Q68" s="412"/>
      <c r="R68" s="412"/>
      <c r="S68" s="412"/>
      <c r="T68" s="412"/>
      <c r="U68" s="412"/>
      <c r="V68" s="412"/>
      <c r="W68" s="412"/>
      <c r="X68" s="412"/>
      <c r="Y68" s="412"/>
      <c r="Z68" s="412"/>
      <c r="AA68" s="412"/>
      <c r="AB68" s="412"/>
      <c r="AC68" s="412"/>
      <c r="AD68" s="412"/>
      <c r="AE68" s="412"/>
      <c r="AF68" s="412"/>
      <c r="AG68" s="412"/>
      <c r="AH68" s="412"/>
      <c r="AI68" s="412"/>
      <c r="AJ68" s="412"/>
      <c r="AK68" s="412"/>
      <c r="AL68" s="412"/>
      <c r="AM68" s="412"/>
      <c r="AN68" s="412"/>
      <c r="AO68" s="412"/>
      <c r="AP68" s="412"/>
      <c r="AQ68" s="412"/>
      <c r="AR68" s="412"/>
    </row>
    <row r="69" spans="1:44" ht="5.25" hidden="1" customHeight="1" x14ac:dyDescent="0.2">
      <c r="A69" s="412"/>
      <c r="B69" s="412"/>
      <c r="C69" s="412"/>
      <c r="D69" s="412"/>
      <c r="E69" s="412"/>
      <c r="F69" s="412"/>
      <c r="G69" s="412"/>
      <c r="H69" s="412"/>
      <c r="I69" s="412"/>
      <c r="J69" s="412"/>
      <c r="K69" s="412"/>
      <c r="L69" s="412"/>
      <c r="M69" s="412"/>
      <c r="N69" s="412"/>
      <c r="O69" s="412"/>
      <c r="P69" s="412"/>
      <c r="Q69" s="412"/>
      <c r="R69" s="412"/>
      <c r="S69" s="412"/>
      <c r="T69" s="412"/>
      <c r="U69" s="412"/>
      <c r="V69" s="412"/>
      <c r="W69" s="412"/>
      <c r="X69" s="412"/>
      <c r="Y69" s="412"/>
      <c r="Z69" s="412"/>
      <c r="AA69" s="412"/>
      <c r="AB69" s="412"/>
      <c r="AC69" s="412"/>
      <c r="AD69" s="412"/>
      <c r="AE69" s="412"/>
      <c r="AF69" s="412"/>
      <c r="AG69" s="412"/>
      <c r="AH69" s="412"/>
      <c r="AI69" s="412"/>
      <c r="AJ69" s="412"/>
      <c r="AK69" s="412"/>
      <c r="AL69" s="412"/>
      <c r="AM69" s="412"/>
      <c r="AN69" s="412"/>
      <c r="AO69" s="412"/>
      <c r="AP69" s="412"/>
      <c r="AQ69" s="412"/>
      <c r="AR69" s="412"/>
    </row>
    <row r="70" spans="1:44" x14ac:dyDescent="0.2">
      <c r="A70" s="430" t="s">
        <v>2436</v>
      </c>
      <c r="B70" s="418"/>
      <c r="C70" s="418"/>
      <c r="D70" s="418"/>
      <c r="E70" s="418"/>
      <c r="F70" s="418"/>
      <c r="G70" s="418"/>
      <c r="H70" s="418"/>
      <c r="I70" s="418"/>
      <c r="J70" s="418"/>
      <c r="K70" s="418"/>
      <c r="L70" s="418"/>
      <c r="M70" s="418"/>
      <c r="N70" s="418"/>
      <c r="O70" s="418"/>
      <c r="P70" s="418"/>
      <c r="Q70" s="418"/>
      <c r="R70" s="418"/>
      <c r="S70" s="418"/>
      <c r="T70" s="418"/>
      <c r="U70" s="418"/>
      <c r="V70" s="418"/>
      <c r="W70" s="418"/>
      <c r="X70" s="418"/>
      <c r="Y70" s="423"/>
      <c r="Z70" s="412"/>
      <c r="AA70" s="412"/>
      <c r="AB70" s="430" t="s">
        <v>2437</v>
      </c>
      <c r="AC70" s="418"/>
      <c r="AD70" s="418"/>
      <c r="AE70" s="418"/>
      <c r="AF70" s="418"/>
      <c r="AG70" s="418"/>
      <c r="AH70" s="418"/>
      <c r="AI70" s="418"/>
      <c r="AJ70" s="418"/>
      <c r="AK70" s="418"/>
      <c r="AL70" s="418"/>
      <c r="AM70" s="418"/>
      <c r="AN70" s="418"/>
      <c r="AO70" s="418"/>
      <c r="AP70" s="418"/>
      <c r="AQ70" s="418"/>
      <c r="AR70" s="423"/>
    </row>
    <row r="71" spans="1:44" ht="15" customHeight="1" x14ac:dyDescent="0.2">
      <c r="A71" s="426" t="s">
        <v>2438</v>
      </c>
      <c r="B71" s="411"/>
      <c r="C71" s="411"/>
      <c r="D71" s="411"/>
      <c r="E71" s="1096"/>
      <c r="F71" s="1097"/>
      <c r="G71" s="411"/>
      <c r="H71" s="411"/>
      <c r="I71" s="411"/>
      <c r="J71" s="411" t="s">
        <v>2439</v>
      </c>
      <c r="K71" s="411"/>
      <c r="L71" s="411"/>
      <c r="M71" s="411"/>
      <c r="N71" s="411"/>
      <c r="O71" s="1096"/>
      <c r="P71" s="1097"/>
      <c r="Q71" s="411"/>
      <c r="R71" s="411"/>
      <c r="S71" s="411"/>
      <c r="T71" s="411"/>
      <c r="U71" s="411"/>
      <c r="V71" s="411"/>
      <c r="W71" s="411"/>
      <c r="X71" s="411"/>
      <c r="Y71" s="431"/>
      <c r="Z71" s="412"/>
      <c r="AA71" s="412"/>
      <c r="AB71" s="426"/>
      <c r="AC71" s="411"/>
      <c r="AD71" s="411"/>
      <c r="AE71" s="411"/>
      <c r="AF71" s="432" t="s">
        <v>2440</v>
      </c>
      <c r="AG71" s="411"/>
      <c r="AH71" s="1096"/>
      <c r="AI71" s="1097"/>
      <c r="AJ71" s="411"/>
      <c r="AK71" s="432" t="s">
        <v>2441</v>
      </c>
      <c r="AL71" s="411"/>
      <c r="AM71" s="420"/>
      <c r="AN71" s="411"/>
      <c r="AO71" s="411"/>
      <c r="AP71" s="411"/>
      <c r="AQ71" s="411"/>
      <c r="AR71" s="431"/>
    </row>
    <row r="72" spans="1:44" ht="5.0999999999999996" customHeight="1" x14ac:dyDescent="0.2">
      <c r="A72" s="412"/>
      <c r="B72" s="412"/>
      <c r="C72" s="412"/>
      <c r="D72" s="412"/>
      <c r="E72" s="412"/>
      <c r="F72" s="412"/>
      <c r="G72" s="412"/>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412"/>
      <c r="AH72" s="412"/>
      <c r="AI72" s="412"/>
      <c r="AJ72" s="412"/>
      <c r="AK72" s="412"/>
      <c r="AL72" s="412"/>
      <c r="AM72" s="412"/>
      <c r="AN72" s="412"/>
      <c r="AO72" s="412"/>
      <c r="AP72" s="412"/>
      <c r="AQ72" s="412"/>
      <c r="AR72" s="412"/>
    </row>
    <row r="73" spans="1:44" x14ac:dyDescent="0.2">
      <c r="A73" s="433" t="s">
        <v>60</v>
      </c>
      <c r="B73" s="412"/>
      <c r="C73" s="412"/>
      <c r="D73" s="412"/>
      <c r="E73" s="412"/>
      <c r="F73" s="412"/>
      <c r="G73" s="412"/>
      <c r="H73" s="412"/>
      <c r="I73" s="412"/>
      <c r="J73" s="412"/>
      <c r="K73" s="412"/>
      <c r="L73" s="412"/>
      <c r="M73" s="412"/>
      <c r="N73" s="412"/>
      <c r="O73" s="412"/>
      <c r="P73" s="412"/>
      <c r="Q73" s="412"/>
      <c r="R73" s="412"/>
      <c r="S73" s="412"/>
      <c r="T73" s="412"/>
      <c r="U73" s="412"/>
      <c r="V73" s="412"/>
      <c r="W73" s="412"/>
      <c r="X73" s="412"/>
      <c r="Y73" s="412"/>
      <c r="Z73" s="412"/>
      <c r="AA73" s="412"/>
      <c r="AB73" s="412"/>
      <c r="AC73" s="412"/>
      <c r="AD73" s="412"/>
      <c r="AE73" s="412"/>
      <c r="AF73" s="412"/>
      <c r="AG73" s="412"/>
      <c r="AH73" s="412"/>
      <c r="AI73" s="412"/>
      <c r="AJ73" s="412"/>
      <c r="AK73" s="412"/>
      <c r="AL73" s="412"/>
      <c r="AM73" s="412"/>
      <c r="AN73" s="412"/>
      <c r="AO73" s="412"/>
      <c r="AP73" s="412"/>
      <c r="AQ73" s="412"/>
      <c r="AR73" s="425"/>
    </row>
    <row r="74" spans="1:44" x14ac:dyDescent="0.2">
      <c r="A74" s="424"/>
      <c r="B74" s="1105" t="s">
        <v>2442</v>
      </c>
      <c r="C74" s="1079"/>
      <c r="D74" s="1079"/>
      <c r="E74" s="1079"/>
      <c r="F74" s="1079"/>
      <c r="G74" s="1106"/>
      <c r="H74" s="1082" t="s">
        <v>2443</v>
      </c>
      <c r="I74" s="1082"/>
      <c r="J74" s="1082"/>
      <c r="K74" s="1082"/>
      <c r="L74" s="1082"/>
      <c r="M74" s="1082" t="s">
        <v>2444</v>
      </c>
      <c r="N74" s="1082"/>
      <c r="O74" s="1082"/>
      <c r="P74" s="1082"/>
      <c r="Q74" s="1082"/>
      <c r="R74" s="1082" t="s">
        <v>2445</v>
      </c>
      <c r="S74" s="1082"/>
      <c r="T74" s="1082"/>
      <c r="U74" s="1082"/>
      <c r="V74" s="1082"/>
      <c r="W74" s="1084" t="s">
        <v>2446</v>
      </c>
      <c r="X74" s="1077"/>
      <c r="Y74" s="1077"/>
      <c r="Z74" s="1077"/>
      <c r="AA74" s="1077"/>
      <c r="AB74" s="1084" t="s">
        <v>2447</v>
      </c>
      <c r="AC74" s="1077"/>
      <c r="AD74" s="1077"/>
      <c r="AE74" s="1077"/>
      <c r="AF74" s="1077"/>
      <c r="AG74" s="1092"/>
      <c r="AH74" s="1084" t="s">
        <v>69</v>
      </c>
      <c r="AI74" s="1077"/>
      <c r="AJ74" s="1077"/>
      <c r="AK74" s="1077"/>
      <c r="AL74" s="1077"/>
      <c r="AM74" s="1092"/>
      <c r="AN74" s="415"/>
      <c r="AO74" s="415"/>
      <c r="AP74" s="412"/>
      <c r="AQ74" s="412"/>
      <c r="AR74" s="425"/>
    </row>
    <row r="75" spans="1:44" x14ac:dyDescent="0.2">
      <c r="A75" s="424"/>
      <c r="B75" s="1105" t="s">
        <v>2387</v>
      </c>
      <c r="C75" s="1079"/>
      <c r="D75" s="1079"/>
      <c r="E75" s="1079"/>
      <c r="F75" s="1079"/>
      <c r="G75" s="1106"/>
      <c r="H75" s="1084"/>
      <c r="I75" s="1077"/>
      <c r="J75" s="1077"/>
      <c r="K75" s="1077"/>
      <c r="L75" s="1092"/>
      <c r="M75" s="1084"/>
      <c r="N75" s="1077"/>
      <c r="O75" s="1077"/>
      <c r="P75" s="1077"/>
      <c r="Q75" s="1092"/>
      <c r="R75" s="1084"/>
      <c r="S75" s="1077"/>
      <c r="T75" s="1077"/>
      <c r="U75" s="1077"/>
      <c r="V75" s="1092"/>
      <c r="W75" s="1084"/>
      <c r="X75" s="1077"/>
      <c r="Y75" s="1077"/>
      <c r="Z75" s="1077"/>
      <c r="AA75" s="1092"/>
      <c r="AB75" s="1084"/>
      <c r="AC75" s="1077"/>
      <c r="AD75" s="1077"/>
      <c r="AE75" s="1077"/>
      <c r="AF75" s="1077"/>
      <c r="AG75" s="1092"/>
      <c r="AH75" s="1096"/>
      <c r="AI75" s="1107"/>
      <c r="AJ75" s="1107"/>
      <c r="AK75" s="1107"/>
      <c r="AL75" s="1107"/>
      <c r="AM75" s="1097"/>
      <c r="AN75" s="415"/>
      <c r="AO75" s="415"/>
      <c r="AP75" s="412"/>
      <c r="AQ75" s="412"/>
      <c r="AR75" s="425"/>
    </row>
    <row r="76" spans="1:44" x14ac:dyDescent="0.2">
      <c r="A76" s="424"/>
      <c r="B76" s="1105" t="s">
        <v>2448</v>
      </c>
      <c r="C76" s="1079"/>
      <c r="D76" s="1079"/>
      <c r="E76" s="1079"/>
      <c r="F76" s="1079"/>
      <c r="G76" s="1106"/>
      <c r="H76" s="1084"/>
      <c r="I76" s="1077"/>
      <c r="J76" s="1077"/>
      <c r="K76" s="1077"/>
      <c r="L76" s="1092"/>
      <c r="M76" s="1084"/>
      <c r="N76" s="1077"/>
      <c r="O76" s="1077"/>
      <c r="P76" s="1077"/>
      <c r="Q76" s="1092"/>
      <c r="R76" s="1084"/>
      <c r="S76" s="1077"/>
      <c r="T76" s="1077"/>
      <c r="U76" s="1077"/>
      <c r="V76" s="1092"/>
      <c r="W76" s="1084"/>
      <c r="X76" s="1077"/>
      <c r="Y76" s="1077"/>
      <c r="Z76" s="1077"/>
      <c r="AA76" s="1092"/>
      <c r="AB76" s="1096"/>
      <c r="AC76" s="1107"/>
      <c r="AD76" s="1107"/>
      <c r="AE76" s="1107"/>
      <c r="AF76" s="1107"/>
      <c r="AG76" s="1097"/>
      <c r="AH76" s="1084"/>
      <c r="AI76" s="1077"/>
      <c r="AJ76" s="1077"/>
      <c r="AK76" s="1077"/>
      <c r="AL76" s="1077"/>
      <c r="AM76" s="1092"/>
      <c r="AN76" s="415"/>
      <c r="AO76" s="415"/>
      <c r="AP76" s="412"/>
      <c r="AQ76" s="412"/>
      <c r="AR76" s="425"/>
    </row>
    <row r="77" spans="1:44" x14ac:dyDescent="0.2">
      <c r="A77" s="424"/>
      <c r="B77" s="1105" t="s">
        <v>2449</v>
      </c>
      <c r="C77" s="1079"/>
      <c r="D77" s="1079"/>
      <c r="E77" s="1079"/>
      <c r="F77" s="1079"/>
      <c r="G77" s="1106"/>
      <c r="H77" s="1084"/>
      <c r="I77" s="1077"/>
      <c r="J77" s="1077"/>
      <c r="K77" s="1077"/>
      <c r="L77" s="1092"/>
      <c r="M77" s="1084"/>
      <c r="N77" s="1077"/>
      <c r="O77" s="1077"/>
      <c r="P77" s="1077"/>
      <c r="Q77" s="1092"/>
      <c r="R77" s="1084"/>
      <c r="S77" s="1077"/>
      <c r="T77" s="1077"/>
      <c r="U77" s="1077"/>
      <c r="V77" s="1092"/>
      <c r="W77" s="1084"/>
      <c r="X77" s="1077"/>
      <c r="Y77" s="1077"/>
      <c r="Z77" s="1077"/>
      <c r="AA77" s="1092"/>
      <c r="AB77" s="1084"/>
      <c r="AC77" s="1077"/>
      <c r="AD77" s="1077"/>
      <c r="AE77" s="1077"/>
      <c r="AF77" s="1077"/>
      <c r="AG77" s="1092"/>
      <c r="AH77" s="1096"/>
      <c r="AI77" s="1107"/>
      <c r="AJ77" s="1107"/>
      <c r="AK77" s="1107"/>
      <c r="AL77" s="1107"/>
      <c r="AM77" s="1097"/>
      <c r="AN77" s="415"/>
      <c r="AO77" s="415"/>
      <c r="AP77" s="412"/>
      <c r="AQ77" s="412"/>
      <c r="AR77" s="425"/>
    </row>
    <row r="78" spans="1:44" ht="5.0999999999999996" customHeight="1" x14ac:dyDescent="0.2"/>
    <row r="79" spans="1:44" x14ac:dyDescent="0.2">
      <c r="A79" s="1093" t="s">
        <v>2450</v>
      </c>
      <c r="B79" s="1094"/>
      <c r="C79" s="1094"/>
      <c r="D79" s="1094"/>
      <c r="E79" s="1094"/>
      <c r="F79" s="1094"/>
      <c r="G79" s="1094"/>
      <c r="H79" s="1094"/>
      <c r="I79" s="1094"/>
      <c r="J79" s="1094"/>
      <c r="K79" s="1094"/>
      <c r="L79" s="1094"/>
      <c r="M79" s="1094"/>
      <c r="N79" s="1094"/>
      <c r="O79" s="1094"/>
      <c r="P79" s="1094"/>
      <c r="Q79" s="1094"/>
      <c r="R79" s="1094"/>
      <c r="S79" s="1094"/>
      <c r="T79" s="1094"/>
      <c r="U79" s="1094"/>
      <c r="V79" s="1094"/>
      <c r="W79" s="1094"/>
      <c r="X79" s="1094"/>
      <c r="Y79" s="1094"/>
      <c r="Z79" s="1094"/>
      <c r="AA79" s="1094"/>
      <c r="AB79" s="1094"/>
      <c r="AC79" s="1094"/>
      <c r="AD79" s="1094"/>
      <c r="AE79" s="1094"/>
      <c r="AF79" s="1094"/>
      <c r="AG79" s="1094"/>
      <c r="AH79" s="1094"/>
      <c r="AI79" s="1094"/>
      <c r="AJ79" s="1094"/>
      <c r="AK79" s="1094"/>
      <c r="AL79" s="1094"/>
      <c r="AM79" s="1094"/>
      <c r="AN79" s="1094"/>
      <c r="AO79" s="1094"/>
      <c r="AP79" s="1094"/>
      <c r="AQ79" s="1094"/>
      <c r="AR79" s="1095"/>
    </row>
    <row r="80" spans="1:44" ht="5.0999999999999996" customHeight="1" thickBot="1" x14ac:dyDescent="0.25"/>
    <row r="81" spans="1:44" x14ac:dyDescent="0.2">
      <c r="A81" s="338" t="s">
        <v>2372</v>
      </c>
      <c r="B81" s="1108" t="s">
        <v>14</v>
      </c>
      <c r="C81" s="1108"/>
      <c r="D81" s="1108"/>
      <c r="E81" s="1108"/>
      <c r="F81" s="1108"/>
      <c r="G81" s="1108"/>
      <c r="H81" s="1108"/>
      <c r="I81" s="1108"/>
      <c r="J81" s="1108"/>
      <c r="K81" s="1108"/>
      <c r="L81" s="1108"/>
      <c r="M81" s="1108"/>
      <c r="N81" s="1108"/>
      <c r="O81" s="1108"/>
      <c r="P81" s="1108" t="s">
        <v>2451</v>
      </c>
      <c r="Q81" s="1108"/>
      <c r="R81" s="1108"/>
      <c r="S81" s="1108"/>
      <c r="T81" s="1108"/>
      <c r="U81" s="1108" t="s">
        <v>2452</v>
      </c>
      <c r="V81" s="1108"/>
      <c r="W81" s="1108"/>
      <c r="X81" s="1108"/>
      <c r="Y81" s="1108"/>
      <c r="Z81" s="1108" t="s">
        <v>2453</v>
      </c>
      <c r="AA81" s="1108"/>
      <c r="AB81" s="1108"/>
      <c r="AC81" s="1108"/>
      <c r="AD81" s="1108"/>
      <c r="AE81" s="1108"/>
      <c r="AF81" s="1108"/>
      <c r="AG81" s="1108"/>
      <c r="AH81" s="1108" t="s">
        <v>2454</v>
      </c>
      <c r="AI81" s="1108"/>
      <c r="AJ81" s="1108"/>
      <c r="AK81" s="1108"/>
      <c r="AL81" s="1108"/>
      <c r="AM81" s="1108"/>
      <c r="AN81" s="1108"/>
      <c r="AO81" s="1108"/>
      <c r="AP81" s="1108"/>
      <c r="AQ81" s="1108"/>
      <c r="AR81" s="1109"/>
    </row>
    <row r="82" spans="1:44" ht="40.5" customHeight="1" x14ac:dyDescent="0.2">
      <c r="A82" s="339">
        <v>1</v>
      </c>
      <c r="B82" s="1110">
        <f>+MEMORIA!C126</f>
        <v>0</v>
      </c>
      <c r="C82" s="1111"/>
      <c r="D82" s="1111"/>
      <c r="E82" s="1111"/>
      <c r="F82" s="1111"/>
      <c r="G82" s="1111"/>
      <c r="H82" s="1111"/>
      <c r="I82" s="1111"/>
      <c r="J82" s="1111"/>
      <c r="K82" s="1111"/>
      <c r="L82" s="1111"/>
      <c r="M82" s="1111"/>
      <c r="N82" s="1111"/>
      <c r="O82" s="1111"/>
      <c r="P82" s="1059">
        <f>+MEMORIA!X126</f>
        <v>0</v>
      </c>
      <c r="Q82" s="1060"/>
      <c r="R82" s="1060"/>
      <c r="S82" s="1060"/>
      <c r="T82" s="1060"/>
      <c r="U82" s="1059">
        <f>+MEMORIA!AA126</f>
        <v>0</v>
      </c>
      <c r="V82" s="1060"/>
      <c r="W82" s="1060"/>
      <c r="X82" s="1060"/>
      <c r="Y82" s="1060"/>
      <c r="Z82" s="1061" t="e">
        <f>+MEMORIA!AS126</f>
        <v>#DIV/0!</v>
      </c>
      <c r="AA82" s="1061"/>
      <c r="AB82" s="1061"/>
      <c r="AC82" s="1061"/>
      <c r="AD82" s="1061"/>
      <c r="AE82" s="1061"/>
      <c r="AF82" s="1061"/>
      <c r="AG82" s="1061"/>
      <c r="AH82" s="1062">
        <f>+B82</f>
        <v>0</v>
      </c>
      <c r="AI82" s="1063"/>
      <c r="AJ82" s="1063"/>
      <c r="AK82" s="1063"/>
      <c r="AL82" s="1063"/>
      <c r="AM82" s="1063"/>
      <c r="AN82" s="1063"/>
      <c r="AO82" s="1063"/>
      <c r="AP82" s="1063"/>
      <c r="AQ82" s="1063"/>
      <c r="AR82" s="1064"/>
    </row>
    <row r="83" spans="1:44" ht="65.25" customHeight="1" x14ac:dyDescent="0.2">
      <c r="A83" s="339">
        <v>2</v>
      </c>
      <c r="B83" s="1110">
        <f>+MEMORIA!C127</f>
        <v>0</v>
      </c>
      <c r="C83" s="1111"/>
      <c r="D83" s="1111"/>
      <c r="E83" s="1111"/>
      <c r="F83" s="1111"/>
      <c r="G83" s="1111"/>
      <c r="H83" s="1111"/>
      <c r="I83" s="1111"/>
      <c r="J83" s="1111"/>
      <c r="K83" s="1111"/>
      <c r="L83" s="1111"/>
      <c r="M83" s="1111"/>
      <c r="N83" s="1111"/>
      <c r="O83" s="1111"/>
      <c r="P83" s="1059">
        <f>+MEMORIA!X127</f>
        <v>0</v>
      </c>
      <c r="Q83" s="1060"/>
      <c r="R83" s="1060"/>
      <c r="S83" s="1060"/>
      <c r="T83" s="1060"/>
      <c r="U83" s="1059">
        <f>+MEMORIA!AA127</f>
        <v>0</v>
      </c>
      <c r="V83" s="1060"/>
      <c r="W83" s="1060"/>
      <c r="X83" s="1060"/>
      <c r="Y83" s="1060"/>
      <c r="Z83" s="1061" t="e">
        <f>+MEMORIA!AS127</f>
        <v>#DIV/0!</v>
      </c>
      <c r="AA83" s="1061"/>
      <c r="AB83" s="1061"/>
      <c r="AC83" s="1061"/>
      <c r="AD83" s="1061"/>
      <c r="AE83" s="1061"/>
      <c r="AF83" s="1061"/>
      <c r="AG83" s="1061"/>
      <c r="AH83" s="1062">
        <f t="shared" ref="AH83:AH88" si="0">+B83</f>
        <v>0</v>
      </c>
      <c r="AI83" s="1063"/>
      <c r="AJ83" s="1063"/>
      <c r="AK83" s="1063"/>
      <c r="AL83" s="1063"/>
      <c r="AM83" s="1063"/>
      <c r="AN83" s="1063"/>
      <c r="AO83" s="1063"/>
      <c r="AP83" s="1063"/>
      <c r="AQ83" s="1063"/>
      <c r="AR83" s="1064"/>
    </row>
    <row r="84" spans="1:44" ht="24.75" customHeight="1" x14ac:dyDescent="0.2">
      <c r="A84" s="339">
        <v>3</v>
      </c>
      <c r="B84" s="1110">
        <f>+MEMORIA!C128</f>
        <v>0</v>
      </c>
      <c r="C84" s="1111"/>
      <c r="D84" s="1111"/>
      <c r="E84" s="1111"/>
      <c r="F84" s="1111"/>
      <c r="G84" s="1111"/>
      <c r="H84" s="1111"/>
      <c r="I84" s="1111"/>
      <c r="J84" s="1111"/>
      <c r="K84" s="1111"/>
      <c r="L84" s="1111"/>
      <c r="M84" s="1111"/>
      <c r="N84" s="1111"/>
      <c r="O84" s="1111"/>
      <c r="P84" s="1059">
        <f>+MEMORIA!X128</f>
        <v>0</v>
      </c>
      <c r="Q84" s="1060"/>
      <c r="R84" s="1060"/>
      <c r="S84" s="1060"/>
      <c r="T84" s="1060"/>
      <c r="U84" s="1059">
        <f>+MEMORIA!AA128</f>
        <v>0</v>
      </c>
      <c r="V84" s="1060"/>
      <c r="W84" s="1060"/>
      <c r="X84" s="1060"/>
      <c r="Y84" s="1060"/>
      <c r="Z84" s="1061" t="e">
        <f>+MEMORIA!AS128</f>
        <v>#DIV/0!</v>
      </c>
      <c r="AA84" s="1061"/>
      <c r="AB84" s="1061"/>
      <c r="AC84" s="1061"/>
      <c r="AD84" s="1061"/>
      <c r="AE84" s="1061"/>
      <c r="AF84" s="1061"/>
      <c r="AG84" s="1061"/>
      <c r="AH84" s="1062">
        <f t="shared" si="0"/>
        <v>0</v>
      </c>
      <c r="AI84" s="1063"/>
      <c r="AJ84" s="1063"/>
      <c r="AK84" s="1063"/>
      <c r="AL84" s="1063"/>
      <c r="AM84" s="1063"/>
      <c r="AN84" s="1063"/>
      <c r="AO84" s="1063"/>
      <c r="AP84" s="1063"/>
      <c r="AQ84" s="1063"/>
      <c r="AR84" s="1064"/>
    </row>
    <row r="85" spans="1:44" ht="39" customHeight="1" x14ac:dyDescent="0.2">
      <c r="A85" s="339">
        <v>4</v>
      </c>
      <c r="B85" s="1110">
        <f>+MEMORIA!C130</f>
        <v>0</v>
      </c>
      <c r="C85" s="1111"/>
      <c r="D85" s="1111"/>
      <c r="E85" s="1111"/>
      <c r="F85" s="1111"/>
      <c r="G85" s="1111"/>
      <c r="H85" s="1111"/>
      <c r="I85" s="1111"/>
      <c r="J85" s="1111"/>
      <c r="K85" s="1111"/>
      <c r="L85" s="1111"/>
      <c r="M85" s="1111"/>
      <c r="N85" s="1111"/>
      <c r="O85" s="1111"/>
      <c r="P85" s="1059">
        <f>+MEMORIA!X130</f>
        <v>0</v>
      </c>
      <c r="Q85" s="1060"/>
      <c r="R85" s="1060"/>
      <c r="S85" s="1060"/>
      <c r="T85" s="1060"/>
      <c r="U85" s="1059">
        <f>+MEMORIA!AA130</f>
        <v>0</v>
      </c>
      <c r="V85" s="1060"/>
      <c r="W85" s="1060"/>
      <c r="X85" s="1060"/>
      <c r="Y85" s="1060"/>
      <c r="Z85" s="1061" t="e">
        <f>+MEMORIA!AS130</f>
        <v>#DIV/0!</v>
      </c>
      <c r="AA85" s="1061"/>
      <c r="AB85" s="1061"/>
      <c r="AC85" s="1061"/>
      <c r="AD85" s="1061"/>
      <c r="AE85" s="1061"/>
      <c r="AF85" s="1061"/>
      <c r="AG85" s="1061"/>
      <c r="AH85" s="1062">
        <f t="shared" si="0"/>
        <v>0</v>
      </c>
      <c r="AI85" s="1063"/>
      <c r="AJ85" s="1063"/>
      <c r="AK85" s="1063"/>
      <c r="AL85" s="1063"/>
      <c r="AM85" s="1063"/>
      <c r="AN85" s="1063"/>
      <c r="AO85" s="1063"/>
      <c r="AP85" s="1063"/>
      <c r="AQ85" s="1063"/>
      <c r="AR85" s="1064"/>
    </row>
    <row r="86" spans="1:44" ht="45.75" customHeight="1" x14ac:dyDescent="0.2">
      <c r="A86" s="339">
        <v>5</v>
      </c>
      <c r="B86" s="1057">
        <f>+MEMORIA!C244</f>
        <v>0</v>
      </c>
      <c r="C86" s="1058"/>
      <c r="D86" s="1058"/>
      <c r="E86" s="1058"/>
      <c r="F86" s="1058"/>
      <c r="G86" s="1058"/>
      <c r="H86" s="1058"/>
      <c r="I86" s="1058"/>
      <c r="J86" s="1058"/>
      <c r="K86" s="1058"/>
      <c r="L86" s="1058"/>
      <c r="M86" s="1058"/>
      <c r="N86" s="1058"/>
      <c r="O86" s="1058"/>
      <c r="P86" s="1059">
        <v>0</v>
      </c>
      <c r="Q86" s="1060"/>
      <c r="R86" s="1060"/>
      <c r="S86" s="1060"/>
      <c r="T86" s="1060"/>
      <c r="U86" s="1059">
        <f>+MEMORIA!AA244</f>
        <v>0</v>
      </c>
      <c r="V86" s="1060"/>
      <c r="W86" s="1060"/>
      <c r="X86" s="1060"/>
      <c r="Y86" s="1060"/>
      <c r="Z86" s="1061" t="e">
        <f>+MEMORIA!AS244</f>
        <v>#DIV/0!</v>
      </c>
      <c r="AA86" s="1061"/>
      <c r="AB86" s="1061"/>
      <c r="AC86" s="1061"/>
      <c r="AD86" s="1061"/>
      <c r="AE86" s="1061"/>
      <c r="AF86" s="1061"/>
      <c r="AG86" s="1061"/>
      <c r="AH86" s="1062">
        <f t="shared" si="0"/>
        <v>0</v>
      </c>
      <c r="AI86" s="1063"/>
      <c r="AJ86" s="1063"/>
      <c r="AK86" s="1063"/>
      <c r="AL86" s="1063"/>
      <c r="AM86" s="1063"/>
      <c r="AN86" s="1063"/>
      <c r="AO86" s="1063"/>
      <c r="AP86" s="1063"/>
      <c r="AQ86" s="1063"/>
      <c r="AR86" s="1064"/>
    </row>
    <row r="87" spans="1:44" ht="39" customHeight="1" x14ac:dyDescent="0.2">
      <c r="A87" s="339">
        <v>6</v>
      </c>
      <c r="B87" s="1057">
        <f>+MEMORIA!C245</f>
        <v>0</v>
      </c>
      <c r="C87" s="1058"/>
      <c r="D87" s="1058"/>
      <c r="E87" s="1058"/>
      <c r="F87" s="1058"/>
      <c r="G87" s="1058"/>
      <c r="H87" s="1058"/>
      <c r="I87" s="1058"/>
      <c r="J87" s="1058"/>
      <c r="K87" s="1058"/>
      <c r="L87" s="1058"/>
      <c r="M87" s="1058"/>
      <c r="N87" s="1058"/>
      <c r="O87" s="1058"/>
      <c r="P87" s="1059">
        <f>+MEMORIA!X248</f>
        <v>0</v>
      </c>
      <c r="Q87" s="1060"/>
      <c r="R87" s="1060"/>
      <c r="S87" s="1060"/>
      <c r="T87" s="1060"/>
      <c r="U87" s="1059">
        <f>+MEMORIA!AA245</f>
        <v>0</v>
      </c>
      <c r="V87" s="1060"/>
      <c r="W87" s="1060"/>
      <c r="X87" s="1060"/>
      <c r="Y87" s="1060"/>
      <c r="Z87" s="1061" t="e">
        <f>+MEMORIA!AS245</f>
        <v>#DIV/0!</v>
      </c>
      <c r="AA87" s="1061"/>
      <c r="AB87" s="1061"/>
      <c r="AC87" s="1061"/>
      <c r="AD87" s="1061"/>
      <c r="AE87" s="1061"/>
      <c r="AF87" s="1061"/>
      <c r="AG87" s="1061"/>
      <c r="AH87" s="1062">
        <f t="shared" si="0"/>
        <v>0</v>
      </c>
      <c r="AI87" s="1063"/>
      <c r="AJ87" s="1063"/>
      <c r="AK87" s="1063"/>
      <c r="AL87" s="1063"/>
      <c r="AM87" s="1063"/>
      <c r="AN87" s="1063"/>
      <c r="AO87" s="1063"/>
      <c r="AP87" s="1063"/>
      <c r="AQ87" s="1063"/>
      <c r="AR87" s="1064"/>
    </row>
    <row r="88" spans="1:44" ht="45.75" customHeight="1" x14ac:dyDescent="0.2">
      <c r="A88" s="339">
        <v>7</v>
      </c>
      <c r="B88" s="1057">
        <f>+MEMORIA!C247</f>
        <v>0</v>
      </c>
      <c r="C88" s="1058"/>
      <c r="D88" s="1058"/>
      <c r="E88" s="1058"/>
      <c r="F88" s="1058"/>
      <c r="G88" s="1058"/>
      <c r="H88" s="1058"/>
      <c r="I88" s="1058"/>
      <c r="J88" s="1058"/>
      <c r="K88" s="1058"/>
      <c r="L88" s="1058"/>
      <c r="M88" s="1058"/>
      <c r="N88" s="1058"/>
      <c r="O88" s="1058"/>
      <c r="P88" s="1059">
        <f>+MEMORIA!X249</f>
        <v>0</v>
      </c>
      <c r="Q88" s="1060"/>
      <c r="R88" s="1060"/>
      <c r="S88" s="1060"/>
      <c r="T88" s="1060"/>
      <c r="U88" s="1059">
        <f>+MEMORIA!AA247</f>
        <v>0</v>
      </c>
      <c r="V88" s="1060"/>
      <c r="W88" s="1060"/>
      <c r="X88" s="1060"/>
      <c r="Y88" s="1060"/>
      <c r="Z88" s="1061" t="e">
        <f>+MEMORIA!AS247</f>
        <v>#DIV/0!</v>
      </c>
      <c r="AA88" s="1061"/>
      <c r="AB88" s="1061"/>
      <c r="AC88" s="1061"/>
      <c r="AD88" s="1061"/>
      <c r="AE88" s="1061"/>
      <c r="AF88" s="1061"/>
      <c r="AG88" s="1061"/>
      <c r="AH88" s="1062">
        <f t="shared" si="0"/>
        <v>0</v>
      </c>
      <c r="AI88" s="1063"/>
      <c r="AJ88" s="1063"/>
      <c r="AK88" s="1063"/>
      <c r="AL88" s="1063"/>
      <c r="AM88" s="1063"/>
      <c r="AN88" s="1063"/>
      <c r="AO88" s="1063"/>
      <c r="AP88" s="1063"/>
      <c r="AQ88" s="1063"/>
      <c r="AR88" s="1064"/>
    </row>
    <row r="89" spans="1:44" ht="4.5" customHeight="1" x14ac:dyDescent="0.2"/>
    <row r="90" spans="1:44" x14ac:dyDescent="0.2">
      <c r="A90" s="1093" t="s">
        <v>2455</v>
      </c>
      <c r="B90" s="1094"/>
      <c r="C90" s="1094"/>
      <c r="D90" s="1094"/>
      <c r="E90" s="1094"/>
      <c r="F90" s="1094"/>
      <c r="G90" s="1094"/>
      <c r="H90" s="1094"/>
      <c r="I90" s="1094"/>
      <c r="J90" s="1094"/>
      <c r="K90" s="1094"/>
      <c r="L90" s="1094"/>
      <c r="M90" s="1094"/>
      <c r="N90" s="1094"/>
      <c r="O90" s="1094"/>
      <c r="P90" s="1094"/>
      <c r="Q90" s="1094"/>
      <c r="R90" s="1094"/>
      <c r="S90" s="1094"/>
      <c r="T90" s="1094"/>
      <c r="U90" s="1094"/>
      <c r="V90" s="1094"/>
      <c r="W90" s="1094"/>
      <c r="X90" s="1094"/>
      <c r="Y90" s="1094"/>
      <c r="Z90" s="1094"/>
      <c r="AA90" s="1094"/>
      <c r="AB90" s="1094"/>
      <c r="AC90" s="1094"/>
      <c r="AD90" s="1094"/>
      <c r="AE90" s="1094"/>
      <c r="AF90" s="1094"/>
      <c r="AG90" s="1094"/>
      <c r="AH90" s="1094"/>
      <c r="AI90" s="1094"/>
      <c r="AJ90" s="1094"/>
      <c r="AK90" s="1094"/>
      <c r="AL90" s="1094"/>
      <c r="AM90" s="1094"/>
      <c r="AN90" s="1094"/>
      <c r="AO90" s="1094"/>
      <c r="AP90" s="1094"/>
      <c r="AQ90" s="1094"/>
      <c r="AR90" s="1095"/>
    </row>
    <row r="91" spans="1:44" ht="5.0999999999999996" customHeight="1" thickBot="1" x14ac:dyDescent="0.25"/>
    <row r="92" spans="1:44" ht="13.5" thickBot="1" x14ac:dyDescent="0.25">
      <c r="A92" s="330" t="s">
        <v>2456</v>
      </c>
      <c r="N92" s="1098">
        <f>+'HOJA DE RESUMEN'!I73</f>
        <v>0</v>
      </c>
      <c r="O92" s="1099"/>
      <c r="P92" s="1099"/>
      <c r="Q92" s="1099"/>
      <c r="R92" s="1099"/>
      <c r="S92" s="1099"/>
      <c r="T92" s="1099"/>
      <c r="U92" s="1099"/>
      <c r="V92" s="1099"/>
      <c r="W92" s="1099"/>
      <c r="X92" s="1099"/>
      <c r="Y92" s="1100"/>
      <c r="AC92" s="1118" t="s">
        <v>2457</v>
      </c>
      <c r="AD92" s="1119"/>
      <c r="AE92" s="1119"/>
      <c r="AF92" s="1119"/>
      <c r="AG92" s="1119"/>
      <c r="AH92" s="1119"/>
      <c r="AI92" s="1119"/>
      <c r="AJ92" s="1119"/>
      <c r="AK92" s="1119"/>
      <c r="AL92" s="1119"/>
      <c r="AM92" s="1119"/>
      <c r="AN92" s="1119"/>
      <c r="AO92" s="1119"/>
      <c r="AP92" s="1119"/>
      <c r="AQ92" s="1119"/>
      <c r="AR92" s="1120"/>
    </row>
    <row r="93" spans="1:44" ht="5.0999999999999996" customHeight="1" thickBot="1" x14ac:dyDescent="0.25">
      <c r="N93" s="434"/>
      <c r="O93" s="434"/>
      <c r="P93" s="434"/>
      <c r="Q93" s="434"/>
      <c r="R93" s="434"/>
      <c r="S93" s="434"/>
      <c r="T93" s="434"/>
      <c r="U93" s="434"/>
      <c r="V93" s="434"/>
      <c r="W93" s="434"/>
      <c r="X93" s="434"/>
      <c r="Y93" s="434"/>
      <c r="AC93" s="1121"/>
      <c r="AD93" s="1122"/>
      <c r="AE93" s="1122"/>
      <c r="AF93" s="1122"/>
      <c r="AG93" s="1122"/>
      <c r="AH93" s="1122"/>
      <c r="AI93" s="1122"/>
      <c r="AJ93" s="1122"/>
      <c r="AK93" s="1122"/>
      <c r="AL93" s="1122"/>
      <c r="AM93" s="1122"/>
      <c r="AN93" s="1122"/>
      <c r="AO93" s="1122"/>
      <c r="AP93" s="1122"/>
      <c r="AQ93" s="1122"/>
      <c r="AR93" s="1123"/>
    </row>
    <row r="94" spans="1:44" ht="13.5" thickBot="1" x14ac:dyDescent="0.25">
      <c r="A94" s="330" t="s">
        <v>2458</v>
      </c>
      <c r="N94" s="1098">
        <f>+(MEMORIA!AO348+MEMORIA!AO352+MEMORIA!AO354)*'HOJA DE RESUMEN'!H60</f>
        <v>0</v>
      </c>
      <c r="O94" s="1099"/>
      <c r="P94" s="1099"/>
      <c r="Q94" s="1099"/>
      <c r="R94" s="1099"/>
      <c r="S94" s="1099"/>
      <c r="T94" s="1099"/>
      <c r="U94" s="1099"/>
      <c r="V94" s="1099"/>
      <c r="W94" s="1099"/>
      <c r="X94" s="1099"/>
      <c r="Y94" s="1100"/>
      <c r="AC94" s="1121"/>
      <c r="AD94" s="1122"/>
      <c r="AE94" s="1122"/>
      <c r="AF94" s="1122"/>
      <c r="AG94" s="1122"/>
      <c r="AH94" s="1122"/>
      <c r="AI94" s="1122"/>
      <c r="AJ94" s="1122"/>
      <c r="AK94" s="1122"/>
      <c r="AL94" s="1122"/>
      <c r="AM94" s="1122"/>
      <c r="AN94" s="1122"/>
      <c r="AO94" s="1122"/>
      <c r="AP94" s="1122"/>
      <c r="AQ94" s="1122"/>
      <c r="AR94" s="1123"/>
    </row>
    <row r="95" spans="1:44" ht="5.0999999999999996" customHeight="1" thickBot="1" x14ac:dyDescent="0.25">
      <c r="N95" s="434"/>
      <c r="O95" s="434"/>
      <c r="P95" s="434"/>
      <c r="Q95" s="434"/>
      <c r="R95" s="434"/>
      <c r="S95" s="434"/>
      <c r="T95" s="434"/>
      <c r="U95" s="434"/>
      <c r="V95" s="434"/>
      <c r="W95" s="434"/>
      <c r="X95" s="434"/>
      <c r="Y95" s="434"/>
      <c r="AC95" s="1121"/>
      <c r="AD95" s="1122"/>
      <c r="AE95" s="1122"/>
      <c r="AF95" s="1122"/>
      <c r="AG95" s="1122"/>
      <c r="AH95" s="1122"/>
      <c r="AI95" s="1122"/>
      <c r="AJ95" s="1122"/>
      <c r="AK95" s="1122"/>
      <c r="AL95" s="1122"/>
      <c r="AM95" s="1122"/>
      <c r="AN95" s="1122"/>
      <c r="AO95" s="1122"/>
      <c r="AP95" s="1122"/>
      <c r="AQ95" s="1122"/>
      <c r="AR95" s="1123"/>
    </row>
    <row r="96" spans="1:44" ht="13.5" thickBot="1" x14ac:dyDescent="0.25">
      <c r="A96" s="330" t="s">
        <v>2459</v>
      </c>
      <c r="N96" s="1098">
        <f>+'HOJA DE RESUMEN'!U74</f>
        <v>0</v>
      </c>
      <c r="O96" s="1099"/>
      <c r="P96" s="1099"/>
      <c r="Q96" s="1099"/>
      <c r="R96" s="1099"/>
      <c r="S96" s="1099"/>
      <c r="T96" s="1099"/>
      <c r="U96" s="1099"/>
      <c r="V96" s="1099"/>
      <c r="W96" s="1099"/>
      <c r="X96" s="1099"/>
      <c r="Y96" s="1100"/>
      <c r="AC96" s="1121"/>
      <c r="AD96" s="1122"/>
      <c r="AE96" s="1122"/>
      <c r="AF96" s="1122"/>
      <c r="AG96" s="1122"/>
      <c r="AH96" s="1122"/>
      <c r="AI96" s="1122"/>
      <c r="AJ96" s="1122"/>
      <c r="AK96" s="1122"/>
      <c r="AL96" s="1122"/>
      <c r="AM96" s="1122"/>
      <c r="AN96" s="1122"/>
      <c r="AO96" s="1122"/>
      <c r="AP96" s="1122"/>
      <c r="AQ96" s="1122"/>
      <c r="AR96" s="1123"/>
    </row>
    <row r="97" spans="1:44" ht="5.0999999999999996" customHeight="1" thickBot="1" x14ac:dyDescent="0.25">
      <c r="N97" s="434"/>
      <c r="O97" s="434"/>
      <c r="P97" s="434"/>
      <c r="Q97" s="434"/>
      <c r="R97" s="434"/>
      <c r="S97" s="434"/>
      <c r="T97" s="434"/>
      <c r="U97" s="434"/>
      <c r="V97" s="434"/>
      <c r="W97" s="434"/>
      <c r="X97" s="434"/>
      <c r="Y97" s="434"/>
      <c r="AC97" s="1121"/>
      <c r="AD97" s="1122"/>
      <c r="AE97" s="1122"/>
      <c r="AF97" s="1122"/>
      <c r="AG97" s="1122"/>
      <c r="AH97" s="1122"/>
      <c r="AI97" s="1122"/>
      <c r="AJ97" s="1122"/>
      <c r="AK97" s="1122"/>
      <c r="AL97" s="1122"/>
      <c r="AM97" s="1122"/>
      <c r="AN97" s="1122"/>
      <c r="AO97" s="1122"/>
      <c r="AP97" s="1122"/>
      <c r="AQ97" s="1122"/>
      <c r="AR97" s="1123"/>
    </row>
    <row r="98" spans="1:44" ht="13.5" thickBot="1" x14ac:dyDescent="0.25">
      <c r="A98" s="330" t="s">
        <v>2493</v>
      </c>
      <c r="N98" s="1098">
        <f>+'HOJA DE RESUMEN'!U75</f>
        <v>0</v>
      </c>
      <c r="O98" s="1099"/>
      <c r="P98" s="1099"/>
      <c r="Q98" s="1099"/>
      <c r="R98" s="1099"/>
      <c r="S98" s="1099"/>
      <c r="T98" s="1099"/>
      <c r="U98" s="1099"/>
      <c r="V98" s="1099"/>
      <c r="W98" s="1099"/>
      <c r="X98" s="1099"/>
      <c r="Y98" s="1100"/>
      <c r="AC98" s="1121"/>
      <c r="AD98" s="1122"/>
      <c r="AE98" s="1122"/>
      <c r="AF98" s="1122"/>
      <c r="AG98" s="1122"/>
      <c r="AH98" s="1122"/>
      <c r="AI98" s="1122"/>
      <c r="AJ98" s="1122"/>
      <c r="AK98" s="1122"/>
      <c r="AL98" s="1122"/>
      <c r="AM98" s="1122"/>
      <c r="AN98" s="1122"/>
      <c r="AO98" s="1122"/>
      <c r="AP98" s="1122"/>
      <c r="AQ98" s="1122"/>
      <c r="AR98" s="1123"/>
    </row>
    <row r="99" spans="1:44" ht="5.0999999999999996" customHeight="1" thickBot="1" x14ac:dyDescent="0.25">
      <c r="N99" s="434"/>
      <c r="O99" s="434"/>
      <c r="P99" s="434"/>
      <c r="Q99" s="434"/>
      <c r="R99" s="434"/>
      <c r="S99" s="434"/>
      <c r="T99" s="434"/>
      <c r="U99" s="434"/>
      <c r="V99" s="434"/>
      <c r="W99" s="434"/>
      <c r="X99" s="434"/>
      <c r="Y99" s="434"/>
      <c r="AC99" s="1121"/>
      <c r="AD99" s="1122"/>
      <c r="AE99" s="1122"/>
      <c r="AF99" s="1122"/>
      <c r="AG99" s="1122"/>
      <c r="AH99" s="1122"/>
      <c r="AI99" s="1122"/>
      <c r="AJ99" s="1122"/>
      <c r="AK99" s="1122"/>
      <c r="AL99" s="1122"/>
      <c r="AM99" s="1122"/>
      <c r="AN99" s="1122"/>
      <c r="AO99" s="1122"/>
      <c r="AP99" s="1122"/>
      <c r="AQ99" s="1122"/>
      <c r="AR99" s="1123"/>
    </row>
    <row r="100" spans="1:44" ht="13.5" thickBot="1" x14ac:dyDescent="0.25">
      <c r="A100" s="330" t="s">
        <v>2460</v>
      </c>
      <c r="N100" s="1098">
        <f>+'HOJA DE RESUMEN'!U78</f>
        <v>0</v>
      </c>
      <c r="O100" s="1099"/>
      <c r="P100" s="1099"/>
      <c r="Q100" s="1099"/>
      <c r="R100" s="1099"/>
      <c r="S100" s="1099"/>
      <c r="T100" s="1099"/>
      <c r="U100" s="1099"/>
      <c r="V100" s="1099"/>
      <c r="W100" s="1099"/>
      <c r="X100" s="1099"/>
      <c r="Y100" s="1100"/>
      <c r="AC100" s="1121"/>
      <c r="AD100" s="1122"/>
      <c r="AE100" s="1122"/>
      <c r="AF100" s="1122"/>
      <c r="AG100" s="1122"/>
      <c r="AH100" s="1122"/>
      <c r="AI100" s="1122"/>
      <c r="AJ100" s="1122"/>
      <c r="AK100" s="1122"/>
      <c r="AL100" s="1122"/>
      <c r="AM100" s="1122"/>
      <c r="AN100" s="1122"/>
      <c r="AO100" s="1122"/>
      <c r="AP100" s="1122"/>
      <c r="AQ100" s="1122"/>
      <c r="AR100" s="1123"/>
    </row>
    <row r="101" spans="1:44" ht="5.0999999999999996" customHeight="1" thickBot="1" x14ac:dyDescent="0.25">
      <c r="N101" s="434"/>
      <c r="O101" s="434"/>
      <c r="P101" s="434"/>
      <c r="Q101" s="434"/>
      <c r="R101" s="434"/>
      <c r="S101" s="434"/>
      <c r="T101" s="434"/>
      <c r="U101" s="434"/>
      <c r="V101" s="434"/>
      <c r="W101" s="434"/>
      <c r="X101" s="434"/>
      <c r="Y101" s="434"/>
      <c r="AC101" s="1121"/>
      <c r="AD101" s="1122"/>
      <c r="AE101" s="1122"/>
      <c r="AF101" s="1122"/>
      <c r="AG101" s="1122"/>
      <c r="AH101" s="1122"/>
      <c r="AI101" s="1122"/>
      <c r="AJ101" s="1122"/>
      <c r="AK101" s="1122"/>
      <c r="AL101" s="1122"/>
      <c r="AM101" s="1122"/>
      <c r="AN101" s="1122"/>
      <c r="AO101" s="1122"/>
      <c r="AP101" s="1122"/>
      <c r="AQ101" s="1122"/>
      <c r="AR101" s="1123"/>
    </row>
    <row r="102" spans="1:44" ht="13.5" thickBot="1" x14ac:dyDescent="0.25">
      <c r="A102" s="330" t="s">
        <v>2461</v>
      </c>
      <c r="N102" s="1098">
        <f>+'HOJA DE RESUMEN'!X78</f>
        <v>0</v>
      </c>
      <c r="O102" s="1099"/>
      <c r="P102" s="1099"/>
      <c r="Q102" s="1099"/>
      <c r="R102" s="1099"/>
      <c r="S102" s="1099"/>
      <c r="T102" s="1099"/>
      <c r="U102" s="1099"/>
      <c r="V102" s="1099"/>
      <c r="W102" s="1099"/>
      <c r="X102" s="1099"/>
      <c r="Y102" s="1100"/>
      <c r="AC102" s="1124"/>
      <c r="AD102" s="1125"/>
      <c r="AE102" s="1125"/>
      <c r="AF102" s="1125"/>
      <c r="AG102" s="1125"/>
      <c r="AH102" s="1125"/>
      <c r="AI102" s="1125"/>
      <c r="AJ102" s="1125"/>
      <c r="AK102" s="1125"/>
      <c r="AL102" s="1125"/>
      <c r="AM102" s="1125"/>
      <c r="AN102" s="1125"/>
      <c r="AO102" s="1125"/>
      <c r="AP102" s="1125"/>
      <c r="AQ102" s="1125"/>
      <c r="AR102" s="1126"/>
    </row>
    <row r="103" spans="1:44" ht="3.75" customHeight="1" x14ac:dyDescent="0.2"/>
    <row r="104" spans="1:44" x14ac:dyDescent="0.2">
      <c r="A104" s="1093" t="s">
        <v>2462</v>
      </c>
      <c r="B104" s="1094"/>
      <c r="C104" s="1094"/>
      <c r="D104" s="1094"/>
      <c r="E104" s="1094"/>
      <c r="F104" s="1094"/>
      <c r="G104" s="1094"/>
      <c r="H104" s="1094"/>
      <c r="I104" s="1094"/>
      <c r="J104" s="1094"/>
      <c r="K104" s="1094"/>
      <c r="L104" s="1094"/>
      <c r="M104" s="1094"/>
      <c r="N104" s="1094"/>
      <c r="O104" s="1094"/>
      <c r="P104" s="1094"/>
      <c r="Q104" s="1094"/>
      <c r="R104" s="1094"/>
      <c r="S104" s="1094"/>
      <c r="T104" s="1094"/>
      <c r="U104" s="1094"/>
      <c r="V104" s="1094"/>
      <c r="W104" s="1094"/>
      <c r="X104" s="1094"/>
      <c r="Y104" s="1094"/>
      <c r="Z104" s="1094"/>
      <c r="AA104" s="1094"/>
      <c r="AB104" s="1094"/>
      <c r="AC104" s="1094"/>
      <c r="AD104" s="1094"/>
      <c r="AE104" s="1094"/>
      <c r="AF104" s="1094"/>
      <c r="AG104" s="1094"/>
      <c r="AH104" s="1094"/>
      <c r="AI104" s="1094"/>
      <c r="AJ104" s="1094"/>
      <c r="AK104" s="1094"/>
      <c r="AL104" s="1094"/>
      <c r="AM104" s="1094"/>
      <c r="AN104" s="1094"/>
      <c r="AO104" s="1094"/>
      <c r="AP104" s="1094"/>
      <c r="AQ104" s="1094"/>
      <c r="AR104" s="1095"/>
    </row>
    <row r="105" spans="1:44" ht="5.0999999999999996" customHeight="1" thickBot="1" x14ac:dyDescent="0.25"/>
    <row r="106" spans="1:44" ht="9" customHeight="1" x14ac:dyDescent="0.2">
      <c r="A106" s="1112"/>
      <c r="B106" s="1113"/>
      <c r="C106" s="1113"/>
      <c r="D106" s="1113"/>
      <c r="E106" s="1113"/>
      <c r="F106" s="1113"/>
      <c r="G106" s="1113"/>
      <c r="H106" s="1113"/>
      <c r="I106" s="1113"/>
      <c r="J106" s="1113"/>
      <c r="K106" s="1113"/>
      <c r="L106" s="1113"/>
      <c r="M106" s="1113"/>
      <c r="N106" s="1113"/>
      <c r="O106" s="1113"/>
      <c r="P106" s="1113"/>
      <c r="Q106" s="1113"/>
      <c r="R106" s="1113"/>
      <c r="S106" s="1113"/>
      <c r="T106" s="1113"/>
      <c r="U106" s="1113"/>
      <c r="V106" s="1113"/>
      <c r="W106" s="1113"/>
      <c r="X106" s="1113"/>
      <c r="Y106" s="1113"/>
      <c r="Z106" s="1113"/>
      <c r="AA106" s="1113"/>
      <c r="AB106" s="1113"/>
      <c r="AC106" s="1113"/>
      <c r="AD106" s="1113"/>
      <c r="AE106" s="1113"/>
      <c r="AF106" s="1113"/>
      <c r="AG106" s="1113"/>
      <c r="AH106" s="1113"/>
      <c r="AI106" s="1113"/>
      <c r="AJ106" s="1113"/>
      <c r="AK106" s="1113"/>
      <c r="AL106" s="1113"/>
      <c r="AM106" s="1113"/>
      <c r="AN106" s="1113"/>
      <c r="AO106" s="1113"/>
      <c r="AP106" s="1113"/>
      <c r="AQ106" s="1113"/>
      <c r="AR106" s="1114"/>
    </row>
    <row r="107" spans="1:44" ht="6.75" customHeight="1" thickBot="1" x14ac:dyDescent="0.25">
      <c r="A107" s="1115"/>
      <c r="B107" s="1116"/>
      <c r="C107" s="1116"/>
      <c r="D107" s="1116"/>
      <c r="E107" s="1116"/>
      <c r="F107" s="1116"/>
      <c r="G107" s="1116"/>
      <c r="H107" s="1116"/>
      <c r="I107" s="1116"/>
      <c r="J107" s="1116"/>
      <c r="K107" s="1116"/>
      <c r="L107" s="1116"/>
      <c r="M107" s="1116"/>
      <c r="N107" s="1116"/>
      <c r="O107" s="1116"/>
      <c r="P107" s="1116"/>
      <c r="Q107" s="1116"/>
      <c r="R107" s="1116"/>
      <c r="S107" s="1116"/>
      <c r="T107" s="1116"/>
      <c r="U107" s="1116"/>
      <c r="V107" s="1116"/>
      <c r="W107" s="1116"/>
      <c r="X107" s="1116"/>
      <c r="Y107" s="1116"/>
      <c r="Z107" s="1116"/>
      <c r="AA107" s="1116"/>
      <c r="AB107" s="1116"/>
      <c r="AC107" s="1116"/>
      <c r="AD107" s="1116"/>
      <c r="AE107" s="1116"/>
      <c r="AF107" s="1116"/>
      <c r="AG107" s="1116"/>
      <c r="AH107" s="1116"/>
      <c r="AI107" s="1116"/>
      <c r="AJ107" s="1116"/>
      <c r="AK107" s="1116"/>
      <c r="AL107" s="1116"/>
      <c r="AM107" s="1116"/>
      <c r="AN107" s="1116"/>
      <c r="AO107" s="1116"/>
      <c r="AP107" s="1116"/>
      <c r="AQ107" s="1116"/>
      <c r="AR107" s="1117"/>
    </row>
    <row r="108" spans="1:44" ht="1.5" customHeight="1" x14ac:dyDescent="0.2"/>
    <row r="109" spans="1:44" x14ac:dyDescent="0.2">
      <c r="AC109" s="330" t="s">
        <v>2463</v>
      </c>
    </row>
    <row r="110" spans="1:44" ht="5.0999999999999996" customHeight="1" x14ac:dyDescent="0.2"/>
    <row r="111" spans="1:44" x14ac:dyDescent="0.2">
      <c r="A111" s="335" t="s">
        <v>2464</v>
      </c>
    </row>
    <row r="112" spans="1:44" x14ac:dyDescent="0.2">
      <c r="A112" s="335" t="s">
        <v>2465</v>
      </c>
    </row>
    <row r="113" spans="1:40" s="330" customFormat="1" ht="11.25" x14ac:dyDescent="0.2">
      <c r="A113" s="335" t="s">
        <v>2466</v>
      </c>
    </row>
    <row r="114" spans="1:40" s="330" customFormat="1" ht="11.25" x14ac:dyDescent="0.2">
      <c r="A114" s="335" t="s">
        <v>2467</v>
      </c>
    </row>
    <row r="116" spans="1:40" s="330" customFormat="1" ht="11.25" x14ac:dyDescent="0.2">
      <c r="AC116" s="337" t="s">
        <v>2468</v>
      </c>
      <c r="AD116" s="337"/>
      <c r="AE116" s="337"/>
      <c r="AF116" s="337"/>
      <c r="AG116" s="337"/>
      <c r="AH116" s="337"/>
      <c r="AI116" s="337"/>
      <c r="AJ116" s="337"/>
      <c r="AK116" s="337"/>
      <c r="AL116" s="337"/>
      <c r="AM116" s="337"/>
      <c r="AN116" s="337"/>
    </row>
    <row r="117" spans="1:40" s="330" customFormat="1" ht="11.25" x14ac:dyDescent="0.2">
      <c r="AC117" s="330" t="s">
        <v>2469</v>
      </c>
    </row>
    <row r="118" spans="1:40" s="330" customFormat="1" ht="11.25" x14ac:dyDescent="0.2">
      <c r="AC118" s="330" t="s">
        <v>2470</v>
      </c>
    </row>
  </sheetData>
  <mergeCells count="146">
    <mergeCell ref="B87:O87"/>
    <mergeCell ref="P87:T87"/>
    <mergeCell ref="U87:Y87"/>
    <mergeCell ref="Z87:AG87"/>
    <mergeCell ref="AH87:AR87"/>
    <mergeCell ref="B88:O88"/>
    <mergeCell ref="P88:T88"/>
    <mergeCell ref="U88:Y88"/>
    <mergeCell ref="Z88:AG88"/>
    <mergeCell ref="AH88:AR88"/>
    <mergeCell ref="A104:AR104"/>
    <mergeCell ref="A106:AR107"/>
    <mergeCell ref="A90:AR90"/>
    <mergeCell ref="N92:Y92"/>
    <mergeCell ref="AC92:AR102"/>
    <mergeCell ref="N94:Y94"/>
    <mergeCell ref="N96:Y96"/>
    <mergeCell ref="N100:Y100"/>
    <mergeCell ref="N102:Y102"/>
    <mergeCell ref="N98:Y98"/>
    <mergeCell ref="B84:O84"/>
    <mergeCell ref="P84:T84"/>
    <mergeCell ref="U84:Y84"/>
    <mergeCell ref="Z84:AG84"/>
    <mergeCell ref="AH84:AR84"/>
    <mergeCell ref="B85:O85"/>
    <mergeCell ref="P85:T85"/>
    <mergeCell ref="U85:Y85"/>
    <mergeCell ref="Z85:AG85"/>
    <mergeCell ref="AH85:AR85"/>
    <mergeCell ref="B82:O82"/>
    <mergeCell ref="P82:T82"/>
    <mergeCell ref="U82:Y82"/>
    <mergeCell ref="Z82:AG82"/>
    <mergeCell ref="AH82:AR82"/>
    <mergeCell ref="B83:O83"/>
    <mergeCell ref="P83:T83"/>
    <mergeCell ref="U83:Y83"/>
    <mergeCell ref="Z83:AG83"/>
    <mergeCell ref="AH83:AR83"/>
    <mergeCell ref="A79:AR79"/>
    <mergeCell ref="B81:O81"/>
    <mergeCell ref="P81:T81"/>
    <mergeCell ref="U81:Y81"/>
    <mergeCell ref="Z81:AG81"/>
    <mergeCell ref="AH81:AR81"/>
    <mergeCell ref="AH76:AM76"/>
    <mergeCell ref="B77:G77"/>
    <mergeCell ref="H77:L77"/>
    <mergeCell ref="M77:Q77"/>
    <mergeCell ref="R77:V77"/>
    <mergeCell ref="W77:AA77"/>
    <mergeCell ref="AB77:AG77"/>
    <mergeCell ref="AH77:AM77"/>
    <mergeCell ref="B76:G76"/>
    <mergeCell ref="H76:L76"/>
    <mergeCell ref="M76:Q76"/>
    <mergeCell ref="R76:V76"/>
    <mergeCell ref="W76:AA76"/>
    <mergeCell ref="AB76:AG76"/>
    <mergeCell ref="AH74:AM74"/>
    <mergeCell ref="B75:G75"/>
    <mergeCell ref="H75:L75"/>
    <mergeCell ref="M75:Q75"/>
    <mergeCell ref="R75:V75"/>
    <mergeCell ref="W75:AA75"/>
    <mergeCell ref="AB75:AG75"/>
    <mergeCell ref="AH75:AM75"/>
    <mergeCell ref="B74:G74"/>
    <mergeCell ref="H74:L74"/>
    <mergeCell ref="M74:Q74"/>
    <mergeCell ref="R74:V74"/>
    <mergeCell ref="W74:AA74"/>
    <mergeCell ref="AB74:AG74"/>
    <mergeCell ref="M67:N67"/>
    <mergeCell ref="R67:S67"/>
    <mergeCell ref="X67:Y67"/>
    <mergeCell ref="E71:F71"/>
    <mergeCell ref="O71:P71"/>
    <mergeCell ref="AH71:AI71"/>
    <mergeCell ref="AH49:AI49"/>
    <mergeCell ref="AH50:AI50"/>
    <mergeCell ref="AH51:AI51"/>
    <mergeCell ref="AH52:AI52"/>
    <mergeCell ref="A55:AR55"/>
    <mergeCell ref="M66:N66"/>
    <mergeCell ref="R66:S66"/>
    <mergeCell ref="X66:Y66"/>
    <mergeCell ref="AL42:AN42"/>
    <mergeCell ref="T46:V46"/>
    <mergeCell ref="AH46:AK46"/>
    <mergeCell ref="AH47:AI47"/>
    <mergeCell ref="G48:I48"/>
    <mergeCell ref="AH48:AI48"/>
    <mergeCell ref="AM32:AR32"/>
    <mergeCell ref="A35:AR35"/>
    <mergeCell ref="O37:P37"/>
    <mergeCell ref="AA37:AB37"/>
    <mergeCell ref="AP37:AQ37"/>
    <mergeCell ref="R39:T39"/>
    <mergeCell ref="AL39:AN39"/>
    <mergeCell ref="AL30:AQ30"/>
    <mergeCell ref="F32:I32"/>
    <mergeCell ref="J32:L32"/>
    <mergeCell ref="M32:R32"/>
    <mergeCell ref="T32:U32"/>
    <mergeCell ref="W32:X32"/>
    <mergeCell ref="Y32:Z32"/>
    <mergeCell ref="AA32:AC32"/>
    <mergeCell ref="AD32:AE32"/>
    <mergeCell ref="AF32:AJ32"/>
    <mergeCell ref="B86:O86"/>
    <mergeCell ref="P86:T86"/>
    <mergeCell ref="U86:Y86"/>
    <mergeCell ref="Z86:AG86"/>
    <mergeCell ref="AH86:AR86"/>
    <mergeCell ref="G22:AD22"/>
    <mergeCell ref="AF22:AJ22"/>
    <mergeCell ref="AK22:AR22"/>
    <mergeCell ref="S24:AR24"/>
    <mergeCell ref="A26:B26"/>
    <mergeCell ref="C26:D26"/>
    <mergeCell ref="F26:H26"/>
    <mergeCell ref="I26:J26"/>
    <mergeCell ref="P26:AR26"/>
    <mergeCell ref="D28:J28"/>
    <mergeCell ref="P28:T28"/>
    <mergeCell ref="Z28:AF28"/>
    <mergeCell ref="AG28:AN28"/>
    <mergeCell ref="F30:I30"/>
    <mergeCell ref="J30:L30"/>
    <mergeCell ref="M30:R30"/>
    <mergeCell ref="T30:Z30"/>
    <mergeCell ref="AA30:AB30"/>
    <mergeCell ref="AC30:AJ30"/>
    <mergeCell ref="E14:AI14"/>
    <mergeCell ref="G16:H16"/>
    <mergeCell ref="I16:J16"/>
    <mergeCell ref="L16:S16"/>
    <mergeCell ref="T16:U16"/>
    <mergeCell ref="V16:Z16"/>
    <mergeCell ref="G18:T18"/>
    <mergeCell ref="AA18:AR18"/>
    <mergeCell ref="G20:AD20"/>
    <mergeCell ref="AE20:AJ20"/>
    <mergeCell ref="AK20:AR20"/>
  </mergeCells>
  <printOptions horizontalCentered="1"/>
  <pageMargins left="0" right="0" top="0.78740157480314965" bottom="0" header="0" footer="0"/>
  <pageSetup paperSize="9" scale="59" orientation="portrait" horizontalDpi="4294967294" verticalDpi="1200" r:id="rId1"/>
  <headerFooter alignWithMargins="0">
    <oddFooter>&amp;L&amp;G&amp;R&amp;G</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EF18-F9DD-4FBF-9FD6-38CFCC10041F}">
  <sheetPr codeName="Hoja2"/>
  <dimension ref="B8:AV127"/>
  <sheetViews>
    <sheetView topLeftCell="A92" zoomScale="115" zoomScaleNormal="115" workbookViewId="0">
      <selection activeCell="AF22" sqref="AF22"/>
    </sheetView>
  </sheetViews>
  <sheetFormatPr baseColWidth="10" defaultColWidth="1.42578125" defaultRowHeight="12.75" x14ac:dyDescent="0.2"/>
  <cols>
    <col min="1" max="1" width="0.42578125" style="93" customWidth="1"/>
    <col min="2" max="12" width="1.42578125" style="93"/>
    <col min="13" max="13" width="3.5703125" style="93" customWidth="1"/>
    <col min="14" max="17" width="1.42578125" style="93"/>
    <col min="18" max="20" width="2.28515625" style="93" customWidth="1"/>
    <col min="21" max="21" width="1.42578125" style="93"/>
    <col min="22" max="22" width="2.85546875" style="93" customWidth="1"/>
    <col min="23" max="16384" width="1.42578125" style="93"/>
  </cols>
  <sheetData>
    <row r="8" spans="2:48" ht="3" customHeight="1" x14ac:dyDescent="0.2"/>
    <row r="9" spans="2:48" hidden="1" x14ac:dyDescent="0.2"/>
    <row r="10" spans="2:48" hidden="1" x14ac:dyDescent="0.2"/>
    <row r="12" spans="2:48" ht="15.75" customHeight="1" x14ac:dyDescent="0.2">
      <c r="B12" s="1151" t="s">
        <v>119</v>
      </c>
      <c r="C12" s="1151"/>
      <c r="D12" s="1151"/>
      <c r="E12" s="1151"/>
      <c r="F12" s="1151"/>
      <c r="G12" s="1151"/>
      <c r="H12" s="1151"/>
      <c r="I12" s="1151"/>
      <c r="J12" s="1151"/>
      <c r="K12" s="1151"/>
      <c r="L12" s="1151"/>
      <c r="M12" s="1151"/>
      <c r="N12" s="1151"/>
      <c r="O12" s="1151"/>
      <c r="P12" s="1151"/>
      <c r="Q12" s="1151"/>
      <c r="R12" s="1151"/>
      <c r="S12" s="1151"/>
      <c r="T12" s="1151"/>
      <c r="U12" s="1151"/>
      <c r="V12" s="1151"/>
      <c r="W12" s="1151"/>
      <c r="X12" s="1151"/>
      <c r="Y12" s="1151"/>
      <c r="Z12" s="1151"/>
      <c r="AA12" s="1151"/>
      <c r="AB12" s="1151"/>
      <c r="AC12" s="1151"/>
      <c r="AD12" s="1151"/>
      <c r="AE12" s="1151"/>
      <c r="AF12" s="1151"/>
      <c r="AG12" s="1151"/>
      <c r="AH12" s="1151"/>
      <c r="AI12" s="1151"/>
      <c r="AJ12" s="1151"/>
      <c r="AK12" s="1151"/>
      <c r="AL12" s="1151"/>
      <c r="AM12" s="1151"/>
      <c r="AN12" s="1151"/>
      <c r="AO12" s="1151"/>
      <c r="AP12" s="1151"/>
      <c r="AQ12" s="1151"/>
      <c r="AR12" s="1151"/>
      <c r="AS12" s="1151"/>
      <c r="AT12" s="1151"/>
      <c r="AU12" s="1151"/>
      <c r="AV12" s="1151"/>
    </row>
    <row r="13" spans="2:48" x14ac:dyDescent="0.2">
      <c r="C13" s="477"/>
      <c r="D13" s="477"/>
      <c r="E13" s="477"/>
      <c r="F13" s="477"/>
      <c r="G13" s="477"/>
      <c r="H13" s="477"/>
      <c r="I13" s="477"/>
      <c r="J13" s="477"/>
      <c r="K13" s="477"/>
      <c r="L13" s="477"/>
      <c r="M13" s="477"/>
      <c r="N13" s="477"/>
      <c r="O13" s="477"/>
      <c r="P13" s="477"/>
      <c r="Q13" s="477"/>
      <c r="R13" s="477"/>
      <c r="S13" s="477"/>
      <c r="T13" s="477"/>
      <c r="U13" s="477"/>
      <c r="V13" s="477"/>
      <c r="W13" s="477"/>
      <c r="X13" s="477"/>
      <c r="Y13" s="477"/>
      <c r="Z13" s="477"/>
      <c r="AA13" s="477"/>
      <c r="AB13" s="477"/>
      <c r="AC13" s="477"/>
      <c r="AD13" s="477"/>
      <c r="AE13" s="477"/>
      <c r="AF13" s="477"/>
      <c r="AG13" s="477"/>
      <c r="AH13" s="477"/>
      <c r="AI13" s="477"/>
      <c r="AJ13" s="477"/>
      <c r="AK13" s="477"/>
      <c r="AL13" s="477"/>
      <c r="AM13" s="477"/>
      <c r="AN13" s="477"/>
      <c r="AO13" s="477"/>
      <c r="AP13" s="477"/>
      <c r="AQ13" s="477"/>
      <c r="AR13" s="477"/>
      <c r="AS13" s="477"/>
      <c r="AT13" s="477"/>
      <c r="AU13" s="477"/>
      <c r="AV13" s="477"/>
    </row>
    <row r="14" spans="2:48" s="94" customFormat="1" x14ac:dyDescent="0.2">
      <c r="B14" s="94" t="s">
        <v>49</v>
      </c>
      <c r="C14" s="478"/>
      <c r="D14" s="478" t="s">
        <v>120</v>
      </c>
      <c r="E14" s="478"/>
      <c r="F14" s="478"/>
      <c r="G14" s="478"/>
      <c r="H14" s="478"/>
      <c r="I14" s="478"/>
      <c r="J14" s="478"/>
      <c r="K14" s="478"/>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8"/>
      <c r="AN14" s="478"/>
      <c r="AO14" s="478"/>
      <c r="AP14" s="478"/>
      <c r="AQ14" s="478"/>
      <c r="AR14" s="478"/>
      <c r="AS14" s="478"/>
      <c r="AT14" s="478"/>
      <c r="AU14" s="478"/>
      <c r="AV14" s="478"/>
    </row>
    <row r="15" spans="2:48" ht="4.5" customHeight="1" thickBot="1" x14ac:dyDescent="0.25">
      <c r="C15" s="477"/>
      <c r="D15" s="477"/>
      <c r="E15" s="477"/>
      <c r="F15" s="477"/>
      <c r="G15" s="477"/>
      <c r="H15" s="477"/>
      <c r="I15" s="477"/>
      <c r="J15" s="477"/>
      <c r="K15" s="477"/>
      <c r="L15" s="477"/>
      <c r="M15" s="477"/>
      <c r="N15" s="477"/>
      <c r="O15" s="477"/>
      <c r="P15" s="477"/>
      <c r="Q15" s="477"/>
      <c r="R15" s="477"/>
      <c r="S15" s="477"/>
      <c r="T15" s="477"/>
      <c r="U15" s="477"/>
      <c r="V15" s="477"/>
      <c r="W15" s="477"/>
      <c r="X15" s="477"/>
      <c r="Y15" s="477"/>
      <c r="Z15" s="477"/>
      <c r="AA15" s="477"/>
      <c r="AB15" s="477"/>
      <c r="AC15" s="477"/>
      <c r="AD15" s="477"/>
      <c r="AE15" s="477"/>
      <c r="AF15" s="477"/>
      <c r="AG15" s="477"/>
      <c r="AH15" s="477"/>
      <c r="AI15" s="477"/>
      <c r="AJ15" s="477"/>
      <c r="AK15" s="477"/>
      <c r="AL15" s="477"/>
      <c r="AM15" s="477"/>
      <c r="AN15" s="477"/>
      <c r="AO15" s="477"/>
      <c r="AP15" s="477"/>
      <c r="AQ15" s="477"/>
      <c r="AR15" s="477"/>
      <c r="AS15" s="477"/>
      <c r="AT15" s="477"/>
      <c r="AU15" s="477"/>
      <c r="AV15" s="477"/>
    </row>
    <row r="16" spans="2:48" ht="13.5" thickBot="1" x14ac:dyDescent="0.25">
      <c r="C16" s="477"/>
      <c r="D16" s="477" t="s">
        <v>31</v>
      </c>
      <c r="E16" s="477"/>
      <c r="F16" s="477" t="s">
        <v>121</v>
      </c>
      <c r="G16" s="477"/>
      <c r="H16" s="477"/>
      <c r="I16" s="477"/>
      <c r="J16" s="477"/>
      <c r="K16" s="477"/>
      <c r="L16" s="477"/>
      <c r="M16" s="477"/>
      <c r="N16" s="1139"/>
      <c r="O16" s="1140"/>
      <c r="P16" s="477"/>
      <c r="Q16" s="477"/>
      <c r="R16" s="477"/>
      <c r="S16" s="477"/>
      <c r="T16" s="477"/>
      <c r="U16" s="477"/>
      <c r="V16" s="477"/>
      <c r="W16" s="477"/>
      <c r="X16" s="477"/>
      <c r="Y16" s="477"/>
      <c r="Z16" s="477" t="s">
        <v>106</v>
      </c>
      <c r="AA16" s="477"/>
      <c r="AB16" s="477" t="s">
        <v>75</v>
      </c>
      <c r="AC16" s="477"/>
      <c r="AD16" s="477"/>
      <c r="AE16" s="477"/>
      <c r="AF16" s="477"/>
      <c r="AG16" s="477"/>
      <c r="AH16" s="477"/>
      <c r="AI16" s="477"/>
      <c r="AJ16" s="477"/>
      <c r="AK16" s="477"/>
      <c r="AL16" s="477"/>
      <c r="AM16" s="477"/>
      <c r="AN16" s="1139"/>
      <c r="AO16" s="1140"/>
      <c r="AP16" s="477"/>
      <c r="AQ16" s="477"/>
      <c r="AR16" s="477"/>
      <c r="AS16" s="477"/>
      <c r="AT16" s="477"/>
      <c r="AU16" s="477"/>
      <c r="AV16" s="477"/>
    </row>
    <row r="17" spans="2:48" ht="6" customHeight="1" thickBot="1" x14ac:dyDescent="0.25">
      <c r="C17" s="477"/>
      <c r="D17" s="477"/>
      <c r="E17" s="477"/>
      <c r="F17" s="477"/>
      <c r="G17" s="477"/>
      <c r="H17" s="477"/>
      <c r="I17" s="477"/>
      <c r="J17" s="477"/>
      <c r="K17" s="477"/>
      <c r="L17" s="477"/>
      <c r="M17" s="477"/>
      <c r="N17" s="477"/>
      <c r="O17" s="477"/>
      <c r="P17" s="477"/>
      <c r="Q17" s="477"/>
      <c r="R17" s="477"/>
      <c r="S17" s="477"/>
      <c r="T17" s="477"/>
      <c r="U17" s="477"/>
      <c r="V17" s="477"/>
      <c r="W17" s="477"/>
      <c r="X17" s="477"/>
      <c r="Y17" s="477"/>
      <c r="Z17" s="477"/>
      <c r="AA17" s="477"/>
      <c r="AB17" s="477"/>
      <c r="AC17" s="477"/>
      <c r="AD17" s="477"/>
      <c r="AE17" s="477"/>
      <c r="AF17" s="477"/>
      <c r="AG17" s="477"/>
      <c r="AH17" s="477"/>
      <c r="AI17" s="477"/>
      <c r="AJ17" s="477"/>
      <c r="AK17" s="477"/>
      <c r="AL17" s="477"/>
      <c r="AM17" s="477"/>
      <c r="AN17" s="477"/>
      <c r="AO17" s="477"/>
      <c r="AP17" s="477"/>
      <c r="AQ17" s="477"/>
      <c r="AR17" s="477"/>
      <c r="AS17" s="477"/>
      <c r="AT17" s="477"/>
      <c r="AU17" s="477"/>
      <c r="AV17" s="477"/>
    </row>
    <row r="18" spans="2:48" ht="13.5" thickBot="1" x14ac:dyDescent="0.25">
      <c r="C18" s="477"/>
      <c r="D18" s="477" t="s">
        <v>32</v>
      </c>
      <c r="E18" s="477"/>
      <c r="F18" s="477" t="s">
        <v>122</v>
      </c>
      <c r="G18" s="477"/>
      <c r="H18" s="477"/>
      <c r="I18" s="477"/>
      <c r="J18" s="477"/>
      <c r="K18" s="477"/>
      <c r="L18" s="477"/>
      <c r="M18" s="477"/>
      <c r="N18" s="1139"/>
      <c r="O18" s="1140"/>
      <c r="P18" s="477"/>
      <c r="Q18" s="477"/>
      <c r="R18" s="477"/>
      <c r="S18" s="477"/>
      <c r="T18" s="477"/>
      <c r="U18" s="477"/>
      <c r="V18" s="477"/>
      <c r="W18" s="477"/>
      <c r="X18" s="477"/>
      <c r="Y18" s="477"/>
      <c r="Z18" s="477" t="s">
        <v>107</v>
      </c>
      <c r="AA18" s="477"/>
      <c r="AB18" s="477" t="s">
        <v>123</v>
      </c>
      <c r="AC18" s="477"/>
      <c r="AD18" s="477"/>
      <c r="AE18" s="477"/>
      <c r="AF18" s="477"/>
      <c r="AG18" s="479"/>
      <c r="AH18" s="479"/>
      <c r="AI18" s="479"/>
      <c r="AJ18" s="479"/>
      <c r="AK18" s="479"/>
      <c r="AL18" s="479"/>
      <c r="AM18" s="479"/>
      <c r="AN18" s="479"/>
      <c r="AO18" s="479"/>
      <c r="AP18" s="479"/>
      <c r="AQ18" s="479"/>
      <c r="AR18" s="479"/>
      <c r="AS18" s="479"/>
      <c r="AT18" s="479"/>
      <c r="AU18" s="479"/>
      <c r="AV18" s="477"/>
    </row>
    <row r="19" spans="2:48" ht="6" customHeight="1" thickBot="1" x14ac:dyDescent="0.25">
      <c r="C19" s="477"/>
      <c r="D19" s="477"/>
      <c r="E19" s="477"/>
      <c r="F19" s="477"/>
      <c r="G19" s="477"/>
      <c r="H19" s="477"/>
      <c r="I19" s="477"/>
      <c r="J19" s="477"/>
      <c r="K19" s="477"/>
      <c r="L19" s="477"/>
      <c r="M19" s="477"/>
      <c r="N19" s="477"/>
      <c r="O19" s="477"/>
      <c r="P19" s="477"/>
      <c r="Q19" s="477"/>
      <c r="R19" s="477"/>
      <c r="S19" s="477"/>
      <c r="T19" s="477"/>
      <c r="U19" s="477"/>
      <c r="V19" s="477"/>
      <c r="W19" s="477"/>
      <c r="X19" s="477"/>
      <c r="Y19" s="477"/>
      <c r="Z19" s="477"/>
      <c r="AA19" s="477"/>
      <c r="AB19" s="477"/>
      <c r="AC19" s="477"/>
      <c r="AD19" s="477"/>
      <c r="AE19" s="477"/>
      <c r="AF19" s="477"/>
      <c r="AG19" s="477"/>
      <c r="AH19" s="477"/>
      <c r="AI19" s="477"/>
      <c r="AJ19" s="477"/>
      <c r="AK19" s="477"/>
      <c r="AL19" s="477"/>
      <c r="AM19" s="477"/>
      <c r="AN19" s="477"/>
      <c r="AO19" s="477"/>
      <c r="AP19" s="477"/>
      <c r="AQ19" s="477"/>
      <c r="AR19" s="477"/>
      <c r="AS19" s="477"/>
      <c r="AT19" s="477"/>
      <c r="AU19" s="477"/>
      <c r="AV19" s="477"/>
    </row>
    <row r="20" spans="2:48" ht="13.5" thickBot="1" x14ac:dyDescent="0.25">
      <c r="C20" s="477"/>
      <c r="D20" s="477" t="s">
        <v>100</v>
      </c>
      <c r="E20" s="477"/>
      <c r="F20" s="477" t="s">
        <v>68</v>
      </c>
      <c r="G20" s="477"/>
      <c r="H20" s="477"/>
      <c r="I20" s="477"/>
      <c r="J20" s="477"/>
      <c r="K20" s="477"/>
      <c r="L20" s="477"/>
      <c r="M20" s="477"/>
      <c r="N20" s="1139"/>
      <c r="O20" s="1140"/>
      <c r="P20" s="477"/>
      <c r="Q20" s="477"/>
      <c r="R20" s="477"/>
      <c r="S20" s="477"/>
      <c r="T20" s="477"/>
      <c r="U20" s="477"/>
      <c r="V20" s="477"/>
      <c r="W20" s="477"/>
      <c r="X20" s="477"/>
      <c r="Y20" s="477"/>
      <c r="Z20" s="477"/>
      <c r="AA20" s="477"/>
      <c r="AB20" s="477"/>
      <c r="AC20" s="477"/>
      <c r="AD20" s="477"/>
      <c r="AE20" s="477"/>
      <c r="AF20" s="477"/>
      <c r="AG20" s="477"/>
      <c r="AH20" s="477"/>
      <c r="AI20" s="477"/>
      <c r="AJ20" s="477"/>
      <c r="AK20" s="477"/>
      <c r="AL20" s="477"/>
      <c r="AM20" s="477"/>
      <c r="AN20" s="477"/>
      <c r="AO20" s="477"/>
      <c r="AP20" s="477"/>
      <c r="AQ20" s="477"/>
      <c r="AR20" s="477"/>
      <c r="AS20" s="477"/>
      <c r="AT20" s="477"/>
      <c r="AU20" s="477"/>
      <c r="AV20" s="477"/>
    </row>
    <row r="21" spans="2:48" ht="6.75" customHeight="1" x14ac:dyDescent="0.2">
      <c r="C21" s="477"/>
      <c r="D21" s="477"/>
      <c r="E21" s="477"/>
      <c r="F21" s="477"/>
      <c r="G21" s="477"/>
      <c r="H21" s="477"/>
      <c r="I21" s="477"/>
      <c r="J21" s="477"/>
      <c r="K21" s="477"/>
      <c r="L21" s="477"/>
      <c r="M21" s="477"/>
      <c r="N21" s="477"/>
      <c r="O21" s="477"/>
      <c r="P21" s="477"/>
      <c r="Q21" s="477"/>
      <c r="R21" s="477"/>
      <c r="S21" s="477"/>
      <c r="T21" s="477"/>
      <c r="U21" s="477"/>
      <c r="V21" s="477"/>
      <c r="W21" s="477"/>
      <c r="X21" s="477"/>
      <c r="Y21" s="477"/>
      <c r="Z21" s="477"/>
      <c r="AA21" s="477"/>
      <c r="AB21" s="477"/>
      <c r="AC21" s="477"/>
      <c r="AD21" s="477"/>
      <c r="AE21" s="477"/>
      <c r="AF21" s="477"/>
      <c r="AG21" s="477"/>
      <c r="AH21" s="477"/>
      <c r="AI21" s="477"/>
      <c r="AJ21" s="477"/>
      <c r="AK21" s="477"/>
      <c r="AL21" s="477"/>
      <c r="AM21" s="477"/>
      <c r="AN21" s="477"/>
      <c r="AO21" s="477"/>
      <c r="AP21" s="477"/>
      <c r="AQ21" s="477"/>
      <c r="AR21" s="477"/>
      <c r="AS21" s="477"/>
      <c r="AT21" s="477"/>
      <c r="AU21" s="477"/>
      <c r="AV21" s="477"/>
    </row>
    <row r="22" spans="2:48" s="94" customFormat="1" x14ac:dyDescent="0.2">
      <c r="B22" s="94" t="s">
        <v>10</v>
      </c>
      <c r="C22" s="478"/>
      <c r="D22" s="478" t="s">
        <v>124</v>
      </c>
      <c r="E22" s="478"/>
      <c r="F22" s="478"/>
      <c r="G22" s="478"/>
      <c r="H22" s="478"/>
      <c r="I22" s="478"/>
      <c r="J22" s="478"/>
      <c r="K22" s="478"/>
      <c r="L22" s="478"/>
      <c r="M22" s="478"/>
      <c r="N22" s="478"/>
      <c r="O22" s="478"/>
      <c r="P22" s="478"/>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8"/>
      <c r="AN22" s="478"/>
      <c r="AO22" s="478"/>
      <c r="AP22" s="478"/>
      <c r="AQ22" s="478"/>
      <c r="AR22" s="478"/>
      <c r="AS22" s="478"/>
      <c r="AT22" s="478"/>
      <c r="AU22" s="478"/>
      <c r="AV22" s="478"/>
    </row>
    <row r="23" spans="2:48" ht="5.25" customHeight="1" thickBot="1" x14ac:dyDescent="0.25">
      <c r="C23" s="477"/>
      <c r="D23" s="477"/>
      <c r="E23" s="477"/>
      <c r="F23" s="477"/>
      <c r="G23" s="477"/>
      <c r="H23" s="477"/>
      <c r="I23" s="477"/>
      <c r="J23" s="477"/>
      <c r="K23" s="477"/>
      <c r="L23" s="477"/>
      <c r="M23" s="477"/>
      <c r="N23" s="477"/>
      <c r="O23" s="477"/>
      <c r="P23" s="477"/>
      <c r="Q23" s="477"/>
      <c r="R23" s="477"/>
      <c r="S23" s="477"/>
      <c r="T23" s="477"/>
      <c r="U23" s="477"/>
      <c r="V23" s="477"/>
      <c r="W23" s="477"/>
      <c r="X23" s="477"/>
      <c r="Y23" s="477"/>
      <c r="Z23" s="477"/>
      <c r="AA23" s="477"/>
      <c r="AB23" s="477"/>
      <c r="AC23" s="477"/>
      <c r="AD23" s="477"/>
      <c r="AE23" s="477"/>
      <c r="AF23" s="477"/>
      <c r="AG23" s="477"/>
      <c r="AH23" s="477"/>
      <c r="AI23" s="477"/>
      <c r="AJ23" s="477"/>
      <c r="AK23" s="477"/>
      <c r="AL23" s="477"/>
      <c r="AM23" s="477"/>
      <c r="AN23" s="477"/>
      <c r="AO23" s="477"/>
      <c r="AP23" s="477"/>
      <c r="AQ23" s="477"/>
      <c r="AR23" s="477"/>
      <c r="AS23" s="477"/>
      <c r="AT23" s="477"/>
      <c r="AU23" s="477"/>
      <c r="AV23" s="477"/>
    </row>
    <row r="24" spans="2:48" ht="13.5" thickBot="1" x14ac:dyDescent="0.25">
      <c r="C24" s="477"/>
      <c r="D24" s="477" t="s">
        <v>31</v>
      </c>
      <c r="E24" s="477"/>
      <c r="F24" s="477" t="s">
        <v>125</v>
      </c>
      <c r="G24" s="477"/>
      <c r="H24" s="477"/>
      <c r="I24" s="477"/>
      <c r="J24" s="477"/>
      <c r="K24" s="477"/>
      <c r="L24" s="477"/>
      <c r="M24" s="477"/>
      <c r="N24" s="1139"/>
      <c r="O24" s="1140"/>
      <c r="P24" s="477"/>
      <c r="Q24" s="477"/>
      <c r="R24" s="477"/>
      <c r="S24" s="477"/>
      <c r="T24" s="477"/>
      <c r="U24" s="477"/>
      <c r="V24" s="477"/>
      <c r="W24" s="477"/>
      <c r="X24" s="477"/>
      <c r="Y24" s="477"/>
      <c r="Z24" s="477" t="s">
        <v>107</v>
      </c>
      <c r="AA24" s="477"/>
      <c r="AB24" s="477" t="s">
        <v>126</v>
      </c>
      <c r="AC24" s="477"/>
      <c r="AD24" s="477"/>
      <c r="AE24" s="477"/>
      <c r="AF24" s="477"/>
      <c r="AG24" s="477"/>
      <c r="AH24" s="477"/>
      <c r="AI24" s="477"/>
      <c r="AJ24" s="477"/>
      <c r="AK24" s="477"/>
      <c r="AL24" s="477"/>
      <c r="AM24" s="477"/>
      <c r="AN24" s="1139"/>
      <c r="AO24" s="1140"/>
      <c r="AP24" s="477"/>
      <c r="AQ24" s="477"/>
      <c r="AR24" s="477"/>
      <c r="AS24" s="477"/>
      <c r="AT24" s="477"/>
      <c r="AU24" s="477"/>
      <c r="AV24" s="477"/>
    </row>
    <row r="25" spans="2:48" ht="6" customHeight="1" thickBot="1" x14ac:dyDescent="0.25">
      <c r="C25" s="477"/>
      <c r="D25" s="477"/>
      <c r="E25" s="477"/>
      <c r="F25" s="477"/>
      <c r="G25" s="477"/>
      <c r="H25" s="477"/>
      <c r="I25" s="477"/>
      <c r="J25" s="477"/>
      <c r="K25" s="477"/>
      <c r="L25" s="477"/>
      <c r="M25" s="477"/>
      <c r="N25" s="477"/>
      <c r="O25" s="477"/>
      <c r="P25" s="477"/>
      <c r="Q25" s="477"/>
      <c r="R25" s="477"/>
      <c r="S25" s="477"/>
      <c r="T25" s="477"/>
      <c r="U25" s="477"/>
      <c r="V25" s="477"/>
      <c r="W25" s="477"/>
      <c r="X25" s="477"/>
      <c r="Y25" s="477"/>
      <c r="Z25" s="477"/>
      <c r="AA25" s="477"/>
      <c r="AB25" s="477"/>
      <c r="AC25" s="477"/>
      <c r="AD25" s="477"/>
      <c r="AE25" s="477"/>
      <c r="AF25" s="477"/>
      <c r="AG25" s="477"/>
      <c r="AH25" s="477"/>
      <c r="AI25" s="477"/>
      <c r="AJ25" s="477"/>
      <c r="AK25" s="477"/>
      <c r="AL25" s="477"/>
      <c r="AM25" s="477"/>
      <c r="AN25" s="477"/>
      <c r="AO25" s="477"/>
      <c r="AP25" s="477"/>
      <c r="AQ25" s="477"/>
      <c r="AR25" s="477"/>
      <c r="AS25" s="477"/>
      <c r="AT25" s="477"/>
      <c r="AU25" s="477"/>
      <c r="AV25" s="477"/>
    </row>
    <row r="26" spans="2:48" ht="13.5" thickBot="1" x14ac:dyDescent="0.25">
      <c r="C26" s="477"/>
      <c r="D26" s="477" t="s">
        <v>32</v>
      </c>
      <c r="E26" s="477"/>
      <c r="F26" s="477" t="s">
        <v>127</v>
      </c>
      <c r="G26" s="477"/>
      <c r="H26" s="477"/>
      <c r="I26" s="477"/>
      <c r="J26" s="477"/>
      <c r="K26" s="477"/>
      <c r="L26" s="477"/>
      <c r="M26" s="477"/>
      <c r="N26" s="1139"/>
      <c r="O26" s="1140"/>
      <c r="P26" s="477"/>
      <c r="Q26" s="477"/>
      <c r="R26" s="477"/>
      <c r="S26" s="477"/>
      <c r="T26" s="477"/>
      <c r="U26" s="477"/>
      <c r="V26" s="477"/>
      <c r="W26" s="477"/>
      <c r="X26" s="477"/>
      <c r="Y26" s="477"/>
      <c r="Z26" s="477" t="s">
        <v>115</v>
      </c>
      <c r="AA26" s="477"/>
      <c r="AB26" s="477" t="s">
        <v>128</v>
      </c>
      <c r="AC26" s="477"/>
      <c r="AD26" s="477"/>
      <c r="AE26" s="477"/>
      <c r="AF26" s="477"/>
      <c r="AG26" s="477"/>
      <c r="AH26" s="477"/>
      <c r="AI26" s="477"/>
      <c r="AJ26" s="477"/>
      <c r="AK26" s="477"/>
      <c r="AL26" s="477"/>
      <c r="AM26" s="477"/>
      <c r="AN26" s="1139"/>
      <c r="AO26" s="1140"/>
      <c r="AP26" s="477"/>
      <c r="AQ26" s="477"/>
      <c r="AR26" s="477"/>
      <c r="AS26" s="477"/>
      <c r="AT26" s="477"/>
      <c r="AU26" s="477"/>
      <c r="AV26" s="477"/>
    </row>
    <row r="27" spans="2:48" ht="6" customHeight="1" thickBot="1" x14ac:dyDescent="0.25">
      <c r="C27" s="477"/>
      <c r="D27" s="477"/>
      <c r="E27" s="477"/>
      <c r="F27" s="477"/>
      <c r="G27" s="477"/>
      <c r="H27" s="477"/>
      <c r="I27" s="477"/>
      <c r="J27" s="477"/>
      <c r="K27" s="477"/>
      <c r="L27" s="477"/>
      <c r="M27" s="477"/>
      <c r="N27" s="477"/>
      <c r="O27" s="477"/>
      <c r="P27" s="477"/>
      <c r="Q27" s="477"/>
      <c r="R27" s="477"/>
      <c r="S27" s="477"/>
      <c r="T27" s="477"/>
      <c r="U27" s="477"/>
      <c r="V27" s="477"/>
      <c r="W27" s="477"/>
      <c r="X27" s="477"/>
      <c r="Y27" s="477"/>
      <c r="Z27" s="477"/>
      <c r="AA27" s="477"/>
      <c r="AB27" s="477"/>
      <c r="AC27" s="477"/>
      <c r="AD27" s="477"/>
      <c r="AE27" s="477"/>
      <c r="AF27" s="477"/>
      <c r="AG27" s="477"/>
      <c r="AH27" s="477"/>
      <c r="AI27" s="477"/>
      <c r="AJ27" s="477"/>
      <c r="AK27" s="477"/>
      <c r="AL27" s="477"/>
      <c r="AM27" s="477"/>
      <c r="AN27" s="477"/>
      <c r="AO27" s="477"/>
      <c r="AP27" s="477"/>
      <c r="AQ27" s="477"/>
      <c r="AR27" s="477"/>
      <c r="AS27" s="477"/>
      <c r="AT27" s="477"/>
      <c r="AU27" s="477"/>
      <c r="AV27" s="477"/>
    </row>
    <row r="28" spans="2:48" ht="13.5" thickBot="1" x14ac:dyDescent="0.25">
      <c r="C28" s="477"/>
      <c r="D28" s="477" t="s">
        <v>100</v>
      </c>
      <c r="E28" s="477"/>
      <c r="F28" s="477" t="s">
        <v>129</v>
      </c>
      <c r="G28" s="477"/>
      <c r="H28" s="477"/>
      <c r="I28" s="477"/>
      <c r="J28" s="477"/>
      <c r="K28" s="477"/>
      <c r="L28" s="477"/>
      <c r="M28" s="477"/>
      <c r="N28" s="1139"/>
      <c r="O28" s="1140"/>
      <c r="P28" s="477"/>
      <c r="Q28" s="477"/>
      <c r="R28" s="477"/>
      <c r="S28" s="477"/>
      <c r="T28" s="477"/>
      <c r="U28" s="477"/>
      <c r="V28" s="477"/>
      <c r="W28" s="477"/>
      <c r="X28" s="477"/>
      <c r="Y28" s="477"/>
      <c r="Z28" s="477" t="s">
        <v>130</v>
      </c>
      <c r="AA28" s="477"/>
      <c r="AB28" s="477" t="s">
        <v>66</v>
      </c>
      <c r="AC28" s="477"/>
      <c r="AD28" s="477"/>
      <c r="AE28" s="477"/>
      <c r="AF28" s="477"/>
      <c r="AG28" s="479"/>
      <c r="AH28" s="479"/>
      <c r="AI28" s="479"/>
      <c r="AJ28" s="479"/>
      <c r="AK28" s="479"/>
      <c r="AL28" s="479"/>
      <c r="AM28" s="479"/>
      <c r="AN28" s="479"/>
      <c r="AO28" s="479"/>
      <c r="AP28" s="479"/>
      <c r="AQ28" s="479"/>
      <c r="AR28" s="479"/>
      <c r="AS28" s="479"/>
      <c r="AT28" s="479"/>
      <c r="AU28" s="479"/>
      <c r="AV28" s="477"/>
    </row>
    <row r="29" spans="2:48" ht="6" customHeight="1" thickBot="1" x14ac:dyDescent="0.25">
      <c r="C29" s="477"/>
      <c r="D29" s="477"/>
      <c r="E29" s="477"/>
      <c r="F29" s="477"/>
      <c r="G29" s="477"/>
      <c r="H29" s="477"/>
      <c r="I29" s="477"/>
      <c r="J29" s="477"/>
      <c r="K29" s="477"/>
      <c r="L29" s="477"/>
      <c r="M29" s="477"/>
      <c r="N29" s="477"/>
      <c r="O29" s="477"/>
      <c r="P29" s="477"/>
      <c r="Q29" s="477"/>
      <c r="R29" s="477"/>
      <c r="S29" s="477"/>
      <c r="T29" s="477"/>
      <c r="U29" s="477"/>
      <c r="V29" s="477"/>
      <c r="W29" s="477"/>
      <c r="X29" s="477"/>
      <c r="Y29" s="477"/>
      <c r="Z29" s="477"/>
      <c r="AA29" s="477"/>
      <c r="AB29" s="477"/>
      <c r="AC29" s="477"/>
      <c r="AD29" s="477"/>
      <c r="AE29" s="477"/>
      <c r="AF29" s="477"/>
      <c r="AG29" s="477"/>
      <c r="AH29" s="477"/>
      <c r="AI29" s="477"/>
      <c r="AJ29" s="477"/>
      <c r="AK29" s="477"/>
      <c r="AL29" s="477"/>
      <c r="AM29" s="477"/>
      <c r="AN29" s="477"/>
      <c r="AO29" s="477"/>
      <c r="AP29" s="477"/>
      <c r="AQ29" s="477"/>
      <c r="AR29" s="477"/>
      <c r="AS29" s="477"/>
      <c r="AT29" s="477"/>
      <c r="AU29" s="477"/>
      <c r="AV29" s="477"/>
    </row>
    <row r="30" spans="2:48" ht="13.5" thickBot="1" x14ac:dyDescent="0.25">
      <c r="C30" s="477"/>
      <c r="D30" s="477" t="s">
        <v>106</v>
      </c>
      <c r="E30" s="477"/>
      <c r="F30" s="477" t="s">
        <v>131</v>
      </c>
      <c r="G30" s="477"/>
      <c r="H30" s="477"/>
      <c r="I30" s="477"/>
      <c r="J30" s="477"/>
      <c r="K30" s="477"/>
      <c r="L30" s="477"/>
      <c r="M30" s="477"/>
      <c r="N30" s="1139"/>
      <c r="O30" s="1140"/>
      <c r="P30" s="477"/>
      <c r="Q30" s="477"/>
      <c r="R30" s="477"/>
      <c r="S30" s="477"/>
      <c r="T30" s="477"/>
      <c r="U30" s="477"/>
      <c r="V30" s="477"/>
      <c r="W30" s="477"/>
      <c r="X30" s="477"/>
      <c r="Y30" s="477"/>
      <c r="Z30" s="477"/>
      <c r="AA30" s="477"/>
      <c r="AB30" s="477"/>
      <c r="AC30" s="477"/>
      <c r="AD30" s="477"/>
      <c r="AE30" s="477"/>
      <c r="AF30" s="477"/>
      <c r="AG30" s="477"/>
      <c r="AH30" s="477"/>
      <c r="AI30" s="477"/>
      <c r="AJ30" s="477"/>
      <c r="AK30" s="477"/>
      <c r="AL30" s="477"/>
      <c r="AM30" s="477"/>
      <c r="AN30" s="477"/>
      <c r="AO30" s="477"/>
      <c r="AP30" s="477"/>
      <c r="AQ30" s="477"/>
      <c r="AR30" s="477"/>
      <c r="AS30" s="477"/>
      <c r="AT30" s="477"/>
      <c r="AU30" s="477"/>
      <c r="AV30" s="477"/>
    </row>
    <row r="31" spans="2:48" ht="5.25" customHeight="1" x14ac:dyDescent="0.2">
      <c r="C31" s="477"/>
      <c r="D31" s="477"/>
      <c r="E31" s="477"/>
      <c r="F31" s="477"/>
      <c r="G31" s="477"/>
      <c r="H31" s="477"/>
      <c r="I31" s="477"/>
      <c r="J31" s="477"/>
      <c r="K31" s="477"/>
      <c r="L31" s="477"/>
      <c r="M31" s="477"/>
      <c r="N31" s="477"/>
      <c r="O31" s="477"/>
      <c r="P31" s="477"/>
      <c r="Q31" s="477"/>
      <c r="R31" s="477"/>
      <c r="S31" s="477"/>
      <c r="T31" s="477"/>
      <c r="U31" s="477"/>
      <c r="V31" s="477"/>
      <c r="W31" s="477"/>
      <c r="X31" s="477"/>
      <c r="Y31" s="477"/>
      <c r="Z31" s="477"/>
      <c r="AA31" s="477"/>
      <c r="AB31" s="477"/>
      <c r="AC31" s="477"/>
      <c r="AD31" s="477"/>
      <c r="AE31" s="477"/>
      <c r="AF31" s="477"/>
      <c r="AG31" s="477"/>
      <c r="AH31" s="477"/>
      <c r="AI31" s="477"/>
      <c r="AJ31" s="477"/>
      <c r="AK31" s="477"/>
      <c r="AL31" s="477"/>
      <c r="AM31" s="477"/>
      <c r="AN31" s="477"/>
      <c r="AO31" s="477"/>
      <c r="AP31" s="477"/>
      <c r="AQ31" s="477"/>
      <c r="AR31" s="477"/>
      <c r="AS31" s="477"/>
      <c r="AT31" s="477"/>
      <c r="AU31" s="477"/>
      <c r="AV31" s="477"/>
    </row>
    <row r="32" spans="2:48" s="94" customFormat="1" x14ac:dyDescent="0.2">
      <c r="B32" s="94" t="s">
        <v>63</v>
      </c>
      <c r="C32" s="478"/>
      <c r="D32" s="478" t="s">
        <v>132</v>
      </c>
      <c r="E32" s="478"/>
      <c r="F32" s="478"/>
      <c r="G32" s="478"/>
      <c r="H32" s="478"/>
      <c r="I32" s="478"/>
      <c r="J32" s="478"/>
      <c r="K32" s="478"/>
      <c r="L32" s="478"/>
      <c r="M32" s="478"/>
      <c r="N32" s="478"/>
      <c r="O32" s="478"/>
      <c r="P32" s="478"/>
      <c r="Q32" s="478"/>
      <c r="R32" s="478"/>
      <c r="S32" s="478"/>
      <c r="T32" s="478"/>
      <c r="U32" s="478"/>
      <c r="V32" s="478"/>
      <c r="W32" s="478"/>
      <c r="X32" s="478"/>
      <c r="Y32" s="478"/>
      <c r="Z32" s="478"/>
      <c r="AA32" s="478"/>
      <c r="AB32" s="478"/>
      <c r="AC32" s="478"/>
      <c r="AD32" s="478"/>
      <c r="AE32" s="478"/>
      <c r="AF32" s="478"/>
      <c r="AG32" s="478"/>
      <c r="AH32" s="478"/>
      <c r="AI32" s="478"/>
      <c r="AJ32" s="478"/>
      <c r="AK32" s="478"/>
      <c r="AL32" s="478"/>
      <c r="AM32" s="478"/>
      <c r="AN32" s="478"/>
      <c r="AO32" s="478"/>
      <c r="AP32" s="478"/>
      <c r="AQ32" s="478"/>
      <c r="AR32" s="478"/>
      <c r="AS32" s="478"/>
      <c r="AT32" s="478"/>
      <c r="AU32" s="478"/>
      <c r="AV32" s="478"/>
    </row>
    <row r="33" spans="2:48" ht="4.5" customHeight="1" thickBot="1" x14ac:dyDescent="0.25">
      <c r="C33" s="477"/>
      <c r="D33" s="477"/>
      <c r="E33" s="477"/>
      <c r="F33" s="477"/>
      <c r="G33" s="477"/>
      <c r="H33" s="477"/>
      <c r="I33" s="477"/>
      <c r="J33" s="477"/>
      <c r="K33" s="477"/>
      <c r="L33" s="477"/>
      <c r="M33" s="477"/>
      <c r="N33" s="477"/>
      <c r="O33" s="477"/>
      <c r="P33" s="477"/>
      <c r="Q33" s="477"/>
      <c r="R33" s="477"/>
      <c r="S33" s="477"/>
      <c r="T33" s="477"/>
      <c r="U33" s="477"/>
      <c r="V33" s="477"/>
      <c r="W33" s="477"/>
      <c r="X33" s="477"/>
      <c r="Y33" s="477"/>
      <c r="Z33" s="477"/>
      <c r="AA33" s="477"/>
      <c r="AB33" s="477"/>
      <c r="AC33" s="477"/>
      <c r="AD33" s="477"/>
      <c r="AE33" s="477"/>
      <c r="AF33" s="477"/>
      <c r="AG33" s="477"/>
      <c r="AH33" s="477"/>
      <c r="AI33" s="477"/>
      <c r="AJ33" s="477"/>
      <c r="AK33" s="477"/>
      <c r="AL33" s="477"/>
      <c r="AM33" s="477"/>
      <c r="AN33" s="477"/>
      <c r="AO33" s="477"/>
      <c r="AP33" s="477"/>
      <c r="AQ33" s="477"/>
      <c r="AR33" s="477"/>
      <c r="AS33" s="477"/>
      <c r="AT33" s="477"/>
      <c r="AU33" s="477"/>
      <c r="AV33" s="477"/>
    </row>
    <row r="34" spans="2:48" ht="13.5" thickBot="1" x14ac:dyDescent="0.25">
      <c r="C34" s="477"/>
      <c r="D34" s="477"/>
      <c r="E34" s="477"/>
      <c r="F34" s="477"/>
      <c r="G34" s="477"/>
      <c r="H34" s="477"/>
      <c r="I34" s="477"/>
      <c r="J34" s="477"/>
      <c r="K34" s="477" t="s">
        <v>133</v>
      </c>
      <c r="L34" s="477"/>
      <c r="M34" s="477"/>
      <c r="N34" s="1139"/>
      <c r="O34" s="1140"/>
      <c r="P34" s="477"/>
      <c r="Q34" s="477"/>
      <c r="R34" s="477"/>
      <c r="S34" s="477"/>
      <c r="T34" s="477"/>
      <c r="U34" s="477"/>
      <c r="V34" s="477"/>
      <c r="W34" s="477"/>
      <c r="X34" s="477"/>
      <c r="Y34" s="477"/>
      <c r="Z34" s="477"/>
      <c r="AA34" s="477" t="s">
        <v>134</v>
      </c>
      <c r="AB34" s="477"/>
      <c r="AC34" s="477"/>
      <c r="AD34" s="477"/>
      <c r="AE34" s="1139"/>
      <c r="AF34" s="1140"/>
      <c r="AG34" s="477"/>
      <c r="AH34" s="477"/>
      <c r="AI34" s="477"/>
      <c r="AJ34" s="477"/>
      <c r="AK34" s="477"/>
      <c r="AL34" s="477"/>
      <c r="AM34" s="477"/>
      <c r="AN34" s="477"/>
      <c r="AO34" s="477"/>
      <c r="AP34" s="477"/>
      <c r="AQ34" s="477"/>
      <c r="AR34" s="477"/>
      <c r="AS34" s="477"/>
      <c r="AT34" s="477"/>
      <c r="AU34" s="477"/>
      <c r="AV34" s="477"/>
    </row>
    <row r="35" spans="2:48" ht="5.25" customHeight="1" x14ac:dyDescent="0.2">
      <c r="C35" s="477"/>
      <c r="D35" s="477"/>
      <c r="E35" s="477"/>
      <c r="F35" s="477"/>
      <c r="G35" s="477"/>
      <c r="H35" s="477"/>
      <c r="I35" s="477"/>
      <c r="J35" s="477"/>
      <c r="K35" s="477"/>
      <c r="L35" s="477"/>
      <c r="M35" s="477"/>
      <c r="N35" s="477"/>
      <c r="O35" s="477"/>
      <c r="P35" s="477"/>
      <c r="Q35" s="477"/>
      <c r="R35" s="477"/>
      <c r="S35" s="477"/>
      <c r="T35" s="477"/>
      <c r="U35" s="477"/>
      <c r="V35" s="477"/>
      <c r="W35" s="477"/>
      <c r="X35" s="477"/>
      <c r="Y35" s="477"/>
      <c r="Z35" s="477"/>
      <c r="AA35" s="477"/>
      <c r="AB35" s="477"/>
      <c r="AC35" s="477"/>
      <c r="AD35" s="477"/>
      <c r="AE35" s="477"/>
      <c r="AF35" s="477"/>
      <c r="AG35" s="477"/>
      <c r="AH35" s="477"/>
      <c r="AI35" s="477"/>
      <c r="AJ35" s="477"/>
      <c r="AK35" s="477"/>
      <c r="AL35" s="477"/>
      <c r="AM35" s="477"/>
      <c r="AN35" s="477"/>
      <c r="AO35" s="477"/>
      <c r="AP35" s="477"/>
      <c r="AQ35" s="477"/>
      <c r="AR35" s="477"/>
      <c r="AS35" s="477"/>
      <c r="AT35" s="477"/>
      <c r="AU35" s="477"/>
      <c r="AV35" s="477"/>
    </row>
    <row r="36" spans="2:48" s="94" customFormat="1" x14ac:dyDescent="0.2">
      <c r="B36" s="94" t="s">
        <v>64</v>
      </c>
      <c r="C36" s="478"/>
      <c r="D36" s="478" t="s">
        <v>135</v>
      </c>
      <c r="E36" s="478"/>
      <c r="F36" s="478"/>
      <c r="G36" s="478"/>
      <c r="H36" s="478"/>
      <c r="I36" s="478"/>
      <c r="J36" s="478"/>
      <c r="K36" s="478"/>
      <c r="L36" s="478"/>
      <c r="M36" s="478"/>
      <c r="N36" s="478"/>
      <c r="O36" s="478"/>
      <c r="P36" s="478"/>
      <c r="Q36" s="478"/>
      <c r="R36" s="478"/>
      <c r="S36" s="478"/>
      <c r="T36" s="478"/>
      <c r="U36" s="478"/>
      <c r="V36" s="478"/>
      <c r="W36" s="478"/>
      <c r="X36" s="478"/>
      <c r="Y36" s="478"/>
      <c r="Z36" s="478"/>
      <c r="AA36" s="478"/>
      <c r="AB36" s="478"/>
      <c r="AC36" s="478"/>
      <c r="AD36" s="478"/>
      <c r="AE36" s="478"/>
      <c r="AF36" s="478"/>
      <c r="AG36" s="478"/>
      <c r="AH36" s="478"/>
      <c r="AI36" s="478"/>
      <c r="AJ36" s="478"/>
      <c r="AK36" s="478"/>
      <c r="AL36" s="478"/>
      <c r="AM36" s="478"/>
      <c r="AN36" s="478"/>
      <c r="AO36" s="478"/>
      <c r="AP36" s="478"/>
      <c r="AQ36" s="478"/>
      <c r="AR36" s="478"/>
      <c r="AS36" s="478"/>
      <c r="AT36" s="478"/>
      <c r="AU36" s="478"/>
      <c r="AV36" s="478"/>
    </row>
    <row r="37" spans="2:48" ht="4.5" customHeight="1" thickBot="1" x14ac:dyDescent="0.25">
      <c r="C37" s="477"/>
      <c r="D37" s="477"/>
      <c r="E37" s="477"/>
      <c r="F37" s="477"/>
      <c r="G37" s="477"/>
      <c r="H37" s="477"/>
      <c r="I37" s="477"/>
      <c r="J37" s="477"/>
      <c r="K37" s="477"/>
      <c r="L37" s="477"/>
      <c r="M37" s="477"/>
      <c r="N37" s="477"/>
      <c r="O37" s="477"/>
      <c r="P37" s="477"/>
      <c r="Q37" s="477"/>
      <c r="R37" s="477"/>
      <c r="S37" s="477"/>
      <c r="T37" s="477"/>
      <c r="U37" s="477"/>
      <c r="V37" s="477"/>
      <c r="W37" s="477"/>
      <c r="X37" s="477"/>
      <c r="Y37" s="477"/>
      <c r="Z37" s="477"/>
      <c r="AA37" s="477"/>
      <c r="AB37" s="477"/>
      <c r="AC37" s="477"/>
      <c r="AD37" s="477"/>
      <c r="AE37" s="477"/>
      <c r="AF37" s="477"/>
      <c r="AG37" s="477"/>
      <c r="AH37" s="477"/>
      <c r="AI37" s="477"/>
      <c r="AJ37" s="477"/>
      <c r="AK37" s="477"/>
      <c r="AL37" s="477"/>
      <c r="AM37" s="477"/>
      <c r="AN37" s="477"/>
      <c r="AO37" s="477"/>
      <c r="AP37" s="477"/>
      <c r="AQ37" s="477"/>
      <c r="AR37" s="477"/>
      <c r="AS37" s="477"/>
      <c r="AT37" s="477"/>
      <c r="AU37" s="477"/>
      <c r="AV37" s="477"/>
    </row>
    <row r="38" spans="2:48" ht="13.5" thickBot="1" x14ac:dyDescent="0.25">
      <c r="C38" s="477"/>
      <c r="D38" s="477"/>
      <c r="E38" s="477"/>
      <c r="F38" s="477"/>
      <c r="G38" s="477"/>
      <c r="H38" s="477"/>
      <c r="I38" s="477"/>
      <c r="J38" s="477"/>
      <c r="K38" s="477" t="s">
        <v>133</v>
      </c>
      <c r="L38" s="477"/>
      <c r="M38" s="477"/>
      <c r="N38" s="1139"/>
      <c r="O38" s="1140"/>
      <c r="P38" s="477"/>
      <c r="Q38" s="477"/>
      <c r="R38" s="477"/>
      <c r="S38" s="477"/>
      <c r="T38" s="477"/>
      <c r="U38" s="477"/>
      <c r="V38" s="477"/>
      <c r="W38" s="477"/>
      <c r="X38" s="477"/>
      <c r="Y38" s="477"/>
      <c r="Z38" s="477"/>
      <c r="AA38" s="477" t="s">
        <v>134</v>
      </c>
      <c r="AB38" s="477"/>
      <c r="AC38" s="477"/>
      <c r="AD38" s="477"/>
      <c r="AE38" s="1139"/>
      <c r="AF38" s="1140"/>
      <c r="AG38" s="477"/>
      <c r="AH38" s="477"/>
      <c r="AI38" s="477"/>
      <c r="AJ38" s="477"/>
      <c r="AK38" s="477"/>
      <c r="AL38" s="477"/>
      <c r="AM38" s="477"/>
      <c r="AN38" s="477"/>
      <c r="AO38" s="477"/>
      <c r="AP38" s="477"/>
      <c r="AQ38" s="477"/>
      <c r="AR38" s="477"/>
      <c r="AS38" s="477"/>
      <c r="AT38" s="477"/>
      <c r="AU38" s="477"/>
      <c r="AV38" s="477"/>
    </row>
    <row r="39" spans="2:48" ht="5.25" customHeight="1" x14ac:dyDescent="0.2">
      <c r="C39" s="477"/>
      <c r="D39" s="477"/>
      <c r="E39" s="477"/>
      <c r="F39" s="477"/>
      <c r="G39" s="477"/>
      <c r="H39" s="477"/>
      <c r="I39" s="477"/>
      <c r="J39" s="477"/>
      <c r="K39" s="477"/>
      <c r="L39" s="477"/>
      <c r="M39" s="477"/>
      <c r="N39" s="477"/>
      <c r="O39" s="477"/>
      <c r="P39" s="477"/>
      <c r="Q39" s="477"/>
      <c r="R39" s="477"/>
      <c r="S39" s="477"/>
      <c r="T39" s="477"/>
      <c r="U39" s="477"/>
      <c r="V39" s="477"/>
      <c r="W39" s="477"/>
      <c r="X39" s="477"/>
      <c r="Y39" s="477"/>
      <c r="Z39" s="477"/>
      <c r="AA39" s="477"/>
      <c r="AB39" s="477"/>
      <c r="AC39" s="477"/>
      <c r="AD39" s="477"/>
      <c r="AE39" s="477"/>
      <c r="AF39" s="477"/>
      <c r="AG39" s="477"/>
      <c r="AH39" s="477"/>
      <c r="AI39" s="477"/>
      <c r="AJ39" s="477"/>
      <c r="AK39" s="477"/>
      <c r="AL39" s="477"/>
      <c r="AM39" s="477"/>
      <c r="AN39" s="477"/>
      <c r="AO39" s="477"/>
      <c r="AP39" s="477"/>
      <c r="AQ39" s="477"/>
      <c r="AR39" s="477"/>
      <c r="AS39" s="477"/>
      <c r="AT39" s="477"/>
      <c r="AU39" s="477"/>
      <c r="AV39" s="477"/>
    </row>
    <row r="40" spans="2:48" s="94" customFormat="1" x14ac:dyDescent="0.2">
      <c r="C40" s="478"/>
      <c r="D40" s="478" t="s">
        <v>136</v>
      </c>
      <c r="E40" s="478"/>
      <c r="F40" s="478"/>
      <c r="G40" s="478"/>
      <c r="H40" s="478"/>
      <c r="I40" s="478"/>
      <c r="J40" s="478"/>
      <c r="K40" s="478"/>
      <c r="L40" s="478"/>
      <c r="M40" s="478"/>
      <c r="N40" s="478"/>
      <c r="O40" s="478"/>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8"/>
      <c r="AN40" s="478"/>
      <c r="AO40" s="478"/>
      <c r="AP40" s="478"/>
      <c r="AQ40" s="478"/>
      <c r="AR40" s="478"/>
      <c r="AS40" s="478"/>
      <c r="AT40" s="478"/>
      <c r="AU40" s="478"/>
      <c r="AV40" s="478"/>
    </row>
    <row r="41" spans="2:48" ht="4.5" customHeight="1" thickBot="1" x14ac:dyDescent="0.25">
      <c r="C41" s="477"/>
      <c r="D41" s="477"/>
      <c r="E41" s="477"/>
      <c r="F41" s="477"/>
      <c r="G41" s="477"/>
      <c r="H41" s="477"/>
      <c r="I41" s="477"/>
      <c r="J41" s="477"/>
      <c r="K41" s="477"/>
      <c r="L41" s="477"/>
      <c r="M41" s="477"/>
      <c r="N41" s="477"/>
      <c r="O41" s="477"/>
      <c r="P41" s="477"/>
      <c r="Q41" s="477"/>
      <c r="R41" s="477"/>
      <c r="S41" s="477"/>
      <c r="T41" s="477"/>
      <c r="U41" s="477"/>
      <c r="V41" s="477"/>
      <c r="W41" s="477"/>
      <c r="X41" s="477"/>
      <c r="Y41" s="477"/>
      <c r="Z41" s="477"/>
      <c r="AA41" s="477"/>
      <c r="AB41" s="477"/>
      <c r="AC41" s="477"/>
      <c r="AD41" s="477"/>
      <c r="AE41" s="477"/>
      <c r="AF41" s="477"/>
      <c r="AG41" s="477"/>
      <c r="AH41" s="477"/>
      <c r="AI41" s="477"/>
      <c r="AJ41" s="477"/>
      <c r="AK41" s="477"/>
      <c r="AL41" s="477"/>
      <c r="AM41" s="477"/>
      <c r="AN41" s="477"/>
      <c r="AO41" s="477"/>
      <c r="AP41" s="477"/>
      <c r="AQ41" s="477"/>
      <c r="AR41" s="477"/>
      <c r="AS41" s="477"/>
      <c r="AT41" s="477"/>
      <c r="AU41" s="477"/>
      <c r="AV41" s="477"/>
    </row>
    <row r="42" spans="2:48" ht="13.5" thickBot="1" x14ac:dyDescent="0.25">
      <c r="C42" s="477"/>
      <c r="D42" s="477"/>
      <c r="E42" s="477"/>
      <c r="F42" s="477"/>
      <c r="G42" s="477"/>
      <c r="H42" s="477"/>
      <c r="I42" s="477"/>
      <c r="J42" s="477"/>
      <c r="K42" s="477" t="s">
        <v>133</v>
      </c>
      <c r="L42" s="477"/>
      <c r="M42" s="477"/>
      <c r="N42" s="1139"/>
      <c r="O42" s="1140"/>
      <c r="P42" s="477"/>
      <c r="Q42" s="477"/>
      <c r="R42" s="477"/>
      <c r="S42" s="477"/>
      <c r="T42" s="477"/>
      <c r="U42" s="477"/>
      <c r="V42" s="477"/>
      <c r="W42" s="477"/>
      <c r="X42" s="477"/>
      <c r="Y42" s="477"/>
      <c r="Z42" s="477"/>
      <c r="AA42" s="477" t="s">
        <v>134</v>
      </c>
      <c r="AB42" s="477"/>
      <c r="AC42" s="477"/>
      <c r="AD42" s="477"/>
      <c r="AE42" s="1139"/>
      <c r="AF42" s="1140"/>
      <c r="AG42" s="477"/>
      <c r="AH42" s="477"/>
      <c r="AI42" s="477"/>
      <c r="AJ42" s="477"/>
      <c r="AK42" s="477"/>
      <c r="AL42" s="477"/>
      <c r="AM42" s="477"/>
      <c r="AN42" s="477"/>
      <c r="AO42" s="477"/>
      <c r="AP42" s="477"/>
      <c r="AQ42" s="477"/>
      <c r="AR42" s="477"/>
      <c r="AS42" s="477"/>
      <c r="AT42" s="477"/>
      <c r="AU42" s="477"/>
      <c r="AV42" s="477"/>
    </row>
    <row r="43" spans="2:48" ht="5.25" customHeight="1" x14ac:dyDescent="0.2">
      <c r="C43" s="477"/>
      <c r="D43" s="477"/>
      <c r="E43" s="477"/>
      <c r="F43" s="477"/>
      <c r="G43" s="477"/>
      <c r="H43" s="477"/>
      <c r="I43" s="477"/>
      <c r="J43" s="477"/>
      <c r="K43" s="477"/>
      <c r="L43" s="477"/>
      <c r="M43" s="477"/>
      <c r="N43" s="477"/>
      <c r="O43" s="477"/>
      <c r="P43" s="477"/>
      <c r="Q43" s="477"/>
      <c r="R43" s="477"/>
      <c r="S43" s="477"/>
      <c r="T43" s="477"/>
      <c r="U43" s="477"/>
      <c r="V43" s="477"/>
      <c r="W43" s="477"/>
      <c r="X43" s="477"/>
      <c r="Y43" s="477"/>
      <c r="Z43" s="477"/>
      <c r="AA43" s="477"/>
      <c r="AB43" s="477"/>
      <c r="AC43" s="477"/>
      <c r="AD43" s="477"/>
      <c r="AE43" s="477"/>
      <c r="AF43" s="477"/>
      <c r="AG43" s="477"/>
      <c r="AH43" s="477"/>
      <c r="AI43" s="477"/>
      <c r="AJ43" s="477"/>
      <c r="AK43" s="477"/>
      <c r="AL43" s="477"/>
      <c r="AM43" s="477"/>
      <c r="AN43" s="477"/>
      <c r="AO43" s="477"/>
      <c r="AP43" s="477"/>
      <c r="AQ43" s="477"/>
      <c r="AR43" s="477"/>
      <c r="AS43" s="477"/>
      <c r="AT43" s="477"/>
      <c r="AU43" s="477"/>
      <c r="AV43" s="477"/>
    </row>
    <row r="44" spans="2:48" s="94" customFormat="1" x14ac:dyDescent="0.2">
      <c r="B44" s="94" t="s">
        <v>65</v>
      </c>
      <c r="C44" s="478"/>
      <c r="D44" s="478" t="s">
        <v>137</v>
      </c>
      <c r="E44" s="478"/>
      <c r="F44" s="478"/>
      <c r="G44" s="478"/>
      <c r="H44" s="478"/>
      <c r="I44" s="478"/>
      <c r="J44" s="478"/>
      <c r="K44" s="478"/>
      <c r="L44" s="478"/>
      <c r="M44" s="478"/>
      <c r="N44" s="478"/>
      <c r="O44" s="478"/>
      <c r="P44" s="478"/>
      <c r="Q44" s="478"/>
      <c r="R44" s="478"/>
      <c r="S44" s="478"/>
      <c r="T44" s="478"/>
      <c r="U44" s="478"/>
      <c r="V44" s="478"/>
      <c r="W44" s="478"/>
      <c r="X44" s="478"/>
      <c r="Y44" s="478"/>
      <c r="Z44" s="478"/>
      <c r="AA44" s="478"/>
      <c r="AB44" s="478"/>
      <c r="AC44" s="478"/>
      <c r="AD44" s="478"/>
      <c r="AE44" s="478"/>
      <c r="AF44" s="478"/>
      <c r="AG44" s="478"/>
      <c r="AH44" s="478"/>
      <c r="AI44" s="478"/>
      <c r="AJ44" s="478"/>
      <c r="AK44" s="478"/>
      <c r="AL44" s="478"/>
      <c r="AM44" s="478"/>
      <c r="AN44" s="478"/>
      <c r="AO44" s="478"/>
      <c r="AP44" s="478"/>
      <c r="AQ44" s="478"/>
      <c r="AR44" s="478"/>
      <c r="AS44" s="478"/>
      <c r="AT44" s="478"/>
      <c r="AU44" s="478"/>
      <c r="AV44" s="478"/>
    </row>
    <row r="45" spans="2:48" ht="4.5" customHeight="1" thickBot="1" x14ac:dyDescent="0.25">
      <c r="C45" s="477"/>
      <c r="D45" s="477"/>
      <c r="E45" s="477"/>
      <c r="F45" s="477"/>
      <c r="G45" s="477"/>
      <c r="H45" s="477"/>
      <c r="I45" s="477"/>
      <c r="J45" s="477"/>
      <c r="K45" s="477"/>
      <c r="L45" s="477"/>
      <c r="M45" s="477"/>
      <c r="N45" s="477"/>
      <c r="O45" s="477"/>
      <c r="P45" s="477"/>
      <c r="Q45" s="477"/>
      <c r="R45" s="477"/>
      <c r="S45" s="477"/>
      <c r="T45" s="477"/>
      <c r="U45" s="477"/>
      <c r="V45" s="477"/>
      <c r="W45" s="477"/>
      <c r="X45" s="477"/>
      <c r="Y45" s="477"/>
      <c r="Z45" s="477"/>
      <c r="AA45" s="477"/>
      <c r="AB45" s="477"/>
      <c r="AC45" s="477"/>
      <c r="AD45" s="477"/>
      <c r="AE45" s="477"/>
      <c r="AF45" s="477"/>
      <c r="AG45" s="477"/>
      <c r="AH45" s="477"/>
      <c r="AI45" s="477"/>
      <c r="AJ45" s="477"/>
      <c r="AK45" s="477"/>
      <c r="AL45" s="477"/>
      <c r="AM45" s="477"/>
      <c r="AN45" s="477"/>
      <c r="AO45" s="477"/>
      <c r="AP45" s="477"/>
      <c r="AQ45" s="477"/>
      <c r="AR45" s="477"/>
      <c r="AS45" s="477"/>
      <c r="AT45" s="477"/>
      <c r="AU45" s="477"/>
      <c r="AV45" s="477"/>
    </row>
    <row r="46" spans="2:48" ht="13.5" thickBot="1" x14ac:dyDescent="0.25">
      <c r="C46" s="477"/>
      <c r="D46" s="477"/>
      <c r="E46" s="477"/>
      <c r="F46" s="477"/>
      <c r="G46" s="477"/>
      <c r="H46" s="477"/>
      <c r="I46" s="477"/>
      <c r="J46" s="477"/>
      <c r="K46" s="477" t="s">
        <v>133</v>
      </c>
      <c r="L46" s="477"/>
      <c r="M46" s="477"/>
      <c r="N46" s="1139"/>
      <c r="O46" s="1140"/>
      <c r="P46" s="477"/>
      <c r="Q46" s="477"/>
      <c r="R46" s="477"/>
      <c r="S46" s="477"/>
      <c r="T46" s="477"/>
      <c r="U46" s="477"/>
      <c r="V46" s="477"/>
      <c r="W46" s="477"/>
      <c r="X46" s="477"/>
      <c r="Y46" s="477"/>
      <c r="Z46" s="477"/>
      <c r="AA46" s="477" t="s">
        <v>134</v>
      </c>
      <c r="AB46" s="477"/>
      <c r="AC46" s="477"/>
      <c r="AD46" s="477"/>
      <c r="AE46" s="1139"/>
      <c r="AF46" s="1140"/>
      <c r="AG46" s="477"/>
      <c r="AH46" s="477"/>
      <c r="AI46" s="477"/>
      <c r="AJ46" s="477"/>
      <c r="AK46" s="477"/>
      <c r="AL46" s="477"/>
      <c r="AM46" s="477"/>
      <c r="AN46" s="477"/>
      <c r="AO46" s="477"/>
      <c r="AP46" s="477"/>
      <c r="AQ46" s="477"/>
      <c r="AR46" s="477"/>
      <c r="AS46" s="477"/>
      <c r="AT46" s="477"/>
      <c r="AU46" s="477"/>
      <c r="AV46" s="477"/>
    </row>
    <row r="47" spans="2:48" ht="5.25" customHeight="1" x14ac:dyDescent="0.2">
      <c r="C47" s="477"/>
      <c r="D47" s="477"/>
      <c r="E47" s="477"/>
      <c r="F47" s="477"/>
      <c r="G47" s="477"/>
      <c r="H47" s="477"/>
      <c r="I47" s="477"/>
      <c r="J47" s="477"/>
      <c r="K47" s="477"/>
      <c r="L47" s="477"/>
      <c r="M47" s="477"/>
      <c r="N47" s="477"/>
      <c r="O47" s="477"/>
      <c r="P47" s="477"/>
      <c r="Q47" s="477"/>
      <c r="R47" s="477"/>
      <c r="S47" s="477"/>
      <c r="T47" s="477"/>
      <c r="U47" s="477"/>
      <c r="V47" s="477"/>
      <c r="W47" s="477"/>
      <c r="X47" s="477"/>
      <c r="Y47" s="477"/>
      <c r="Z47" s="477"/>
      <c r="AA47" s="477"/>
      <c r="AB47" s="477"/>
      <c r="AC47" s="477"/>
      <c r="AD47" s="477"/>
      <c r="AE47" s="477"/>
      <c r="AF47" s="477"/>
      <c r="AG47" s="477"/>
      <c r="AH47" s="477"/>
      <c r="AI47" s="477"/>
      <c r="AJ47" s="477"/>
      <c r="AK47" s="477"/>
      <c r="AL47" s="477"/>
      <c r="AM47" s="477"/>
      <c r="AN47" s="477"/>
      <c r="AO47" s="477"/>
      <c r="AP47" s="477"/>
      <c r="AQ47" s="477"/>
      <c r="AR47" s="477"/>
      <c r="AS47" s="477"/>
      <c r="AT47" s="477"/>
      <c r="AU47" s="477"/>
      <c r="AV47" s="477"/>
    </row>
    <row r="48" spans="2:48" s="94" customFormat="1" x14ac:dyDescent="0.2">
      <c r="B48" s="94" t="s">
        <v>70</v>
      </c>
      <c r="C48" s="478"/>
      <c r="D48" s="478" t="s">
        <v>138</v>
      </c>
      <c r="E48" s="478"/>
      <c r="F48" s="478"/>
      <c r="G48" s="478"/>
      <c r="H48" s="478"/>
      <c r="I48" s="478"/>
      <c r="J48" s="478"/>
      <c r="K48" s="478"/>
      <c r="L48" s="478"/>
      <c r="M48" s="478"/>
      <c r="N48" s="478"/>
      <c r="O48" s="478"/>
      <c r="P48" s="478"/>
      <c r="Q48" s="478"/>
      <c r="R48" s="478"/>
      <c r="S48" s="478"/>
      <c r="T48" s="478"/>
      <c r="U48" s="478"/>
      <c r="V48" s="478"/>
      <c r="W48" s="478"/>
      <c r="X48" s="478"/>
      <c r="Y48" s="478"/>
      <c r="Z48" s="478"/>
      <c r="AA48" s="478"/>
      <c r="AB48" s="478"/>
      <c r="AC48" s="478"/>
      <c r="AD48" s="478"/>
      <c r="AE48" s="478"/>
      <c r="AF48" s="478"/>
      <c r="AG48" s="478"/>
      <c r="AH48" s="478"/>
      <c r="AI48" s="478"/>
      <c r="AJ48" s="478"/>
      <c r="AK48" s="478"/>
      <c r="AL48" s="478"/>
      <c r="AM48" s="478"/>
      <c r="AN48" s="478"/>
      <c r="AO48" s="478"/>
      <c r="AP48" s="478"/>
      <c r="AQ48" s="478"/>
      <c r="AR48" s="478"/>
      <c r="AS48" s="478"/>
      <c r="AT48" s="478"/>
      <c r="AU48" s="478"/>
      <c r="AV48" s="478"/>
    </row>
    <row r="49" spans="2:48" ht="4.5" customHeight="1" thickBot="1" x14ac:dyDescent="0.25">
      <c r="C49" s="477"/>
      <c r="D49" s="477"/>
      <c r="E49" s="477"/>
      <c r="F49" s="477"/>
      <c r="G49" s="477"/>
      <c r="H49" s="477"/>
      <c r="I49" s="477"/>
      <c r="J49" s="477"/>
      <c r="K49" s="477"/>
      <c r="L49" s="477"/>
      <c r="M49" s="477"/>
      <c r="N49" s="477"/>
      <c r="O49" s="477"/>
      <c r="P49" s="477"/>
      <c r="Q49" s="477"/>
      <c r="R49" s="477"/>
      <c r="S49" s="477"/>
      <c r="T49" s="477"/>
      <c r="U49" s="477"/>
      <c r="V49" s="477"/>
      <c r="W49" s="477"/>
      <c r="X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row>
    <row r="50" spans="2:48" ht="13.5" thickBot="1" x14ac:dyDescent="0.25">
      <c r="C50" s="477"/>
      <c r="D50" s="477"/>
      <c r="E50" s="477"/>
      <c r="F50" s="477"/>
      <c r="G50" s="477"/>
      <c r="H50" s="477"/>
      <c r="I50" s="477"/>
      <c r="J50" s="477"/>
      <c r="K50" s="477" t="s">
        <v>133</v>
      </c>
      <c r="L50" s="477"/>
      <c r="M50" s="477"/>
      <c r="N50" s="1139"/>
      <c r="O50" s="1140"/>
      <c r="P50" s="477"/>
      <c r="Q50" s="477"/>
      <c r="R50" s="477"/>
      <c r="S50" s="477"/>
      <c r="T50" s="477"/>
      <c r="U50" s="477"/>
      <c r="V50" s="477"/>
      <c r="W50" s="477"/>
      <c r="X50" s="477"/>
      <c r="Y50" s="477"/>
      <c r="Z50" s="477"/>
      <c r="AA50" s="477" t="s">
        <v>134</v>
      </c>
      <c r="AB50" s="477"/>
      <c r="AC50" s="477"/>
      <c r="AD50" s="477"/>
      <c r="AE50" s="1139"/>
      <c r="AF50" s="1140"/>
      <c r="AG50" s="477"/>
      <c r="AH50" s="477"/>
      <c r="AI50" s="477"/>
      <c r="AJ50" s="477"/>
      <c r="AK50" s="477"/>
      <c r="AL50" s="477"/>
      <c r="AM50" s="477"/>
      <c r="AN50" s="477"/>
      <c r="AO50" s="477"/>
      <c r="AP50" s="477"/>
      <c r="AQ50" s="477"/>
      <c r="AR50" s="477"/>
      <c r="AS50" s="477"/>
      <c r="AT50" s="477"/>
      <c r="AU50" s="477"/>
      <c r="AV50" s="477"/>
    </row>
    <row r="51" spans="2:48" ht="5.25" customHeight="1" x14ac:dyDescent="0.2">
      <c r="C51" s="477"/>
      <c r="D51" s="477"/>
      <c r="E51" s="477"/>
      <c r="F51" s="477"/>
      <c r="G51" s="477"/>
      <c r="H51" s="477"/>
      <c r="I51" s="477"/>
      <c r="J51" s="477"/>
      <c r="K51" s="477"/>
      <c r="L51" s="477"/>
      <c r="M51" s="477"/>
      <c r="N51" s="477"/>
      <c r="O51" s="477"/>
      <c r="P51" s="477"/>
      <c r="Q51" s="477"/>
      <c r="R51" s="477"/>
      <c r="S51" s="477"/>
      <c r="T51" s="477"/>
      <c r="U51" s="477"/>
      <c r="V51" s="477"/>
      <c r="W51" s="477"/>
      <c r="X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row>
    <row r="52" spans="2:48" s="94" customFormat="1" x14ac:dyDescent="0.2">
      <c r="C52" s="478"/>
      <c r="D52" s="478" t="s">
        <v>139</v>
      </c>
      <c r="E52" s="478"/>
      <c r="F52" s="478"/>
      <c r="G52" s="478"/>
      <c r="H52" s="478"/>
      <c r="I52" s="478"/>
      <c r="J52" s="478"/>
      <c r="K52" s="478"/>
      <c r="L52" s="478"/>
      <c r="M52" s="478"/>
      <c r="N52" s="478"/>
      <c r="O52" s="478"/>
      <c r="P52" s="478"/>
      <c r="Q52" s="478"/>
      <c r="R52" s="478"/>
      <c r="S52" s="478"/>
      <c r="T52" s="478"/>
      <c r="U52" s="478"/>
      <c r="V52" s="478"/>
      <c r="W52" s="478"/>
      <c r="X52" s="478"/>
      <c r="Y52" s="478"/>
      <c r="Z52" s="478"/>
      <c r="AA52" s="478"/>
      <c r="AB52" s="478"/>
      <c r="AC52" s="478"/>
      <c r="AD52" s="478"/>
      <c r="AE52" s="478"/>
      <c r="AF52" s="478"/>
      <c r="AG52" s="478"/>
      <c r="AH52" s="478"/>
      <c r="AI52" s="478"/>
      <c r="AJ52" s="478"/>
      <c r="AK52" s="478"/>
      <c r="AL52" s="478"/>
      <c r="AM52" s="478"/>
      <c r="AN52" s="478"/>
      <c r="AO52" s="478"/>
      <c r="AP52" s="478"/>
      <c r="AQ52" s="478"/>
      <c r="AR52" s="478"/>
      <c r="AS52" s="478"/>
      <c r="AT52" s="478"/>
      <c r="AU52" s="478"/>
      <c r="AV52" s="478"/>
    </row>
    <row r="53" spans="2:48" ht="4.5" customHeight="1" x14ac:dyDescent="0.2">
      <c r="C53" s="477"/>
      <c r="D53" s="477"/>
      <c r="E53" s="477"/>
      <c r="F53" s="477"/>
      <c r="G53" s="477"/>
      <c r="H53" s="477"/>
      <c r="I53" s="477"/>
      <c r="J53" s="477"/>
      <c r="K53" s="477"/>
      <c r="L53" s="477"/>
      <c r="M53" s="477"/>
      <c r="N53" s="477"/>
      <c r="O53" s="477"/>
      <c r="P53" s="477"/>
      <c r="Q53" s="477"/>
      <c r="R53" s="477"/>
      <c r="S53" s="477"/>
      <c r="T53" s="477"/>
      <c r="U53" s="477"/>
      <c r="V53" s="477"/>
      <c r="W53" s="477"/>
      <c r="X53" s="477"/>
      <c r="Y53" s="477"/>
      <c r="Z53" s="477"/>
      <c r="AA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row>
    <row r="54" spans="2:48" ht="16.5" customHeight="1" x14ac:dyDescent="0.2">
      <c r="C54" s="477"/>
      <c r="D54" s="1148"/>
      <c r="E54" s="1148"/>
      <c r="F54" s="1148"/>
      <c r="G54" s="1148"/>
      <c r="H54" s="1148"/>
      <c r="I54" s="1148"/>
      <c r="J54" s="1148"/>
      <c r="K54" s="1148"/>
      <c r="L54" s="1148"/>
      <c r="M54" s="1148"/>
      <c r="N54" s="1148"/>
      <c r="O54" s="1148"/>
      <c r="P54" s="1148"/>
      <c r="Q54" s="1148"/>
      <c r="R54" s="1148"/>
      <c r="S54" s="1148"/>
      <c r="T54" s="1148"/>
      <c r="U54" s="1148"/>
      <c r="V54" s="1148"/>
      <c r="W54" s="1148"/>
      <c r="X54" s="1148"/>
      <c r="Y54" s="1148"/>
      <c r="Z54" s="1148"/>
      <c r="AA54" s="1148"/>
      <c r="AB54" s="1148"/>
      <c r="AC54" s="1148"/>
      <c r="AD54" s="1148"/>
      <c r="AE54" s="1148"/>
      <c r="AF54" s="1148"/>
      <c r="AG54" s="1148"/>
      <c r="AH54" s="1148"/>
      <c r="AI54" s="1148"/>
      <c r="AJ54" s="1148"/>
      <c r="AK54" s="1148"/>
      <c r="AL54" s="1148"/>
      <c r="AM54" s="1148"/>
      <c r="AN54" s="1148"/>
      <c r="AO54" s="1148"/>
      <c r="AP54" s="1148"/>
      <c r="AQ54" s="1148"/>
      <c r="AR54" s="1148"/>
      <c r="AS54" s="1148"/>
      <c r="AT54" s="1148"/>
      <c r="AU54" s="1148"/>
      <c r="AV54" s="477"/>
    </row>
    <row r="55" spans="2:48" x14ac:dyDescent="0.2">
      <c r="C55" s="477"/>
      <c r="D55" s="477"/>
      <c r="E55" s="477"/>
      <c r="F55" s="477"/>
      <c r="G55" s="477"/>
      <c r="H55" s="477"/>
      <c r="I55" s="477"/>
      <c r="J55" s="477"/>
      <c r="K55" s="477"/>
      <c r="L55" s="477"/>
      <c r="M55" s="477"/>
      <c r="N55" s="477"/>
      <c r="O55" s="477"/>
      <c r="P55" s="477"/>
      <c r="Q55" s="477"/>
      <c r="R55" s="477"/>
      <c r="S55" s="477"/>
      <c r="T55" s="477"/>
      <c r="U55" s="477"/>
      <c r="V55" s="477"/>
      <c r="W55" s="477"/>
      <c r="X55" s="477"/>
      <c r="Y55" s="477"/>
      <c r="Z55" s="477"/>
      <c r="AA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row>
    <row r="56" spans="2:48" x14ac:dyDescent="0.2">
      <c r="C56" s="477"/>
      <c r="D56" s="478" t="s">
        <v>140</v>
      </c>
      <c r="E56" s="477"/>
      <c r="F56" s="477"/>
      <c r="G56" s="477"/>
      <c r="H56" s="477"/>
      <c r="I56" s="477"/>
      <c r="J56" s="477"/>
      <c r="K56" s="477"/>
      <c r="L56" s="477"/>
      <c r="M56" s="477"/>
      <c r="N56" s="477"/>
      <c r="O56" s="477"/>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row>
    <row r="57" spans="2:48" ht="5.25" customHeight="1" thickBot="1" x14ac:dyDescent="0.25">
      <c r="C57" s="477"/>
      <c r="D57" s="477"/>
      <c r="E57" s="477"/>
      <c r="F57" s="477"/>
      <c r="G57" s="477"/>
      <c r="H57" s="477"/>
      <c r="I57" s="477"/>
      <c r="J57" s="477"/>
      <c r="K57" s="477"/>
      <c r="L57" s="477"/>
      <c r="M57" s="477"/>
      <c r="N57" s="477"/>
      <c r="O57" s="477"/>
      <c r="P57" s="477"/>
      <c r="Q57" s="477"/>
      <c r="R57" s="477"/>
      <c r="S57" s="477"/>
      <c r="T57" s="477"/>
      <c r="U57" s="477"/>
      <c r="V57" s="477"/>
      <c r="W57" s="477"/>
      <c r="X57" s="477"/>
      <c r="Y57" s="477"/>
      <c r="Z57" s="477"/>
      <c r="AA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row>
    <row r="58" spans="2:48" ht="13.5" thickBot="1" x14ac:dyDescent="0.25">
      <c r="C58" s="477"/>
      <c r="D58" s="477"/>
      <c r="E58" s="477"/>
      <c r="F58" s="477"/>
      <c r="G58" s="477"/>
      <c r="H58" s="477"/>
      <c r="I58" s="477"/>
      <c r="J58" s="477"/>
      <c r="K58" s="477" t="s">
        <v>133</v>
      </c>
      <c r="L58" s="477"/>
      <c r="M58" s="477"/>
      <c r="N58" s="480"/>
      <c r="O58" s="481"/>
      <c r="P58" s="477"/>
      <c r="Q58" s="477"/>
      <c r="R58" s="477"/>
      <c r="S58" s="477"/>
      <c r="T58" s="477"/>
      <c r="U58" s="477"/>
      <c r="V58" s="477"/>
      <c r="W58" s="477"/>
      <c r="X58" s="477"/>
      <c r="Y58" s="477"/>
      <c r="Z58" s="477"/>
      <c r="AA58" s="477" t="s">
        <v>134</v>
      </c>
      <c r="AB58" s="477"/>
      <c r="AC58" s="477"/>
      <c r="AD58" s="477"/>
      <c r="AE58" s="1139"/>
      <c r="AF58" s="1140"/>
      <c r="AG58" s="477"/>
      <c r="AH58" s="477"/>
      <c r="AI58" s="477"/>
      <c r="AJ58" s="477"/>
      <c r="AK58" s="477"/>
      <c r="AL58" s="477"/>
      <c r="AM58" s="477"/>
      <c r="AN58" s="477"/>
      <c r="AO58" s="477"/>
      <c r="AP58" s="477"/>
      <c r="AQ58" s="477"/>
      <c r="AR58" s="477"/>
      <c r="AS58" s="477"/>
      <c r="AT58" s="477"/>
      <c r="AU58" s="477"/>
      <c r="AV58" s="477"/>
    </row>
    <row r="59" spans="2:48" ht="7.5" customHeight="1" x14ac:dyDescent="0.2">
      <c r="C59" s="477"/>
      <c r="D59" s="477"/>
      <c r="E59" s="477"/>
      <c r="F59" s="477"/>
      <c r="G59" s="477"/>
      <c r="H59" s="477"/>
      <c r="I59" s="477"/>
      <c r="J59" s="477"/>
      <c r="K59" s="477"/>
      <c r="L59" s="477"/>
      <c r="M59" s="477"/>
      <c r="N59" s="477"/>
      <c r="O59" s="477"/>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row>
    <row r="60" spans="2:48" s="94" customFormat="1" x14ac:dyDescent="0.2">
      <c r="C60" s="478"/>
      <c r="D60" s="478" t="s">
        <v>139</v>
      </c>
      <c r="E60" s="478"/>
      <c r="F60" s="478"/>
      <c r="G60" s="478"/>
      <c r="H60" s="478"/>
      <c r="I60" s="478"/>
      <c r="J60" s="478"/>
      <c r="K60" s="478"/>
      <c r="L60" s="478"/>
      <c r="M60" s="478"/>
      <c r="N60" s="478"/>
      <c r="O60" s="478"/>
      <c r="P60" s="478"/>
      <c r="Q60" s="478"/>
      <c r="R60" s="478"/>
      <c r="S60" s="478"/>
      <c r="T60" s="478"/>
      <c r="U60" s="478"/>
      <c r="V60" s="478"/>
      <c r="W60" s="478"/>
      <c r="X60" s="478"/>
      <c r="Y60" s="478"/>
      <c r="Z60" s="478"/>
      <c r="AA60" s="478"/>
      <c r="AB60" s="478"/>
      <c r="AC60" s="478"/>
      <c r="AD60" s="478"/>
      <c r="AE60" s="478"/>
      <c r="AF60" s="478"/>
      <c r="AG60" s="478"/>
      <c r="AH60" s="478"/>
      <c r="AI60" s="478"/>
      <c r="AJ60" s="478"/>
      <c r="AK60" s="478"/>
      <c r="AL60" s="478"/>
      <c r="AM60" s="478"/>
      <c r="AN60" s="478"/>
      <c r="AO60" s="478"/>
      <c r="AP60" s="478"/>
      <c r="AQ60" s="478"/>
      <c r="AR60" s="478"/>
      <c r="AS60" s="478"/>
      <c r="AT60" s="478"/>
      <c r="AU60" s="478"/>
      <c r="AV60" s="478"/>
    </row>
    <row r="61" spans="2:48" ht="4.5" customHeight="1" x14ac:dyDescent="0.2">
      <c r="C61" s="477"/>
      <c r="D61" s="477"/>
      <c r="E61" s="477"/>
      <c r="F61" s="477"/>
      <c r="G61" s="477"/>
      <c r="H61" s="477"/>
      <c r="I61" s="477"/>
      <c r="J61" s="477"/>
      <c r="K61" s="477"/>
      <c r="L61" s="477"/>
      <c r="M61" s="477"/>
      <c r="N61" s="477"/>
      <c r="O61" s="477"/>
      <c r="P61" s="477"/>
      <c r="Q61" s="477"/>
      <c r="R61" s="477"/>
      <c r="S61" s="477"/>
      <c r="T61" s="477"/>
      <c r="U61" s="477"/>
      <c r="V61" s="477"/>
      <c r="W61" s="477"/>
      <c r="X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row>
    <row r="62" spans="2:48" ht="16.5" customHeight="1" x14ac:dyDescent="0.2">
      <c r="C62" s="477"/>
      <c r="D62" s="1148"/>
      <c r="E62" s="1148"/>
      <c r="F62" s="1148"/>
      <c r="G62" s="1148"/>
      <c r="H62" s="1148"/>
      <c r="I62" s="1148"/>
      <c r="J62" s="1148"/>
      <c r="K62" s="1148"/>
      <c r="L62" s="1148"/>
      <c r="M62" s="1148"/>
      <c r="N62" s="1148"/>
      <c r="O62" s="1148"/>
      <c r="P62" s="1148"/>
      <c r="Q62" s="1148"/>
      <c r="R62" s="1148"/>
      <c r="S62" s="1148"/>
      <c r="T62" s="1148"/>
      <c r="U62" s="1148"/>
      <c r="V62" s="1148"/>
      <c r="W62" s="1148"/>
      <c r="X62" s="1148"/>
      <c r="Y62" s="1148"/>
      <c r="Z62" s="1148"/>
      <c r="AA62" s="1148"/>
      <c r="AB62" s="1148"/>
      <c r="AC62" s="1148"/>
      <c r="AD62" s="1148"/>
      <c r="AE62" s="1148"/>
      <c r="AF62" s="1148"/>
      <c r="AG62" s="1148"/>
      <c r="AH62" s="1148"/>
      <c r="AI62" s="1148"/>
      <c r="AJ62" s="1148"/>
      <c r="AK62" s="1148"/>
      <c r="AL62" s="1148"/>
      <c r="AM62" s="1148"/>
      <c r="AN62" s="1148"/>
      <c r="AO62" s="1148"/>
      <c r="AP62" s="1148"/>
      <c r="AQ62" s="1148"/>
      <c r="AR62" s="1148"/>
      <c r="AS62" s="1148"/>
      <c r="AT62" s="1148"/>
      <c r="AU62" s="1148"/>
      <c r="AV62" s="477"/>
    </row>
    <row r="63" spans="2:48" ht="7.5" customHeight="1" x14ac:dyDescent="0.2">
      <c r="C63" s="477"/>
      <c r="D63" s="482"/>
      <c r="E63" s="482"/>
      <c r="F63" s="482"/>
      <c r="G63" s="482"/>
      <c r="H63" s="482"/>
      <c r="I63" s="482"/>
      <c r="J63" s="482"/>
      <c r="K63" s="482"/>
      <c r="L63" s="482"/>
      <c r="M63" s="482"/>
      <c r="N63" s="482"/>
      <c r="O63" s="482"/>
      <c r="P63" s="482"/>
      <c r="Q63" s="482"/>
      <c r="R63" s="482"/>
      <c r="S63" s="482"/>
      <c r="T63" s="482"/>
      <c r="U63" s="482"/>
      <c r="V63" s="482"/>
      <c r="W63" s="482"/>
      <c r="X63" s="482"/>
      <c r="Y63" s="482"/>
      <c r="Z63" s="482"/>
      <c r="AA63" s="482"/>
      <c r="AB63" s="482"/>
      <c r="AC63" s="482"/>
      <c r="AD63" s="482"/>
      <c r="AE63" s="482"/>
      <c r="AF63" s="482"/>
      <c r="AG63" s="482"/>
      <c r="AH63" s="482"/>
      <c r="AI63" s="482"/>
      <c r="AJ63" s="482"/>
      <c r="AK63" s="482"/>
      <c r="AL63" s="482"/>
      <c r="AM63" s="482"/>
      <c r="AN63" s="482"/>
      <c r="AO63" s="482"/>
      <c r="AP63" s="482"/>
      <c r="AQ63" s="482"/>
      <c r="AR63" s="482"/>
      <c r="AS63" s="482"/>
      <c r="AT63" s="482"/>
      <c r="AU63" s="482"/>
      <c r="AV63" s="477"/>
    </row>
    <row r="64" spans="2:48" s="94" customFormat="1" ht="25.5" customHeight="1" x14ac:dyDescent="0.2">
      <c r="B64" s="95" t="s">
        <v>71</v>
      </c>
      <c r="C64" s="478"/>
      <c r="D64" s="1150" t="s">
        <v>141</v>
      </c>
      <c r="E64" s="1150"/>
      <c r="F64" s="1150"/>
      <c r="G64" s="1150"/>
      <c r="H64" s="1150"/>
      <c r="I64" s="1150"/>
      <c r="J64" s="1150"/>
      <c r="K64" s="1150"/>
      <c r="L64" s="1150"/>
      <c r="M64" s="1150"/>
      <c r="N64" s="1150"/>
      <c r="O64" s="1150"/>
      <c r="P64" s="1150"/>
      <c r="Q64" s="1150"/>
      <c r="R64" s="1150"/>
      <c r="S64" s="1150"/>
      <c r="T64" s="1150"/>
      <c r="U64" s="1150"/>
      <c r="V64" s="1150"/>
      <c r="W64" s="1150"/>
      <c r="X64" s="1150"/>
      <c r="Y64" s="1150"/>
      <c r="Z64" s="1150"/>
      <c r="AA64" s="1150"/>
      <c r="AB64" s="1150"/>
      <c r="AC64" s="1150"/>
      <c r="AD64" s="1150"/>
      <c r="AE64" s="1150"/>
      <c r="AF64" s="1150"/>
      <c r="AG64" s="1150"/>
      <c r="AH64" s="1150"/>
      <c r="AI64" s="1150"/>
      <c r="AJ64" s="1150"/>
      <c r="AK64" s="1150"/>
      <c r="AL64" s="1150"/>
      <c r="AM64" s="1150"/>
      <c r="AN64" s="1150"/>
      <c r="AO64" s="1150"/>
      <c r="AP64" s="1150"/>
      <c r="AQ64" s="1150"/>
      <c r="AR64" s="1150"/>
      <c r="AS64" s="1150"/>
      <c r="AT64" s="1150"/>
      <c r="AU64" s="1150"/>
      <c r="AV64" s="478"/>
    </row>
    <row r="65" spans="2:48" ht="4.5" customHeight="1" x14ac:dyDescent="0.2">
      <c r="C65" s="477"/>
      <c r="D65" s="477"/>
      <c r="E65" s="477"/>
      <c r="F65" s="477"/>
      <c r="G65" s="477"/>
      <c r="H65" s="477"/>
      <c r="I65" s="477"/>
      <c r="J65" s="477"/>
      <c r="K65" s="477"/>
      <c r="L65" s="477"/>
      <c r="M65" s="477"/>
      <c r="N65" s="477"/>
      <c r="O65" s="477"/>
      <c r="P65" s="477"/>
      <c r="Q65" s="477"/>
      <c r="R65" s="477"/>
      <c r="S65" s="477"/>
      <c r="T65" s="477"/>
      <c r="U65" s="477"/>
      <c r="V65" s="477"/>
      <c r="W65" s="477"/>
      <c r="X65" s="477"/>
      <c r="Y65" s="477"/>
      <c r="Z65" s="477"/>
      <c r="AA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row>
    <row r="66" spans="2:48" ht="16.5" customHeight="1" x14ac:dyDescent="0.2">
      <c r="C66" s="477"/>
      <c r="D66" s="1148"/>
      <c r="E66" s="1148"/>
      <c r="F66" s="1148"/>
      <c r="G66" s="1148"/>
      <c r="H66" s="1148"/>
      <c r="I66" s="1148"/>
      <c r="J66" s="1148"/>
      <c r="K66" s="1148"/>
      <c r="L66" s="1148"/>
      <c r="M66" s="1148"/>
      <c r="N66" s="1148"/>
      <c r="O66" s="1148"/>
      <c r="P66" s="1148"/>
      <c r="Q66" s="1148"/>
      <c r="R66" s="1148"/>
      <c r="S66" s="1148"/>
      <c r="T66" s="1148"/>
      <c r="U66" s="1148"/>
      <c r="V66" s="1148"/>
      <c r="W66" s="1148"/>
      <c r="X66" s="1148"/>
      <c r="Y66" s="1148"/>
      <c r="Z66" s="1148"/>
      <c r="AA66" s="1148"/>
      <c r="AB66" s="1148"/>
      <c r="AC66" s="1148"/>
      <c r="AD66" s="1148"/>
      <c r="AE66" s="1148"/>
      <c r="AF66" s="1148"/>
      <c r="AG66" s="1148"/>
      <c r="AH66" s="1148"/>
      <c r="AI66" s="1148"/>
      <c r="AJ66" s="1148"/>
      <c r="AK66" s="1148"/>
      <c r="AL66" s="1148"/>
      <c r="AM66" s="1148"/>
      <c r="AN66" s="1148"/>
      <c r="AO66" s="1148"/>
      <c r="AP66" s="1148"/>
      <c r="AQ66" s="1148"/>
      <c r="AR66" s="1148"/>
      <c r="AS66" s="1148"/>
      <c r="AT66" s="1148"/>
      <c r="AU66" s="1148"/>
      <c r="AV66" s="477"/>
    </row>
    <row r="67" spans="2:48" ht="16.5" customHeight="1" x14ac:dyDescent="0.2">
      <c r="C67" s="477"/>
      <c r="D67" s="1148"/>
      <c r="E67" s="1148"/>
      <c r="F67" s="1148"/>
      <c r="G67" s="1148"/>
      <c r="H67" s="1148"/>
      <c r="I67" s="1148"/>
      <c r="J67" s="1148"/>
      <c r="K67" s="1148"/>
      <c r="L67" s="1148"/>
      <c r="M67" s="1148"/>
      <c r="N67" s="1148"/>
      <c r="O67" s="1148"/>
      <c r="P67" s="1148"/>
      <c r="Q67" s="1148"/>
      <c r="R67" s="1148"/>
      <c r="S67" s="1148"/>
      <c r="T67" s="1148"/>
      <c r="U67" s="1148"/>
      <c r="V67" s="1148"/>
      <c r="W67" s="1148"/>
      <c r="X67" s="1148"/>
      <c r="Y67" s="1148"/>
      <c r="Z67" s="1148"/>
      <c r="AA67" s="1148"/>
      <c r="AB67" s="1148"/>
      <c r="AC67" s="1148"/>
      <c r="AD67" s="1148"/>
      <c r="AE67" s="1148"/>
      <c r="AF67" s="1148"/>
      <c r="AG67" s="1148"/>
      <c r="AH67" s="1148"/>
      <c r="AI67" s="1148"/>
      <c r="AJ67" s="1148"/>
      <c r="AK67" s="1148"/>
      <c r="AL67" s="1148"/>
      <c r="AM67" s="1148"/>
      <c r="AN67" s="1148"/>
      <c r="AO67" s="1148"/>
      <c r="AP67" s="1148"/>
      <c r="AQ67" s="1148"/>
      <c r="AR67" s="1148"/>
      <c r="AS67" s="1148"/>
      <c r="AT67" s="1148"/>
      <c r="AU67" s="1148"/>
      <c r="AV67" s="477"/>
    </row>
    <row r="68" spans="2:48" ht="3.75" customHeight="1" x14ac:dyDescent="0.2">
      <c r="C68" s="477"/>
      <c r="D68" s="482"/>
      <c r="E68" s="482"/>
      <c r="F68" s="482"/>
      <c r="G68" s="482"/>
      <c r="H68" s="482"/>
      <c r="I68" s="482"/>
      <c r="J68" s="482"/>
      <c r="K68" s="482"/>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482"/>
      <c r="AK68" s="482"/>
      <c r="AL68" s="482"/>
      <c r="AM68" s="482"/>
      <c r="AN68" s="482"/>
      <c r="AO68" s="482"/>
      <c r="AP68" s="482"/>
      <c r="AQ68" s="482"/>
      <c r="AR68" s="482"/>
      <c r="AS68" s="482"/>
      <c r="AT68" s="482"/>
      <c r="AU68" s="482"/>
      <c r="AV68" s="477"/>
    </row>
    <row r="69" spans="2:48" s="94" customFormat="1" ht="25.5" customHeight="1" x14ac:dyDescent="0.2">
      <c r="B69" s="95" t="s">
        <v>72</v>
      </c>
      <c r="C69" s="478"/>
      <c r="D69" s="1150" t="s">
        <v>142</v>
      </c>
      <c r="E69" s="1150"/>
      <c r="F69" s="1150"/>
      <c r="G69" s="1150"/>
      <c r="H69" s="1150"/>
      <c r="I69" s="1150"/>
      <c r="J69" s="1150"/>
      <c r="K69" s="1150"/>
      <c r="L69" s="1150"/>
      <c r="M69" s="1150"/>
      <c r="N69" s="1150"/>
      <c r="O69" s="1150"/>
      <c r="P69" s="1150"/>
      <c r="Q69" s="1150"/>
      <c r="R69" s="1150"/>
      <c r="S69" s="1150"/>
      <c r="T69" s="1150"/>
      <c r="U69" s="1150"/>
      <c r="V69" s="1150"/>
      <c r="W69" s="1150"/>
      <c r="X69" s="1150"/>
      <c r="Y69" s="1150"/>
      <c r="Z69" s="1150"/>
      <c r="AA69" s="1150"/>
      <c r="AB69" s="1150"/>
      <c r="AC69" s="1150"/>
      <c r="AD69" s="1150"/>
      <c r="AE69" s="1150"/>
      <c r="AF69" s="1150"/>
      <c r="AG69" s="1150"/>
      <c r="AH69" s="1150"/>
      <c r="AI69" s="1150"/>
      <c r="AJ69" s="1150"/>
      <c r="AK69" s="1150"/>
      <c r="AL69" s="1150"/>
      <c r="AM69" s="1150"/>
      <c r="AN69" s="1150"/>
      <c r="AO69" s="1150"/>
      <c r="AP69" s="1150"/>
      <c r="AQ69" s="1150"/>
      <c r="AR69" s="1150"/>
      <c r="AS69" s="1150"/>
      <c r="AT69" s="1150"/>
      <c r="AU69" s="1150"/>
      <c r="AV69" s="478"/>
    </row>
    <row r="70" spans="2:48" ht="4.5" customHeight="1" x14ac:dyDescent="0.2">
      <c r="C70" s="477"/>
      <c r="D70" s="477"/>
      <c r="E70" s="477"/>
      <c r="F70" s="477"/>
      <c r="G70" s="477"/>
      <c r="H70" s="477"/>
      <c r="I70" s="477"/>
      <c r="J70" s="477"/>
      <c r="K70" s="477"/>
      <c r="L70" s="477"/>
      <c r="M70" s="477"/>
      <c r="N70" s="477"/>
      <c r="O70" s="477"/>
      <c r="P70" s="477"/>
      <c r="Q70" s="477"/>
      <c r="R70" s="477"/>
      <c r="S70" s="477"/>
      <c r="T70" s="477"/>
      <c r="U70" s="477"/>
      <c r="V70" s="477"/>
      <c r="W70" s="477"/>
      <c r="X70" s="477"/>
      <c r="Y70" s="477"/>
      <c r="Z70" s="477"/>
      <c r="AA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row>
    <row r="71" spans="2:48" ht="16.5" customHeight="1" x14ac:dyDescent="0.2">
      <c r="C71" s="477"/>
      <c r="D71" s="1148"/>
      <c r="E71" s="1148"/>
      <c r="F71" s="1148"/>
      <c r="G71" s="1148"/>
      <c r="H71" s="1148"/>
      <c r="I71" s="1148"/>
      <c r="J71" s="1148"/>
      <c r="K71" s="1148"/>
      <c r="L71" s="1148"/>
      <c r="M71" s="1148"/>
      <c r="N71" s="1148"/>
      <c r="O71" s="1148"/>
      <c r="P71" s="1148"/>
      <c r="Q71" s="1148"/>
      <c r="R71" s="1148"/>
      <c r="S71" s="1148"/>
      <c r="T71" s="1148"/>
      <c r="U71" s="1148"/>
      <c r="V71" s="1148"/>
      <c r="W71" s="1148"/>
      <c r="X71" s="1148"/>
      <c r="Y71" s="1148"/>
      <c r="Z71" s="1148"/>
      <c r="AA71" s="1148"/>
      <c r="AB71" s="1148"/>
      <c r="AC71" s="1148"/>
      <c r="AD71" s="1148"/>
      <c r="AE71" s="1148"/>
      <c r="AF71" s="1148"/>
      <c r="AG71" s="1148"/>
      <c r="AH71" s="1148"/>
      <c r="AI71" s="1148"/>
      <c r="AJ71" s="1148"/>
      <c r="AK71" s="1148"/>
      <c r="AL71" s="1148"/>
      <c r="AM71" s="1148"/>
      <c r="AN71" s="1148"/>
      <c r="AO71" s="1148"/>
      <c r="AP71" s="1148"/>
      <c r="AQ71" s="1148"/>
      <c r="AR71" s="1148"/>
      <c r="AS71" s="1148"/>
      <c r="AT71" s="1148"/>
      <c r="AU71" s="1148"/>
      <c r="AV71" s="477"/>
    </row>
    <row r="72" spans="2:48" ht="16.5" customHeight="1" x14ac:dyDescent="0.2">
      <c r="C72" s="477"/>
      <c r="D72" s="1148"/>
      <c r="E72" s="1148"/>
      <c r="F72" s="1148"/>
      <c r="G72" s="1148"/>
      <c r="H72" s="1148"/>
      <c r="I72" s="1148"/>
      <c r="J72" s="1148"/>
      <c r="K72" s="1148"/>
      <c r="L72" s="1148"/>
      <c r="M72" s="1148"/>
      <c r="N72" s="1148"/>
      <c r="O72" s="1148"/>
      <c r="P72" s="1148"/>
      <c r="Q72" s="1148"/>
      <c r="R72" s="1148"/>
      <c r="S72" s="1148"/>
      <c r="T72" s="1148"/>
      <c r="U72" s="1148"/>
      <c r="V72" s="1148"/>
      <c r="W72" s="1148"/>
      <c r="X72" s="1148"/>
      <c r="Y72" s="1148"/>
      <c r="Z72" s="1148"/>
      <c r="AA72" s="1148"/>
      <c r="AB72" s="1148"/>
      <c r="AC72" s="1148"/>
      <c r="AD72" s="1148"/>
      <c r="AE72" s="1148"/>
      <c r="AF72" s="1148"/>
      <c r="AG72" s="1148"/>
      <c r="AH72" s="1148"/>
      <c r="AI72" s="1148"/>
      <c r="AJ72" s="1148"/>
      <c r="AK72" s="1148"/>
      <c r="AL72" s="1148"/>
      <c r="AM72" s="1148"/>
      <c r="AN72" s="1148"/>
      <c r="AO72" s="1148"/>
      <c r="AP72" s="1148"/>
      <c r="AQ72" s="1148"/>
      <c r="AR72" s="1148"/>
      <c r="AS72" s="1148"/>
      <c r="AT72" s="1148"/>
      <c r="AU72" s="1148"/>
      <c r="AV72" s="477"/>
    </row>
    <row r="73" spans="2:48" ht="6" customHeight="1" x14ac:dyDescent="0.2">
      <c r="C73" s="477"/>
      <c r="D73" s="477"/>
      <c r="E73" s="477"/>
      <c r="F73" s="477"/>
      <c r="G73" s="477"/>
      <c r="H73" s="477"/>
      <c r="I73" s="477"/>
      <c r="J73" s="477"/>
      <c r="K73" s="477"/>
      <c r="L73" s="477"/>
      <c r="M73" s="477"/>
      <c r="N73" s="477"/>
      <c r="O73" s="477"/>
      <c r="P73" s="477"/>
      <c r="Q73" s="477"/>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row>
    <row r="74" spans="2:48" s="94" customFormat="1" x14ac:dyDescent="0.2">
      <c r="B74" s="94" t="s">
        <v>73</v>
      </c>
      <c r="C74" s="478"/>
      <c r="D74" s="478" t="s">
        <v>143</v>
      </c>
      <c r="E74" s="478"/>
      <c r="F74" s="478"/>
      <c r="G74" s="478"/>
      <c r="H74" s="478"/>
      <c r="I74" s="478"/>
      <c r="J74" s="478"/>
      <c r="K74" s="478"/>
      <c r="L74" s="478"/>
      <c r="M74" s="478"/>
      <c r="N74" s="478"/>
      <c r="O74" s="478"/>
      <c r="P74" s="478"/>
      <c r="Q74" s="478"/>
      <c r="R74" s="478"/>
      <c r="S74" s="478"/>
      <c r="T74" s="478"/>
      <c r="U74" s="478"/>
      <c r="V74" s="478"/>
      <c r="W74" s="478"/>
      <c r="X74" s="478"/>
      <c r="Y74" s="478"/>
      <c r="Z74" s="478"/>
      <c r="AA74" s="478"/>
      <c r="AB74" s="478"/>
      <c r="AC74" s="478"/>
      <c r="AD74" s="478"/>
      <c r="AE74" s="478"/>
      <c r="AF74" s="478"/>
      <c r="AG74" s="478"/>
      <c r="AH74" s="478"/>
      <c r="AI74" s="478"/>
      <c r="AJ74" s="478"/>
      <c r="AK74" s="478"/>
      <c r="AL74" s="478"/>
      <c r="AM74" s="478"/>
      <c r="AN74" s="478"/>
      <c r="AO74" s="478"/>
      <c r="AP74" s="478"/>
      <c r="AQ74" s="478"/>
      <c r="AR74" s="478"/>
      <c r="AS74" s="478"/>
      <c r="AT74" s="478"/>
      <c r="AU74" s="478"/>
      <c r="AV74" s="478"/>
    </row>
    <row r="75" spans="2:48" ht="4.5" customHeight="1" thickBot="1" x14ac:dyDescent="0.25">
      <c r="C75" s="477"/>
      <c r="D75" s="477"/>
      <c r="E75" s="477"/>
      <c r="F75" s="477"/>
      <c r="G75" s="477"/>
      <c r="H75" s="477"/>
      <c r="I75" s="477"/>
      <c r="J75" s="477"/>
      <c r="K75" s="477"/>
      <c r="L75" s="477"/>
      <c r="M75" s="477"/>
      <c r="N75" s="477"/>
      <c r="O75" s="477"/>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row>
    <row r="76" spans="2:48" ht="13.5" thickBot="1" x14ac:dyDescent="0.25">
      <c r="C76" s="477"/>
      <c r="D76" s="477"/>
      <c r="E76" s="477"/>
      <c r="F76" s="477"/>
      <c r="G76" s="477"/>
      <c r="H76" s="477"/>
      <c r="I76" s="477"/>
      <c r="J76" s="477"/>
      <c r="K76" s="477" t="s">
        <v>133</v>
      </c>
      <c r="L76" s="477"/>
      <c r="M76" s="477"/>
      <c r="N76" s="1139"/>
      <c r="O76" s="1140"/>
      <c r="P76" s="477"/>
      <c r="Q76" s="477"/>
      <c r="R76" s="477"/>
      <c r="S76" s="477"/>
      <c r="T76" s="477"/>
      <c r="U76" s="477"/>
      <c r="V76" s="477"/>
      <c r="W76" s="477"/>
      <c r="X76" s="477"/>
      <c r="Y76" s="477"/>
      <c r="Z76" s="477"/>
      <c r="AA76" s="477" t="s">
        <v>134</v>
      </c>
      <c r="AB76" s="477"/>
      <c r="AC76" s="477"/>
      <c r="AD76" s="477"/>
      <c r="AE76" s="1139"/>
      <c r="AF76" s="1140"/>
      <c r="AG76" s="477"/>
      <c r="AH76" s="477"/>
      <c r="AI76" s="477"/>
      <c r="AJ76" s="477"/>
      <c r="AK76" s="477"/>
      <c r="AL76" s="477"/>
      <c r="AM76" s="477"/>
      <c r="AN76" s="477"/>
      <c r="AO76" s="477"/>
      <c r="AP76" s="477"/>
      <c r="AQ76" s="477"/>
      <c r="AR76" s="477"/>
      <c r="AS76" s="477"/>
      <c r="AT76" s="477"/>
      <c r="AU76" s="477"/>
      <c r="AV76" s="477"/>
    </row>
    <row r="77" spans="2:48" ht="5.25" customHeight="1" x14ac:dyDescent="0.2">
      <c r="C77" s="477"/>
      <c r="D77" s="477"/>
      <c r="E77" s="477"/>
      <c r="F77" s="477"/>
      <c r="G77" s="477"/>
      <c r="H77" s="477"/>
      <c r="I77" s="477"/>
      <c r="J77" s="477"/>
      <c r="K77" s="477"/>
      <c r="L77" s="477"/>
      <c r="M77" s="477"/>
      <c r="N77" s="477"/>
      <c r="O77" s="477"/>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row>
    <row r="78" spans="2:48" s="94" customFormat="1" x14ac:dyDescent="0.2">
      <c r="B78" s="94" t="s">
        <v>74</v>
      </c>
      <c r="C78" s="478"/>
      <c r="D78" s="478" t="s">
        <v>144</v>
      </c>
      <c r="E78" s="478"/>
      <c r="F78" s="478"/>
      <c r="G78" s="478"/>
      <c r="H78" s="478"/>
      <c r="I78" s="478"/>
      <c r="J78" s="478"/>
      <c r="K78" s="478"/>
      <c r="L78" s="478"/>
      <c r="M78" s="478"/>
      <c r="N78" s="478"/>
      <c r="O78" s="478"/>
      <c r="P78" s="478"/>
      <c r="Q78" s="478"/>
      <c r="R78" s="478"/>
      <c r="S78" s="478"/>
      <c r="T78" s="478"/>
      <c r="U78" s="478"/>
      <c r="V78" s="478"/>
      <c r="W78" s="478"/>
      <c r="X78" s="478"/>
      <c r="Y78" s="478"/>
      <c r="Z78" s="478"/>
      <c r="AA78" s="478"/>
      <c r="AB78" s="478"/>
      <c r="AC78" s="478"/>
      <c r="AD78" s="478"/>
      <c r="AE78" s="478"/>
      <c r="AF78" s="478"/>
      <c r="AG78" s="478"/>
      <c r="AH78" s="478"/>
      <c r="AI78" s="478"/>
      <c r="AJ78" s="478"/>
      <c r="AK78" s="478"/>
      <c r="AL78" s="478"/>
      <c r="AM78" s="478"/>
      <c r="AN78" s="478"/>
      <c r="AO78" s="478"/>
      <c r="AP78" s="478"/>
      <c r="AQ78" s="478"/>
      <c r="AR78" s="478"/>
      <c r="AS78" s="478"/>
      <c r="AT78" s="478"/>
      <c r="AU78" s="478"/>
      <c r="AV78" s="478"/>
    </row>
    <row r="79" spans="2:48" ht="4.5" customHeight="1" thickBot="1" x14ac:dyDescent="0.25">
      <c r="C79" s="477"/>
      <c r="D79" s="477"/>
      <c r="E79" s="477"/>
      <c r="F79" s="477"/>
      <c r="G79" s="477"/>
      <c r="H79" s="477"/>
      <c r="I79" s="477"/>
      <c r="J79" s="477"/>
      <c r="K79" s="477"/>
      <c r="L79" s="477"/>
      <c r="M79" s="477"/>
      <c r="N79" s="477"/>
      <c r="O79" s="477"/>
      <c r="P79" s="477"/>
      <c r="Q79" s="477"/>
      <c r="R79" s="477"/>
      <c r="S79" s="477"/>
      <c r="T79" s="477"/>
      <c r="U79" s="477"/>
      <c r="V79" s="477"/>
      <c r="W79" s="477"/>
      <c r="X79" s="477"/>
      <c r="Y79" s="477"/>
      <c r="Z79" s="477"/>
      <c r="AA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row>
    <row r="80" spans="2:48" ht="13.5" thickBot="1" x14ac:dyDescent="0.25">
      <c r="C80" s="477"/>
      <c r="D80" s="477"/>
      <c r="E80" s="477"/>
      <c r="F80" s="477"/>
      <c r="G80" s="477"/>
      <c r="H80" s="477"/>
      <c r="I80" s="477"/>
      <c r="J80" s="477"/>
      <c r="K80" s="477" t="s">
        <v>133</v>
      </c>
      <c r="L80" s="477"/>
      <c r="M80" s="477"/>
      <c r="N80" s="1139"/>
      <c r="O80" s="1140"/>
      <c r="P80" s="477"/>
      <c r="Q80" s="477"/>
      <c r="R80" s="477"/>
      <c r="S80" s="477"/>
      <c r="T80" s="477"/>
      <c r="U80" s="477"/>
      <c r="V80" s="477"/>
      <c r="W80" s="477"/>
      <c r="X80" s="477"/>
      <c r="Y80" s="477"/>
      <c r="Z80" s="477"/>
      <c r="AA80" s="477" t="s">
        <v>134</v>
      </c>
      <c r="AB80" s="477"/>
      <c r="AC80" s="477"/>
      <c r="AD80" s="477"/>
      <c r="AE80" s="1139"/>
      <c r="AF80" s="1140"/>
      <c r="AG80" s="477"/>
      <c r="AH80" s="477"/>
      <c r="AI80" s="477"/>
      <c r="AJ80" s="477"/>
      <c r="AK80" s="477"/>
      <c r="AL80" s="477"/>
      <c r="AM80" s="477"/>
      <c r="AN80" s="477"/>
      <c r="AO80" s="477"/>
      <c r="AP80" s="477"/>
      <c r="AQ80" s="477"/>
      <c r="AR80" s="477"/>
      <c r="AS80" s="477"/>
      <c r="AT80" s="477"/>
      <c r="AU80" s="477"/>
      <c r="AV80" s="477"/>
    </row>
    <row r="81" spans="2:48" ht="5.25" customHeight="1" x14ac:dyDescent="0.2">
      <c r="C81" s="477"/>
      <c r="D81" s="477"/>
      <c r="E81" s="477"/>
      <c r="F81" s="477"/>
      <c r="G81" s="477"/>
      <c r="H81" s="477"/>
      <c r="I81" s="477"/>
      <c r="J81" s="477"/>
      <c r="K81" s="477"/>
      <c r="L81" s="477"/>
      <c r="M81" s="477"/>
      <c r="N81" s="477"/>
      <c r="O81" s="477"/>
      <c r="P81" s="477"/>
      <c r="Q81" s="477"/>
      <c r="R81" s="477"/>
      <c r="S81" s="477"/>
      <c r="T81" s="477"/>
      <c r="U81" s="477"/>
      <c r="V81" s="477"/>
      <c r="W81" s="477"/>
      <c r="X81" s="477"/>
      <c r="Y81" s="477"/>
      <c r="Z81" s="477"/>
      <c r="AA81" s="477"/>
      <c r="AB81" s="477"/>
      <c r="AC81" s="477"/>
      <c r="AD81" s="477"/>
      <c r="AE81" s="477"/>
      <c r="AF81" s="477"/>
      <c r="AG81" s="477"/>
      <c r="AH81" s="477"/>
      <c r="AI81" s="477"/>
      <c r="AJ81" s="477"/>
      <c r="AK81" s="477"/>
      <c r="AL81" s="477"/>
      <c r="AM81" s="477"/>
      <c r="AN81" s="477"/>
      <c r="AO81" s="477"/>
      <c r="AP81" s="477"/>
      <c r="AQ81" s="477"/>
      <c r="AR81" s="477"/>
      <c r="AS81" s="477"/>
      <c r="AT81" s="477"/>
      <c r="AU81" s="477"/>
      <c r="AV81" s="477"/>
    </row>
    <row r="82" spans="2:48" s="94" customFormat="1" x14ac:dyDescent="0.2">
      <c r="C82" s="478"/>
      <c r="D82" s="478" t="s">
        <v>145</v>
      </c>
      <c r="E82" s="478"/>
      <c r="F82" s="478"/>
      <c r="G82" s="478"/>
      <c r="H82" s="478"/>
      <c r="I82" s="478"/>
      <c r="J82" s="478"/>
      <c r="K82" s="478"/>
      <c r="L82" s="478"/>
      <c r="M82" s="478"/>
      <c r="N82" s="478"/>
      <c r="O82" s="478"/>
      <c r="P82" s="478"/>
      <c r="Q82" s="478"/>
      <c r="R82" s="478"/>
      <c r="S82" s="478"/>
      <c r="T82" s="478"/>
      <c r="U82" s="478"/>
      <c r="V82" s="478"/>
      <c r="W82" s="478"/>
      <c r="X82" s="478"/>
      <c r="Y82" s="478"/>
      <c r="Z82" s="478"/>
      <c r="AA82" s="478"/>
      <c r="AB82" s="478"/>
      <c r="AC82" s="478"/>
      <c r="AD82" s="478"/>
      <c r="AE82" s="478"/>
      <c r="AF82" s="478"/>
      <c r="AG82" s="478"/>
      <c r="AH82" s="478"/>
      <c r="AI82" s="478"/>
      <c r="AJ82" s="478"/>
      <c r="AK82" s="478"/>
      <c r="AL82" s="478"/>
      <c r="AM82" s="478"/>
      <c r="AN82" s="478"/>
      <c r="AO82" s="478"/>
      <c r="AP82" s="478"/>
      <c r="AQ82" s="478"/>
      <c r="AR82" s="478"/>
      <c r="AS82" s="478"/>
      <c r="AT82" s="478"/>
      <c r="AU82" s="478"/>
      <c r="AV82" s="478"/>
    </row>
    <row r="83" spans="2:48" ht="4.5" customHeight="1" x14ac:dyDescent="0.2">
      <c r="C83" s="477"/>
      <c r="D83" s="477"/>
      <c r="E83" s="477"/>
      <c r="F83" s="477"/>
      <c r="G83" s="477"/>
      <c r="H83" s="477"/>
      <c r="I83" s="477"/>
      <c r="J83" s="477"/>
      <c r="K83" s="477"/>
      <c r="L83" s="477"/>
      <c r="M83" s="477"/>
      <c r="N83" s="477"/>
      <c r="O83" s="477"/>
      <c r="P83" s="477"/>
      <c r="Q83" s="477"/>
      <c r="R83" s="477"/>
      <c r="S83" s="477"/>
      <c r="T83" s="477"/>
      <c r="U83" s="477"/>
      <c r="V83" s="477"/>
      <c r="W83" s="477"/>
      <c r="X83" s="477"/>
      <c r="Y83" s="477"/>
      <c r="Z83" s="477"/>
      <c r="AA83" s="477"/>
      <c r="AB83" s="477"/>
      <c r="AC83" s="477"/>
      <c r="AD83" s="477"/>
      <c r="AE83" s="477"/>
      <c r="AF83" s="477"/>
      <c r="AG83" s="477"/>
      <c r="AH83" s="477"/>
      <c r="AI83" s="477"/>
      <c r="AJ83" s="477"/>
      <c r="AK83" s="477"/>
      <c r="AL83" s="477"/>
      <c r="AM83" s="477"/>
      <c r="AN83" s="477"/>
      <c r="AO83" s="477"/>
      <c r="AP83" s="477"/>
      <c r="AQ83" s="477"/>
      <c r="AR83" s="477"/>
      <c r="AS83" s="477"/>
      <c r="AT83" s="477"/>
      <c r="AU83" s="477"/>
      <c r="AV83" s="477"/>
    </row>
    <row r="84" spans="2:48" ht="16.5" customHeight="1" x14ac:dyDescent="0.2">
      <c r="C84" s="477"/>
      <c r="D84" s="1148"/>
      <c r="E84" s="1148"/>
      <c r="F84" s="1148"/>
      <c r="G84" s="1148"/>
      <c r="H84" s="1148"/>
      <c r="I84" s="1148"/>
      <c r="J84" s="1148"/>
      <c r="K84" s="1148"/>
      <c r="L84" s="1148"/>
      <c r="M84" s="1148"/>
      <c r="N84" s="1148"/>
      <c r="O84" s="1148"/>
      <c r="P84" s="1148"/>
      <c r="Q84" s="1148"/>
      <c r="R84" s="1148"/>
      <c r="S84" s="1148"/>
      <c r="T84" s="1148"/>
      <c r="U84" s="1148"/>
      <c r="V84" s="1148"/>
      <c r="W84" s="1148"/>
      <c r="X84" s="1148"/>
      <c r="Y84" s="1148"/>
      <c r="Z84" s="1148"/>
      <c r="AA84" s="1148"/>
      <c r="AB84" s="1148"/>
      <c r="AC84" s="1148"/>
      <c r="AD84" s="1148"/>
      <c r="AE84" s="1148"/>
      <c r="AF84" s="1148"/>
      <c r="AG84" s="1148"/>
      <c r="AH84" s="1148"/>
      <c r="AI84" s="1148"/>
      <c r="AJ84" s="1148"/>
      <c r="AK84" s="1148"/>
      <c r="AL84" s="1148"/>
      <c r="AM84" s="1148"/>
      <c r="AN84" s="1148"/>
      <c r="AO84" s="1148"/>
      <c r="AP84" s="1148"/>
      <c r="AQ84" s="1148"/>
      <c r="AR84" s="1148"/>
      <c r="AS84" s="1148"/>
      <c r="AT84" s="1148"/>
      <c r="AU84" s="1148"/>
      <c r="AV84" s="477"/>
    </row>
    <row r="85" spans="2:48" ht="16.5" customHeight="1" x14ac:dyDescent="0.2">
      <c r="C85" s="477"/>
      <c r="D85" s="1148"/>
      <c r="E85" s="1148"/>
      <c r="F85" s="1148"/>
      <c r="G85" s="1148"/>
      <c r="H85" s="1148"/>
      <c r="I85" s="1148"/>
      <c r="J85" s="1148"/>
      <c r="K85" s="1148"/>
      <c r="L85" s="1148"/>
      <c r="M85" s="1148"/>
      <c r="N85" s="1148"/>
      <c r="O85" s="1148"/>
      <c r="P85" s="1148"/>
      <c r="Q85" s="1148"/>
      <c r="R85" s="1148"/>
      <c r="S85" s="1148"/>
      <c r="T85" s="1148"/>
      <c r="U85" s="1148"/>
      <c r="V85" s="1148"/>
      <c r="W85" s="1148"/>
      <c r="X85" s="1148"/>
      <c r="Y85" s="1148"/>
      <c r="Z85" s="1148"/>
      <c r="AA85" s="1148"/>
      <c r="AB85" s="1148"/>
      <c r="AC85" s="1148"/>
      <c r="AD85" s="1148"/>
      <c r="AE85" s="1148"/>
      <c r="AF85" s="1148"/>
      <c r="AG85" s="1148"/>
      <c r="AH85" s="1148"/>
      <c r="AI85" s="1148"/>
      <c r="AJ85" s="1148"/>
      <c r="AK85" s="1148"/>
      <c r="AL85" s="1148"/>
      <c r="AM85" s="1148"/>
      <c r="AN85" s="1148"/>
      <c r="AO85" s="1148"/>
      <c r="AP85" s="1148"/>
      <c r="AQ85" s="1148"/>
      <c r="AR85" s="1148"/>
      <c r="AS85" s="1148"/>
      <c r="AT85" s="1148"/>
      <c r="AU85" s="1148"/>
      <c r="AV85" s="477"/>
    </row>
    <row r="87" spans="2:48" ht="15.75" customHeight="1" x14ac:dyDescent="0.2">
      <c r="B87" s="1149" t="s">
        <v>146</v>
      </c>
      <c r="C87" s="1149"/>
      <c r="D87" s="1149"/>
      <c r="E87" s="1149"/>
      <c r="F87" s="1149"/>
      <c r="G87" s="1149"/>
      <c r="H87" s="1149"/>
      <c r="I87" s="1149"/>
      <c r="J87" s="1149"/>
      <c r="K87" s="1149"/>
      <c r="L87" s="1149"/>
      <c r="M87" s="1149"/>
      <c r="N87" s="1149"/>
      <c r="O87" s="1149"/>
      <c r="P87" s="1149"/>
      <c r="Q87" s="1149"/>
      <c r="R87" s="1149"/>
      <c r="S87" s="1149"/>
      <c r="T87" s="1149"/>
      <c r="U87" s="1149"/>
      <c r="V87" s="1149"/>
      <c r="W87" s="1149"/>
      <c r="X87" s="1149"/>
      <c r="Y87" s="1149"/>
      <c r="Z87" s="1149"/>
      <c r="AA87" s="1149"/>
      <c r="AB87" s="1149"/>
      <c r="AC87" s="1149"/>
      <c r="AD87" s="1149"/>
      <c r="AE87" s="1149"/>
      <c r="AF87" s="1149"/>
      <c r="AG87" s="1149"/>
      <c r="AH87" s="1149"/>
      <c r="AI87" s="1149"/>
      <c r="AJ87" s="1149"/>
      <c r="AK87" s="1149"/>
      <c r="AL87" s="1149"/>
      <c r="AM87" s="1149"/>
      <c r="AN87" s="1149"/>
      <c r="AO87" s="1149"/>
      <c r="AP87" s="1149"/>
      <c r="AQ87" s="1149"/>
      <c r="AR87" s="1149"/>
      <c r="AS87" s="1149"/>
      <c r="AT87" s="1149"/>
      <c r="AU87" s="1149"/>
      <c r="AV87" s="1149"/>
    </row>
    <row r="89" spans="2:48" ht="5.25" customHeight="1" x14ac:dyDescent="0.2"/>
    <row r="90" spans="2:48" s="94" customFormat="1" x14ac:dyDescent="0.2">
      <c r="B90" s="94" t="s">
        <v>147</v>
      </c>
      <c r="D90" s="94" t="s">
        <v>148</v>
      </c>
    </row>
    <row r="91" spans="2:48" ht="4.5" customHeight="1" thickBot="1" x14ac:dyDescent="0.25"/>
    <row r="92" spans="2:48" ht="13.5" thickBot="1" x14ac:dyDescent="0.25">
      <c r="K92" s="93" t="s">
        <v>133</v>
      </c>
      <c r="N92" s="1143"/>
      <c r="O92" s="1144"/>
      <c r="AA92" s="93" t="s">
        <v>134</v>
      </c>
      <c r="AE92" s="1143"/>
      <c r="AF92" s="1144"/>
    </row>
    <row r="93" spans="2:48" ht="5.25" customHeight="1" x14ac:dyDescent="0.2"/>
    <row r="94" spans="2:48" s="94" customFormat="1" x14ac:dyDescent="0.2">
      <c r="D94" s="94" t="s">
        <v>149</v>
      </c>
    </row>
    <row r="95" spans="2:48" ht="4.5" customHeight="1" x14ac:dyDescent="0.2"/>
    <row r="96" spans="2:48" ht="16.5" customHeight="1" x14ac:dyDescent="0.2">
      <c r="D96" s="1141"/>
      <c r="E96" s="1141"/>
      <c r="F96" s="1141"/>
      <c r="G96" s="1141"/>
      <c r="H96" s="1141"/>
      <c r="I96" s="1141"/>
      <c r="J96" s="1141"/>
      <c r="K96" s="1141"/>
      <c r="L96" s="1141"/>
      <c r="M96" s="1141"/>
      <c r="N96" s="1141"/>
      <c r="O96" s="1141"/>
      <c r="P96" s="1141"/>
      <c r="Q96" s="1141"/>
      <c r="R96" s="1141"/>
      <c r="S96" s="1141"/>
      <c r="T96" s="1141"/>
      <c r="U96" s="1141"/>
      <c r="V96" s="1141"/>
      <c r="W96" s="1141"/>
      <c r="X96" s="1141"/>
      <c r="Y96" s="1141"/>
      <c r="Z96" s="1141"/>
      <c r="AA96" s="1141"/>
      <c r="AB96" s="1141"/>
      <c r="AC96" s="1141"/>
      <c r="AD96" s="1141"/>
      <c r="AE96" s="1141"/>
      <c r="AF96" s="1141"/>
      <c r="AG96" s="1141"/>
      <c r="AH96" s="1141"/>
      <c r="AI96" s="1141"/>
      <c r="AJ96" s="1141"/>
      <c r="AK96" s="1141"/>
      <c r="AL96" s="1141"/>
      <c r="AM96" s="1141"/>
      <c r="AN96" s="1141"/>
      <c r="AO96" s="1141"/>
      <c r="AP96" s="1141"/>
      <c r="AQ96" s="1141"/>
      <c r="AR96" s="1141"/>
      <c r="AS96" s="1141"/>
      <c r="AT96" s="1141"/>
      <c r="AU96" s="1141"/>
    </row>
    <row r="97" spans="2:47" ht="16.5" customHeight="1" x14ac:dyDescent="0.2">
      <c r="D97" s="1141"/>
      <c r="E97" s="1141"/>
      <c r="F97" s="1141"/>
      <c r="G97" s="1141"/>
      <c r="H97" s="1141"/>
      <c r="I97" s="1141"/>
      <c r="J97" s="1141"/>
      <c r="K97" s="1141"/>
      <c r="L97" s="1141"/>
      <c r="M97" s="1141"/>
      <c r="N97" s="1141"/>
      <c r="O97" s="1141"/>
      <c r="P97" s="1141"/>
      <c r="Q97" s="1141"/>
      <c r="R97" s="1141"/>
      <c r="S97" s="1141"/>
      <c r="T97" s="1141"/>
      <c r="U97" s="1141"/>
      <c r="V97" s="1141"/>
      <c r="W97" s="1141"/>
      <c r="X97" s="1141"/>
      <c r="Y97" s="1141"/>
      <c r="Z97" s="1141"/>
      <c r="AA97" s="1141"/>
      <c r="AB97" s="1141"/>
      <c r="AC97" s="1141"/>
      <c r="AD97" s="1141"/>
      <c r="AE97" s="1141"/>
      <c r="AF97" s="1141"/>
      <c r="AG97" s="1141"/>
      <c r="AH97" s="1141"/>
      <c r="AI97" s="1141"/>
      <c r="AJ97" s="1141"/>
      <c r="AK97" s="1141"/>
      <c r="AL97" s="1141"/>
      <c r="AM97" s="1141"/>
      <c r="AN97" s="1141"/>
      <c r="AO97" s="1141"/>
      <c r="AP97" s="1141"/>
      <c r="AQ97" s="1141"/>
      <c r="AR97" s="1141"/>
      <c r="AS97" s="1141"/>
      <c r="AT97" s="1141"/>
      <c r="AU97" s="1141"/>
    </row>
    <row r="98" spans="2:47" ht="16.5" customHeight="1" x14ac:dyDescent="0.2">
      <c r="D98" s="1141"/>
      <c r="E98" s="1141"/>
      <c r="F98" s="1141"/>
      <c r="G98" s="1141"/>
      <c r="H98" s="1141"/>
      <c r="I98" s="1141"/>
      <c r="J98" s="1141"/>
      <c r="K98" s="1141"/>
      <c r="L98" s="1141"/>
      <c r="M98" s="1141"/>
      <c r="N98" s="1141"/>
      <c r="O98" s="1141"/>
      <c r="P98" s="1141"/>
      <c r="Q98" s="1141"/>
      <c r="R98" s="1141"/>
      <c r="S98" s="1141"/>
      <c r="T98" s="1141"/>
      <c r="U98" s="1141"/>
      <c r="V98" s="1141"/>
      <c r="W98" s="1141"/>
      <c r="X98" s="1141"/>
      <c r="Y98" s="1141"/>
      <c r="Z98" s="1141"/>
      <c r="AA98" s="1141"/>
      <c r="AB98" s="1141"/>
      <c r="AC98" s="1141"/>
      <c r="AD98" s="1141"/>
      <c r="AE98" s="1141"/>
      <c r="AF98" s="1141"/>
      <c r="AG98" s="1141"/>
      <c r="AH98" s="1141"/>
      <c r="AI98" s="1141"/>
      <c r="AJ98" s="1141"/>
      <c r="AK98" s="1141"/>
      <c r="AL98" s="1141"/>
      <c r="AM98" s="1141"/>
      <c r="AN98" s="1141"/>
      <c r="AO98" s="1141"/>
      <c r="AP98" s="1141"/>
      <c r="AQ98" s="1141"/>
      <c r="AR98" s="1141"/>
      <c r="AS98" s="1141"/>
      <c r="AT98" s="1141"/>
      <c r="AU98" s="1141"/>
    </row>
    <row r="99" spans="2:47" ht="5.25" customHeight="1" x14ac:dyDescent="0.2"/>
    <row r="100" spans="2:47" s="94" customFormat="1" ht="24.75" customHeight="1" x14ac:dyDescent="0.2">
      <c r="B100" s="95" t="s">
        <v>150</v>
      </c>
      <c r="C100" s="95"/>
      <c r="D100" s="1142" t="s">
        <v>151</v>
      </c>
      <c r="E100" s="1142"/>
      <c r="F100" s="1142"/>
      <c r="G100" s="1142"/>
      <c r="H100" s="1142"/>
      <c r="I100" s="1142"/>
      <c r="J100" s="1142"/>
      <c r="K100" s="1142"/>
      <c r="L100" s="1142"/>
      <c r="M100" s="1142"/>
      <c r="N100" s="1142"/>
      <c r="O100" s="1142"/>
      <c r="P100" s="1142"/>
      <c r="Q100" s="1142"/>
      <c r="R100" s="1142"/>
      <c r="S100" s="1142"/>
      <c r="T100" s="1142"/>
      <c r="U100" s="1142"/>
      <c r="V100" s="1142"/>
      <c r="W100" s="1142"/>
      <c r="X100" s="1142"/>
      <c r="Y100" s="1142"/>
      <c r="Z100" s="1142"/>
      <c r="AA100" s="1142"/>
      <c r="AB100" s="1142"/>
      <c r="AC100" s="1142"/>
      <c r="AD100" s="1142"/>
      <c r="AE100" s="1142"/>
      <c r="AF100" s="1142"/>
      <c r="AG100" s="1142"/>
      <c r="AH100" s="1142"/>
      <c r="AI100" s="1142"/>
      <c r="AJ100" s="1142"/>
      <c r="AK100" s="1142"/>
      <c r="AL100" s="1142"/>
      <c r="AM100" s="1142"/>
      <c r="AN100" s="1142"/>
      <c r="AO100" s="1142"/>
      <c r="AP100" s="1142"/>
      <c r="AQ100" s="1142"/>
      <c r="AR100" s="1142"/>
      <c r="AS100" s="1142"/>
      <c r="AT100" s="1142"/>
      <c r="AU100" s="1142"/>
    </row>
    <row r="101" spans="2:47" ht="4.5" customHeight="1" thickBot="1" x14ac:dyDescent="0.25"/>
    <row r="102" spans="2:47" ht="13.5" thickBot="1" x14ac:dyDescent="0.25">
      <c r="K102" s="93" t="s">
        <v>133</v>
      </c>
      <c r="N102" s="1143"/>
      <c r="O102" s="1144"/>
      <c r="AA102" s="93" t="s">
        <v>134</v>
      </c>
      <c r="AE102" s="1143"/>
      <c r="AF102" s="1144"/>
    </row>
    <row r="103" spans="2:47" ht="5.25" customHeight="1" x14ac:dyDescent="0.2"/>
    <row r="104" spans="2:47" s="94" customFormat="1" x14ac:dyDescent="0.2">
      <c r="D104" s="94" t="s">
        <v>149</v>
      </c>
    </row>
    <row r="105" spans="2:47" ht="4.5" customHeight="1" x14ac:dyDescent="0.2"/>
    <row r="106" spans="2:47" ht="16.5" customHeight="1" x14ac:dyDescent="0.2">
      <c r="D106" s="1141"/>
      <c r="E106" s="1141"/>
      <c r="F106" s="1141"/>
      <c r="G106" s="1141"/>
      <c r="H106" s="1141"/>
      <c r="I106" s="1141"/>
      <c r="J106" s="1141"/>
      <c r="K106" s="1141"/>
      <c r="L106" s="1141"/>
      <c r="M106" s="1141"/>
      <c r="N106" s="1141"/>
      <c r="O106" s="1141"/>
      <c r="P106" s="1141"/>
      <c r="Q106" s="1141"/>
      <c r="R106" s="1141"/>
      <c r="S106" s="1141"/>
      <c r="T106" s="1141"/>
      <c r="U106" s="1141"/>
      <c r="V106" s="1141"/>
      <c r="W106" s="1141"/>
      <c r="X106" s="1141"/>
      <c r="Y106" s="1141"/>
      <c r="Z106" s="1141"/>
      <c r="AA106" s="1141"/>
      <c r="AB106" s="1141"/>
      <c r="AC106" s="1141"/>
      <c r="AD106" s="1141"/>
      <c r="AE106" s="1141"/>
      <c r="AF106" s="1141"/>
      <c r="AG106" s="1141"/>
      <c r="AH106" s="1141"/>
      <c r="AI106" s="1141"/>
      <c r="AJ106" s="1141"/>
      <c r="AK106" s="1141"/>
      <c r="AL106" s="1141"/>
      <c r="AM106" s="1141"/>
      <c r="AN106" s="1141"/>
      <c r="AO106" s="1141"/>
      <c r="AP106" s="1141"/>
      <c r="AQ106" s="1141"/>
      <c r="AR106" s="1141"/>
      <c r="AS106" s="1141"/>
      <c r="AT106" s="1141"/>
      <c r="AU106" s="1141"/>
    </row>
    <row r="107" spans="2:47" ht="16.5" customHeight="1" x14ac:dyDescent="0.2">
      <c r="D107" s="1141"/>
      <c r="E107" s="1141"/>
      <c r="F107" s="1141"/>
      <c r="G107" s="1141"/>
      <c r="H107" s="1141"/>
      <c r="I107" s="1141"/>
      <c r="J107" s="1141"/>
      <c r="K107" s="1141"/>
      <c r="L107" s="1141"/>
      <c r="M107" s="1141"/>
      <c r="N107" s="1141"/>
      <c r="O107" s="1141"/>
      <c r="P107" s="1141"/>
      <c r="Q107" s="1141"/>
      <c r="R107" s="1141"/>
      <c r="S107" s="1141"/>
      <c r="T107" s="1141"/>
      <c r="U107" s="1141"/>
      <c r="V107" s="1141"/>
      <c r="W107" s="1141"/>
      <c r="X107" s="1141"/>
      <c r="Y107" s="1141"/>
      <c r="Z107" s="1141"/>
      <c r="AA107" s="1141"/>
      <c r="AB107" s="1141"/>
      <c r="AC107" s="1141"/>
      <c r="AD107" s="1141"/>
      <c r="AE107" s="1141"/>
      <c r="AF107" s="1141"/>
      <c r="AG107" s="1141"/>
      <c r="AH107" s="1141"/>
      <c r="AI107" s="1141"/>
      <c r="AJ107" s="1141"/>
      <c r="AK107" s="1141"/>
      <c r="AL107" s="1141"/>
      <c r="AM107" s="1141"/>
      <c r="AN107" s="1141"/>
      <c r="AO107" s="1141"/>
      <c r="AP107" s="1141"/>
      <c r="AQ107" s="1141"/>
      <c r="AR107" s="1141"/>
      <c r="AS107" s="1141"/>
      <c r="AT107" s="1141"/>
      <c r="AU107" s="1141"/>
    </row>
    <row r="108" spans="2:47" ht="16.5" customHeight="1" x14ac:dyDescent="0.2">
      <c r="D108" s="1141"/>
      <c r="E108" s="1141"/>
      <c r="F108" s="1141"/>
      <c r="G108" s="1141"/>
      <c r="H108" s="1141"/>
      <c r="I108" s="1141"/>
      <c r="J108" s="1141"/>
      <c r="K108" s="1141"/>
      <c r="L108" s="1141"/>
      <c r="M108" s="1141"/>
      <c r="N108" s="1141"/>
      <c r="O108" s="1141"/>
      <c r="P108" s="1141"/>
      <c r="Q108" s="1141"/>
      <c r="R108" s="1141"/>
      <c r="S108" s="1141"/>
      <c r="T108" s="1141"/>
      <c r="U108" s="1141"/>
      <c r="V108" s="1141"/>
      <c r="W108" s="1141"/>
      <c r="X108" s="1141"/>
      <c r="Y108" s="1141"/>
      <c r="Z108" s="1141"/>
      <c r="AA108" s="1141"/>
      <c r="AB108" s="1141"/>
      <c r="AC108" s="1141"/>
      <c r="AD108" s="1141"/>
      <c r="AE108" s="1141"/>
      <c r="AF108" s="1141"/>
      <c r="AG108" s="1141"/>
      <c r="AH108" s="1141"/>
      <c r="AI108" s="1141"/>
      <c r="AJ108" s="1141"/>
      <c r="AK108" s="1141"/>
      <c r="AL108" s="1141"/>
      <c r="AM108" s="1141"/>
      <c r="AN108" s="1141"/>
      <c r="AO108" s="1141"/>
      <c r="AP108" s="1141"/>
      <c r="AQ108" s="1141"/>
      <c r="AR108" s="1141"/>
      <c r="AS108" s="1141"/>
      <c r="AT108" s="1141"/>
      <c r="AU108" s="1141"/>
    </row>
    <row r="109" spans="2:47" ht="3" customHeight="1" x14ac:dyDescent="0.2"/>
    <row r="110" spans="2:47" s="94" customFormat="1" ht="24.75" customHeight="1" x14ac:dyDescent="0.2">
      <c r="B110" s="95" t="s">
        <v>152</v>
      </c>
      <c r="C110" s="95"/>
      <c r="D110" s="1142" t="s">
        <v>153</v>
      </c>
      <c r="E110" s="1142"/>
      <c r="F110" s="1142"/>
      <c r="G110" s="1142"/>
      <c r="H110" s="1142"/>
      <c r="I110" s="1142"/>
      <c r="J110" s="1142"/>
      <c r="K110" s="1142"/>
      <c r="L110" s="1142"/>
      <c r="M110" s="1142"/>
      <c r="N110" s="1142"/>
      <c r="O110" s="1142"/>
      <c r="P110" s="1142"/>
      <c r="Q110" s="1142"/>
      <c r="R110" s="1142"/>
      <c r="S110" s="1142"/>
      <c r="T110" s="1142"/>
      <c r="U110" s="1142"/>
      <c r="V110" s="1142"/>
      <c r="W110" s="1142"/>
      <c r="X110" s="1142"/>
      <c r="Y110" s="1142"/>
      <c r="Z110" s="1142"/>
      <c r="AA110" s="1142"/>
      <c r="AB110" s="1142"/>
      <c r="AC110" s="1142"/>
      <c r="AD110" s="1142"/>
      <c r="AE110" s="1142"/>
      <c r="AF110" s="1142"/>
      <c r="AG110" s="1142"/>
      <c r="AH110" s="1142"/>
      <c r="AI110" s="1142"/>
      <c r="AJ110" s="1142"/>
      <c r="AK110" s="1142"/>
      <c r="AL110" s="1142"/>
      <c r="AM110" s="1142"/>
      <c r="AN110" s="1142"/>
      <c r="AO110" s="1142"/>
      <c r="AP110" s="1142"/>
      <c r="AQ110" s="1142"/>
      <c r="AR110" s="1142"/>
      <c r="AS110" s="1142"/>
      <c r="AT110" s="1142"/>
      <c r="AU110" s="1142"/>
    </row>
    <row r="111" spans="2:47" ht="4.5" customHeight="1" x14ac:dyDescent="0.2"/>
    <row r="112" spans="2:47" s="94" customFormat="1" x14ac:dyDescent="0.2">
      <c r="D112" s="94" t="s">
        <v>149</v>
      </c>
    </row>
    <row r="113" spans="4:48" ht="4.5" customHeight="1" x14ac:dyDescent="0.2"/>
    <row r="114" spans="4:48" ht="16.5" customHeight="1" x14ac:dyDescent="0.2">
      <c r="D114" s="1141"/>
      <c r="E114" s="1141"/>
      <c r="F114" s="1141"/>
      <c r="G114" s="1141"/>
      <c r="H114" s="1141"/>
      <c r="I114" s="1141"/>
      <c r="J114" s="1141"/>
      <c r="K114" s="1141"/>
      <c r="L114" s="1141"/>
      <c r="M114" s="1141"/>
      <c r="N114" s="1141"/>
      <c r="O114" s="1141"/>
      <c r="P114" s="1141"/>
      <c r="Q114" s="1141"/>
      <c r="R114" s="1141"/>
      <c r="S114" s="1141"/>
      <c r="T114" s="1141"/>
      <c r="U114" s="1141"/>
      <c r="V114" s="1141"/>
      <c r="W114" s="1141"/>
      <c r="X114" s="1141"/>
      <c r="Y114" s="1141"/>
      <c r="Z114" s="1141"/>
      <c r="AA114" s="1141"/>
      <c r="AB114" s="1141"/>
      <c r="AC114" s="1141"/>
      <c r="AD114" s="1141"/>
      <c r="AE114" s="1141"/>
      <c r="AF114" s="1141"/>
      <c r="AG114" s="1141"/>
      <c r="AH114" s="1141"/>
      <c r="AI114" s="1141"/>
      <c r="AJ114" s="1141"/>
      <c r="AK114" s="1141"/>
      <c r="AL114" s="1141"/>
      <c r="AM114" s="1141"/>
      <c r="AN114" s="1141"/>
      <c r="AO114" s="1141"/>
      <c r="AP114" s="1141"/>
      <c r="AQ114" s="1141"/>
      <c r="AR114" s="1141"/>
      <c r="AS114" s="1141"/>
      <c r="AT114" s="1141"/>
      <c r="AU114" s="1141"/>
    </row>
    <row r="115" spans="4:48" ht="16.5" customHeight="1" x14ac:dyDescent="0.2">
      <c r="D115" s="1141"/>
      <c r="E115" s="1141"/>
      <c r="F115" s="1141"/>
      <c r="G115" s="1141"/>
      <c r="H115" s="1141"/>
      <c r="I115" s="1141"/>
      <c r="J115" s="1141"/>
      <c r="K115" s="1141"/>
      <c r="L115" s="1141"/>
      <c r="M115" s="1141"/>
      <c r="N115" s="1141"/>
      <c r="O115" s="1141"/>
      <c r="P115" s="1141"/>
      <c r="Q115" s="1141"/>
      <c r="R115" s="1141"/>
      <c r="S115" s="1141"/>
      <c r="T115" s="1141"/>
      <c r="U115" s="1141"/>
      <c r="V115" s="1141"/>
      <c r="W115" s="1141"/>
      <c r="X115" s="1141"/>
      <c r="Y115" s="1141"/>
      <c r="Z115" s="1141"/>
      <c r="AA115" s="1141"/>
      <c r="AB115" s="1141"/>
      <c r="AC115" s="1141"/>
      <c r="AD115" s="1141"/>
      <c r="AE115" s="1141"/>
      <c r="AF115" s="1141"/>
      <c r="AG115" s="1141"/>
      <c r="AH115" s="1141"/>
      <c r="AI115" s="1141"/>
      <c r="AJ115" s="1141"/>
      <c r="AK115" s="1141"/>
      <c r="AL115" s="1141"/>
      <c r="AM115" s="1141"/>
      <c r="AN115" s="1141"/>
      <c r="AO115" s="1141"/>
      <c r="AP115" s="1141"/>
      <c r="AQ115" s="1141"/>
      <c r="AR115" s="1141"/>
      <c r="AS115" s="1141"/>
      <c r="AT115" s="1141"/>
      <c r="AU115" s="1141"/>
    </row>
    <row r="116" spans="4:48" ht="16.5" customHeight="1" x14ac:dyDescent="0.2">
      <c r="D116" s="1141"/>
      <c r="E116" s="1141"/>
      <c r="F116" s="1141"/>
      <c r="G116" s="1141"/>
      <c r="H116" s="1141"/>
      <c r="I116" s="1141"/>
      <c r="J116" s="1141"/>
      <c r="K116" s="1141"/>
      <c r="L116" s="1141"/>
      <c r="M116" s="1141"/>
      <c r="N116" s="1141"/>
      <c r="O116" s="1141"/>
      <c r="P116" s="1141"/>
      <c r="Q116" s="1141"/>
      <c r="R116" s="1141"/>
      <c r="S116" s="1141"/>
      <c r="T116" s="1141"/>
      <c r="U116" s="1141"/>
      <c r="V116" s="1141"/>
      <c r="W116" s="1141"/>
      <c r="X116" s="1141"/>
      <c r="Y116" s="1141"/>
      <c r="Z116" s="1141"/>
      <c r="AA116" s="1141"/>
      <c r="AB116" s="1141"/>
      <c r="AC116" s="1141"/>
      <c r="AD116" s="1141"/>
      <c r="AE116" s="1141"/>
      <c r="AF116" s="1141"/>
      <c r="AG116" s="1141"/>
      <c r="AH116" s="1141"/>
      <c r="AI116" s="1141"/>
      <c r="AJ116" s="1141"/>
      <c r="AK116" s="1141"/>
      <c r="AL116" s="1141"/>
      <c r="AM116" s="1141"/>
      <c r="AN116" s="1141"/>
      <c r="AO116" s="1141"/>
      <c r="AP116" s="1141"/>
      <c r="AQ116" s="1141"/>
      <c r="AR116" s="1141"/>
      <c r="AS116" s="1141"/>
      <c r="AT116" s="1141"/>
      <c r="AU116" s="1141"/>
    </row>
    <row r="117" spans="4:48" ht="16.5" customHeight="1" x14ac:dyDescent="0.2">
      <c r="D117" s="1141"/>
      <c r="E117" s="1141"/>
      <c r="F117" s="1141"/>
      <c r="G117" s="1141"/>
      <c r="H117" s="1141"/>
      <c r="I117" s="1141"/>
      <c r="J117" s="1141"/>
      <c r="K117" s="1141"/>
      <c r="L117" s="1141"/>
      <c r="M117" s="1141"/>
      <c r="N117" s="1141"/>
      <c r="O117" s="1141"/>
      <c r="P117" s="1141"/>
      <c r="Q117" s="1141"/>
      <c r="R117" s="1141"/>
      <c r="S117" s="1141"/>
      <c r="T117" s="1141"/>
      <c r="U117" s="1141"/>
      <c r="V117" s="1141"/>
      <c r="W117" s="1141"/>
      <c r="X117" s="1141"/>
      <c r="Y117" s="1141"/>
      <c r="Z117" s="1141"/>
      <c r="AA117" s="1141"/>
      <c r="AB117" s="1141"/>
      <c r="AC117" s="1141"/>
      <c r="AD117" s="1141"/>
      <c r="AE117" s="1141"/>
      <c r="AF117" s="1141"/>
      <c r="AG117" s="1141"/>
      <c r="AH117" s="1141"/>
      <c r="AI117" s="1141"/>
      <c r="AJ117" s="1141"/>
      <c r="AK117" s="1141"/>
      <c r="AL117" s="1141"/>
      <c r="AM117" s="1141"/>
      <c r="AN117" s="1141"/>
      <c r="AO117" s="1141"/>
      <c r="AP117" s="1141"/>
      <c r="AQ117" s="1141"/>
      <c r="AR117" s="1141"/>
      <c r="AS117" s="1141"/>
      <c r="AT117" s="1141"/>
      <c r="AU117" s="1141"/>
    </row>
    <row r="118" spans="4:48" ht="16.5" customHeight="1" x14ac:dyDescent="0.2">
      <c r="D118" s="1141"/>
      <c r="E118" s="1141"/>
      <c r="F118" s="1141"/>
      <c r="G118" s="1141"/>
      <c r="H118" s="1141"/>
      <c r="I118" s="1141"/>
      <c r="J118" s="1141"/>
      <c r="K118" s="1141"/>
      <c r="L118" s="1141"/>
      <c r="M118" s="1141"/>
      <c r="N118" s="1141"/>
      <c r="O118" s="1141"/>
      <c r="P118" s="1141"/>
      <c r="Q118" s="1141"/>
      <c r="R118" s="1141"/>
      <c r="S118" s="1141"/>
      <c r="T118" s="1141"/>
      <c r="U118" s="1141"/>
      <c r="V118" s="1141"/>
      <c r="W118" s="1141"/>
      <c r="X118" s="1141"/>
      <c r="Y118" s="1141"/>
      <c r="Z118" s="1141"/>
      <c r="AA118" s="1141"/>
      <c r="AB118" s="1141"/>
      <c r="AC118" s="1141"/>
      <c r="AD118" s="1141"/>
      <c r="AE118" s="1141"/>
      <c r="AF118" s="1141"/>
      <c r="AG118" s="1141"/>
      <c r="AH118" s="1141"/>
      <c r="AI118" s="1141"/>
      <c r="AJ118" s="1141"/>
      <c r="AK118" s="1141"/>
      <c r="AL118" s="1141"/>
      <c r="AM118" s="1141"/>
      <c r="AN118" s="1141"/>
      <c r="AO118" s="1141"/>
      <c r="AP118" s="1141"/>
      <c r="AQ118" s="1141"/>
      <c r="AR118" s="1141"/>
      <c r="AS118" s="1141"/>
      <c r="AT118" s="1141"/>
      <c r="AU118" s="1141"/>
    </row>
    <row r="119" spans="4:48" ht="16.5" customHeight="1" x14ac:dyDescent="0.2">
      <c r="D119" s="1141"/>
      <c r="E119" s="1141"/>
      <c r="F119" s="1141"/>
      <c r="G119" s="1141"/>
      <c r="H119" s="1141"/>
      <c r="I119" s="1141"/>
      <c r="J119" s="1141"/>
      <c r="K119" s="1141"/>
      <c r="L119" s="1141"/>
      <c r="M119" s="1141"/>
      <c r="N119" s="1141"/>
      <c r="O119" s="1141"/>
      <c r="P119" s="1141"/>
      <c r="Q119" s="1141"/>
      <c r="R119" s="1141"/>
      <c r="S119" s="1141"/>
      <c r="T119" s="1141"/>
      <c r="U119" s="1141"/>
      <c r="V119" s="1141"/>
      <c r="W119" s="1141"/>
      <c r="X119" s="1141"/>
      <c r="Y119" s="1141"/>
      <c r="Z119" s="1141"/>
      <c r="AA119" s="1141"/>
      <c r="AB119" s="1141"/>
      <c r="AC119" s="1141"/>
      <c r="AD119" s="1141"/>
      <c r="AE119" s="1141"/>
      <c r="AF119" s="1141"/>
      <c r="AG119" s="1141"/>
      <c r="AH119" s="1141"/>
      <c r="AI119" s="1141"/>
      <c r="AJ119" s="1141"/>
      <c r="AK119" s="1141"/>
      <c r="AL119" s="1141"/>
      <c r="AM119" s="1141"/>
      <c r="AN119" s="1141"/>
      <c r="AO119" s="1141"/>
      <c r="AP119" s="1141"/>
      <c r="AQ119" s="1141"/>
      <c r="AR119" s="1141"/>
      <c r="AS119" s="1141"/>
      <c r="AT119" s="1141"/>
      <c r="AU119" s="1141"/>
    </row>
    <row r="120" spans="4:48" ht="16.5" customHeight="1" x14ac:dyDescent="0.2">
      <c r="D120" s="1141"/>
      <c r="E120" s="1141"/>
      <c r="F120" s="1141"/>
      <c r="G120" s="1141"/>
      <c r="H120" s="1141"/>
      <c r="I120" s="1141"/>
      <c r="J120" s="1141"/>
      <c r="K120" s="1141"/>
      <c r="L120" s="1141"/>
      <c r="M120" s="1141"/>
      <c r="N120" s="1141"/>
      <c r="O120" s="1141"/>
      <c r="P120" s="1141"/>
      <c r="Q120" s="1141"/>
      <c r="R120" s="1141"/>
      <c r="S120" s="1141"/>
      <c r="T120" s="1141"/>
      <c r="U120" s="1141"/>
      <c r="V120" s="1141"/>
      <c r="W120" s="1141"/>
      <c r="X120" s="1141"/>
      <c r="Y120" s="1141"/>
      <c r="Z120" s="1141"/>
      <c r="AA120" s="1141"/>
      <c r="AB120" s="1141"/>
      <c r="AC120" s="1141"/>
      <c r="AD120" s="1141"/>
      <c r="AE120" s="1141"/>
      <c r="AF120" s="1141"/>
      <c r="AG120" s="1141"/>
      <c r="AH120" s="1141"/>
      <c r="AI120" s="1141"/>
      <c r="AJ120" s="1141"/>
      <c r="AK120" s="1141"/>
      <c r="AL120" s="1141"/>
      <c r="AM120" s="1141"/>
      <c r="AN120" s="1141"/>
      <c r="AO120" s="1141"/>
      <c r="AP120" s="1141"/>
      <c r="AQ120" s="1141"/>
      <c r="AR120" s="1141"/>
      <c r="AS120" s="1141"/>
      <c r="AT120" s="1141"/>
      <c r="AU120" s="1141"/>
    </row>
    <row r="121" spans="4:48" ht="10.5" customHeight="1" thickBot="1" x14ac:dyDescent="0.25"/>
    <row r="122" spans="4:48" ht="13.5" hidden="1" thickBot="1" x14ac:dyDescent="0.25"/>
    <row r="123" spans="4:48" ht="27" customHeight="1" x14ac:dyDescent="0.2">
      <c r="D123" s="1145" t="s">
        <v>154</v>
      </c>
      <c r="E123" s="1146"/>
      <c r="F123" s="1146"/>
      <c r="G123" s="1146"/>
      <c r="H123" s="1146"/>
      <c r="I123" s="1146"/>
      <c r="J123" s="1146"/>
      <c r="K123" s="1146"/>
      <c r="L123" s="1146"/>
      <c r="M123" s="1146"/>
      <c r="N123" s="1146" t="s">
        <v>155</v>
      </c>
      <c r="O123" s="1146"/>
      <c r="P123" s="1146"/>
      <c r="Q123" s="1146"/>
      <c r="R123" s="1146"/>
      <c r="S123" s="1146"/>
      <c r="T123" s="1146"/>
      <c r="U123" s="1146"/>
      <c r="V123" s="1146"/>
      <c r="W123" s="1146"/>
      <c r="X123" s="1146" t="s">
        <v>156</v>
      </c>
      <c r="Y123" s="1146"/>
      <c r="Z123" s="1146"/>
      <c r="AA123" s="1146"/>
      <c r="AB123" s="1146"/>
      <c r="AC123" s="1146"/>
      <c r="AD123" s="1146"/>
      <c r="AE123" s="1146"/>
      <c r="AF123" s="1146"/>
      <c r="AG123" s="1146"/>
      <c r="AH123" s="1146" t="s">
        <v>157</v>
      </c>
      <c r="AI123" s="1146"/>
      <c r="AJ123" s="1146"/>
      <c r="AK123" s="1146"/>
      <c r="AL123" s="1146"/>
      <c r="AM123" s="1146"/>
      <c r="AN123" s="1146"/>
      <c r="AO123" s="1146"/>
      <c r="AP123" s="1146"/>
      <c r="AQ123" s="1147"/>
      <c r="AR123" s="96"/>
      <c r="AS123" s="96"/>
      <c r="AT123" s="96"/>
      <c r="AU123" s="96"/>
      <c r="AV123" s="96"/>
    </row>
    <row r="124" spans="4:48" x14ac:dyDescent="0.2">
      <c r="D124" s="1127"/>
      <c r="E124" s="1128"/>
      <c r="F124" s="1128"/>
      <c r="G124" s="1128"/>
      <c r="H124" s="1128"/>
      <c r="I124" s="1128"/>
      <c r="J124" s="1128"/>
      <c r="K124" s="1128"/>
      <c r="L124" s="1128"/>
      <c r="M124" s="1128"/>
      <c r="N124" s="1128"/>
      <c r="O124" s="1128"/>
      <c r="P124" s="1128"/>
      <c r="Q124" s="1128"/>
      <c r="R124" s="1128"/>
      <c r="S124" s="1128"/>
      <c r="T124" s="1128"/>
      <c r="U124" s="1128"/>
      <c r="V124" s="1128"/>
      <c r="W124" s="1128"/>
      <c r="X124" s="1133"/>
      <c r="Y124" s="1133"/>
      <c r="Z124" s="1133"/>
      <c r="AA124" s="1133"/>
      <c r="AB124" s="1133"/>
      <c r="AC124" s="1133"/>
      <c r="AD124" s="1133"/>
      <c r="AE124" s="1133"/>
      <c r="AF124" s="1133"/>
      <c r="AG124" s="1133"/>
      <c r="AH124" s="1128"/>
      <c r="AI124" s="1128"/>
      <c r="AJ124" s="1128"/>
      <c r="AK124" s="1128"/>
      <c r="AL124" s="1128"/>
      <c r="AM124" s="1128"/>
      <c r="AN124" s="1128"/>
      <c r="AO124" s="1128"/>
      <c r="AP124" s="1128"/>
      <c r="AQ124" s="1136"/>
      <c r="AR124" s="96"/>
      <c r="AS124" s="96"/>
      <c r="AT124" s="96"/>
      <c r="AU124" s="96"/>
      <c r="AV124" s="96"/>
    </row>
    <row r="125" spans="4:48" x14ac:dyDescent="0.2">
      <c r="D125" s="1129"/>
      <c r="E125" s="1130"/>
      <c r="F125" s="1130"/>
      <c r="G125" s="1130"/>
      <c r="H125" s="1130"/>
      <c r="I125" s="1130"/>
      <c r="J125" s="1130"/>
      <c r="K125" s="1130"/>
      <c r="L125" s="1130"/>
      <c r="M125" s="1130"/>
      <c r="N125" s="1130"/>
      <c r="O125" s="1130"/>
      <c r="P125" s="1130"/>
      <c r="Q125" s="1130"/>
      <c r="R125" s="1130"/>
      <c r="S125" s="1130"/>
      <c r="T125" s="1130"/>
      <c r="U125" s="1130"/>
      <c r="V125" s="1130"/>
      <c r="W125" s="1130"/>
      <c r="X125" s="1134"/>
      <c r="Y125" s="1134"/>
      <c r="Z125" s="1134"/>
      <c r="AA125" s="1134"/>
      <c r="AB125" s="1134"/>
      <c r="AC125" s="1134"/>
      <c r="AD125" s="1134"/>
      <c r="AE125" s="1134"/>
      <c r="AF125" s="1134"/>
      <c r="AG125" s="1134"/>
      <c r="AH125" s="1130"/>
      <c r="AI125" s="1130"/>
      <c r="AJ125" s="1130"/>
      <c r="AK125" s="1130"/>
      <c r="AL125" s="1130"/>
      <c r="AM125" s="1130"/>
      <c r="AN125" s="1130"/>
      <c r="AO125" s="1130"/>
      <c r="AP125" s="1130"/>
      <c r="AQ125" s="1137"/>
      <c r="AR125" s="96"/>
      <c r="AS125" s="96"/>
      <c r="AT125" s="96"/>
      <c r="AU125" s="96"/>
      <c r="AV125" s="96"/>
    </row>
    <row r="126" spans="4:48" x14ac:dyDescent="0.2">
      <c r="D126" s="1129"/>
      <c r="E126" s="1130"/>
      <c r="F126" s="1130"/>
      <c r="G126" s="1130"/>
      <c r="H126" s="1130"/>
      <c r="I126" s="1130"/>
      <c r="J126" s="1130"/>
      <c r="K126" s="1130"/>
      <c r="L126" s="1130"/>
      <c r="M126" s="1130"/>
      <c r="N126" s="1130"/>
      <c r="O126" s="1130"/>
      <c r="P126" s="1130"/>
      <c r="Q126" s="1130"/>
      <c r="R126" s="1130"/>
      <c r="S126" s="1130"/>
      <c r="T126" s="1130"/>
      <c r="U126" s="1130"/>
      <c r="V126" s="1130"/>
      <c r="W126" s="1130"/>
      <c r="X126" s="1134"/>
      <c r="Y126" s="1134"/>
      <c r="Z126" s="1134"/>
      <c r="AA126" s="1134"/>
      <c r="AB126" s="1134"/>
      <c r="AC126" s="1134"/>
      <c r="AD126" s="1134"/>
      <c r="AE126" s="1134"/>
      <c r="AF126" s="1134"/>
      <c r="AG126" s="1134"/>
      <c r="AH126" s="1130"/>
      <c r="AI126" s="1130"/>
      <c r="AJ126" s="1130"/>
      <c r="AK126" s="1130"/>
      <c r="AL126" s="1130"/>
      <c r="AM126" s="1130"/>
      <c r="AN126" s="1130"/>
      <c r="AO126" s="1130"/>
      <c r="AP126" s="1130"/>
      <c r="AQ126" s="1137"/>
    </row>
    <row r="127" spans="4:48" ht="13.5" thickBot="1" x14ac:dyDescent="0.25">
      <c r="D127" s="1131"/>
      <c r="E127" s="1132"/>
      <c r="F127" s="1132"/>
      <c r="G127" s="1132"/>
      <c r="H127" s="1132"/>
      <c r="I127" s="1132"/>
      <c r="J127" s="1132"/>
      <c r="K127" s="1132"/>
      <c r="L127" s="1132"/>
      <c r="M127" s="1132"/>
      <c r="N127" s="1132"/>
      <c r="O127" s="1132"/>
      <c r="P127" s="1132"/>
      <c r="Q127" s="1132"/>
      <c r="R127" s="1132"/>
      <c r="S127" s="1132"/>
      <c r="T127" s="1132"/>
      <c r="U127" s="1132"/>
      <c r="V127" s="1132"/>
      <c r="W127" s="1132"/>
      <c r="X127" s="1135"/>
      <c r="Y127" s="1135"/>
      <c r="Z127" s="1135"/>
      <c r="AA127" s="1135"/>
      <c r="AB127" s="1135"/>
      <c r="AC127" s="1135"/>
      <c r="AD127" s="1135"/>
      <c r="AE127" s="1135"/>
      <c r="AF127" s="1135"/>
      <c r="AG127" s="1135"/>
      <c r="AH127" s="1132"/>
      <c r="AI127" s="1132"/>
      <c r="AJ127" s="1132"/>
      <c r="AK127" s="1132"/>
      <c r="AL127" s="1132"/>
      <c r="AM127" s="1132"/>
      <c r="AN127" s="1132"/>
      <c r="AO127" s="1132"/>
      <c r="AP127" s="1132"/>
      <c r="AQ127" s="1138"/>
    </row>
  </sheetData>
  <mergeCells count="64">
    <mergeCell ref="B12:AV12"/>
    <mergeCell ref="N16:O16"/>
    <mergeCell ref="AN16:AO16"/>
    <mergeCell ref="N18:O18"/>
    <mergeCell ref="N20:O20"/>
    <mergeCell ref="N24:O24"/>
    <mergeCell ref="AN24:AO24"/>
    <mergeCell ref="N26:O26"/>
    <mergeCell ref="AN26:AO26"/>
    <mergeCell ref="N28:O28"/>
    <mergeCell ref="N30:O30"/>
    <mergeCell ref="N34:O34"/>
    <mergeCell ref="AE34:AF34"/>
    <mergeCell ref="N38:O38"/>
    <mergeCell ref="AE38:AF38"/>
    <mergeCell ref="N42:O42"/>
    <mergeCell ref="AE42:AF42"/>
    <mergeCell ref="N46:O46"/>
    <mergeCell ref="AE46:AF46"/>
    <mergeCell ref="N50:O50"/>
    <mergeCell ref="AE50:AF50"/>
    <mergeCell ref="D54:AU54"/>
    <mergeCell ref="D62:AU62"/>
    <mergeCell ref="D64:AU64"/>
    <mergeCell ref="D66:AU66"/>
    <mergeCell ref="D67:AU67"/>
    <mergeCell ref="D69:AU69"/>
    <mergeCell ref="D71:AU71"/>
    <mergeCell ref="D72:AU72"/>
    <mergeCell ref="N76:O76"/>
    <mergeCell ref="AE76:AF76"/>
    <mergeCell ref="N80:O80"/>
    <mergeCell ref="AE80:AF80"/>
    <mergeCell ref="D84:AU84"/>
    <mergeCell ref="D85:AU85"/>
    <mergeCell ref="B87:AV87"/>
    <mergeCell ref="N92:O92"/>
    <mergeCell ref="AE92:AF92"/>
    <mergeCell ref="D96:AU96"/>
    <mergeCell ref="D97:AU97"/>
    <mergeCell ref="D98:AU98"/>
    <mergeCell ref="AH123:AQ123"/>
    <mergeCell ref="D106:AU106"/>
    <mergeCell ref="D107:AU107"/>
    <mergeCell ref="D108:AU108"/>
    <mergeCell ref="D110:AU110"/>
    <mergeCell ref="D114:AU114"/>
    <mergeCell ref="D115:AU115"/>
    <mergeCell ref="D124:M127"/>
    <mergeCell ref="N124:W127"/>
    <mergeCell ref="X124:AG127"/>
    <mergeCell ref="AH124:AQ127"/>
    <mergeCell ref="AE58:AF58"/>
    <mergeCell ref="D116:AU116"/>
    <mergeCell ref="D117:AU117"/>
    <mergeCell ref="D118:AU118"/>
    <mergeCell ref="D119:AU119"/>
    <mergeCell ref="D120:AU120"/>
    <mergeCell ref="D100:AU100"/>
    <mergeCell ref="N102:O102"/>
    <mergeCell ref="AE102:AF102"/>
    <mergeCell ref="D123:M123"/>
    <mergeCell ref="N123:W123"/>
    <mergeCell ref="X123:AG123"/>
  </mergeCells>
  <printOptions horizontalCentered="1"/>
  <pageMargins left="0.9055118110236221" right="0.9055118110236221" top="0.74803149606299213" bottom="0.74803149606299213" header="0.31496062992125984" footer="0.31496062992125984"/>
  <pageSetup paperSize="9" orientation="portrait" r:id="rId1"/>
  <headerFooter>
    <oddFooter>&amp;L&amp;G&amp;R&amp;G</oddFooter>
  </headerFooter>
  <rowBreaks count="1" manualBreakCount="1">
    <brk id="73"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9100-B18E-4B0C-92B3-3A788C859B7D}">
  <sheetPr codeName="Hoja4">
    <tabColor rgb="FFFFFF00"/>
  </sheetPr>
  <dimension ref="A1:R98"/>
  <sheetViews>
    <sheetView workbookViewId="0">
      <selection activeCell="I5" sqref="I5"/>
    </sheetView>
  </sheetViews>
  <sheetFormatPr baseColWidth="10" defaultColWidth="0" defaultRowHeight="0" customHeight="1" zeroHeight="1" x14ac:dyDescent="0.15"/>
  <cols>
    <col min="1" max="1" width="18.42578125" style="132" customWidth="1"/>
    <col min="2" max="2" width="6.42578125" style="107" customWidth="1"/>
    <col min="3" max="3" width="10.42578125" style="133" customWidth="1"/>
    <col min="4" max="4" width="16.85546875" style="132" customWidth="1"/>
    <col min="5" max="5" width="10.85546875" style="132" customWidth="1"/>
    <col min="6" max="6" width="14.140625" style="132" customWidth="1"/>
    <col min="7" max="8" width="10.42578125" style="132" customWidth="1"/>
    <col min="9" max="9" width="14.140625" style="132" customWidth="1"/>
    <col min="10" max="10" width="6.42578125" style="132" customWidth="1"/>
    <col min="11" max="11" width="10.42578125" style="107" customWidth="1"/>
    <col min="12" max="12" width="9.42578125" style="107" customWidth="1"/>
    <col min="13" max="13" width="12.42578125" style="132" customWidth="1"/>
    <col min="14" max="14" width="23" style="132" customWidth="1"/>
    <col min="15" max="15" width="0.85546875" style="107" customWidth="1"/>
    <col min="16" max="16384" width="9.140625" style="107" hidden="1"/>
  </cols>
  <sheetData>
    <row r="1" spans="1:15" s="97" customFormat="1" ht="48" customHeight="1" x14ac:dyDescent="0.25">
      <c r="C1" s="98"/>
      <c r="D1" s="99"/>
      <c r="F1" s="100"/>
      <c r="G1" s="101"/>
      <c r="H1" s="101"/>
      <c r="I1" s="101"/>
      <c r="J1" s="101"/>
      <c r="K1" s="101"/>
      <c r="L1" s="101"/>
      <c r="M1" s="101"/>
      <c r="N1" s="101"/>
      <c r="O1" s="101"/>
    </row>
    <row r="2" spans="1:15" s="97" customFormat="1" ht="2.25" customHeight="1" x14ac:dyDescent="0.25">
      <c r="A2" s="102"/>
      <c r="B2" s="102"/>
      <c r="C2" s="103"/>
      <c r="D2" s="104"/>
      <c r="E2" s="102"/>
      <c r="F2" s="105"/>
      <c r="G2" s="106"/>
      <c r="H2" s="106"/>
      <c r="I2" s="106"/>
      <c r="J2" s="106"/>
      <c r="K2" s="106"/>
      <c r="L2" s="106"/>
      <c r="M2" s="106"/>
      <c r="N2" s="106"/>
      <c r="O2" s="101"/>
    </row>
    <row r="3" spans="1:15" ht="9.75" customHeight="1" x14ac:dyDescent="0.2">
      <c r="A3" s="1154"/>
      <c r="B3" s="1154"/>
      <c r="C3" s="1154"/>
      <c r="D3" s="1154"/>
      <c r="E3" s="1154"/>
      <c r="F3" s="1154"/>
      <c r="G3" s="1154"/>
      <c r="H3" s="1154"/>
      <c r="I3" s="1154"/>
      <c r="J3" s="1154"/>
      <c r="K3" s="1154"/>
      <c r="L3" s="1154"/>
      <c r="M3" s="1154"/>
      <c r="N3" s="1154"/>
    </row>
    <row r="4" spans="1:15" ht="8.25" customHeight="1" x14ac:dyDescent="0.25">
      <c r="A4" s="107"/>
      <c r="B4" s="108"/>
      <c r="C4" s="108"/>
      <c r="D4" s="108"/>
      <c r="E4" s="108"/>
      <c r="F4" s="108"/>
      <c r="G4" s="108"/>
      <c r="H4" s="108"/>
      <c r="I4" s="108"/>
      <c r="J4" s="108"/>
      <c r="K4" s="108"/>
      <c r="L4" s="108"/>
      <c r="M4" s="108"/>
      <c r="N4" s="108"/>
    </row>
    <row r="5" spans="1:15" ht="15.75" x14ac:dyDescent="0.25">
      <c r="A5" s="109" t="s">
        <v>160</v>
      </c>
      <c r="B5" s="109"/>
      <c r="C5" s="108"/>
      <c r="D5" s="108"/>
      <c r="E5" s="108"/>
      <c r="F5" s="108"/>
      <c r="G5" s="108"/>
      <c r="H5" s="108"/>
      <c r="I5" s="108"/>
      <c r="J5" s="108"/>
      <c r="K5" s="108"/>
      <c r="L5" s="108"/>
      <c r="M5" s="108"/>
      <c r="N5" s="108"/>
    </row>
    <row r="6" spans="1:15" ht="3.75" customHeight="1" x14ac:dyDescent="0.25">
      <c r="A6" s="110"/>
      <c r="B6" s="110"/>
      <c r="C6" s="111"/>
      <c r="D6" s="111"/>
      <c r="E6" s="111"/>
      <c r="F6" s="111"/>
      <c r="G6" s="111"/>
      <c r="H6" s="111"/>
      <c r="I6" s="111"/>
      <c r="J6" s="111"/>
      <c r="K6" s="111"/>
      <c r="L6" s="111"/>
      <c r="M6" s="111"/>
      <c r="N6" s="111"/>
    </row>
    <row r="7" spans="1:15" ht="15.75" customHeight="1" x14ac:dyDescent="0.25">
      <c r="A7" s="1155" t="s">
        <v>44</v>
      </c>
      <c r="B7" s="1155"/>
      <c r="C7" s="1155">
        <f>+MEMORIA!S15</f>
        <v>0</v>
      </c>
      <c r="D7" s="1155"/>
      <c r="E7" s="1155"/>
      <c r="F7" s="1155"/>
      <c r="G7" s="1155"/>
      <c r="H7" s="1155"/>
      <c r="I7" s="1155"/>
      <c r="J7" s="1155"/>
      <c r="K7" s="1155"/>
      <c r="L7" s="1155"/>
      <c r="M7" s="1155"/>
      <c r="N7" s="111"/>
    </row>
    <row r="8" spans="1:15" ht="16.5" customHeight="1" x14ac:dyDescent="0.25">
      <c r="A8" s="1155" t="s">
        <v>161</v>
      </c>
      <c r="B8" s="1155"/>
      <c r="C8" s="1155">
        <f>+MEMORIA!S14</f>
        <v>0</v>
      </c>
      <c r="D8" s="1155"/>
      <c r="E8" s="1155"/>
      <c r="F8" s="1155"/>
      <c r="G8" s="1155"/>
      <c r="H8" s="1155"/>
      <c r="I8" s="1155"/>
      <c r="J8" s="1155"/>
      <c r="K8" s="1155"/>
      <c r="L8" s="1155"/>
      <c r="M8" s="1155"/>
      <c r="N8" s="111"/>
    </row>
    <row r="9" spans="1:15" ht="10.5" customHeight="1" thickBot="1" x14ac:dyDescent="0.3">
      <c r="A9" s="112"/>
      <c r="B9" s="112"/>
      <c r="C9" s="113"/>
      <c r="D9" s="112"/>
      <c r="E9" s="112"/>
      <c r="F9" s="112"/>
      <c r="G9" s="112"/>
      <c r="H9" s="112"/>
      <c r="I9" s="112"/>
      <c r="J9" s="112"/>
      <c r="K9" s="112"/>
      <c r="L9" s="112"/>
      <c r="M9" s="112"/>
      <c r="N9" s="112"/>
    </row>
    <row r="10" spans="1:15" s="115" customFormat="1" ht="15.75" customHeight="1" thickBot="1" x14ac:dyDescent="0.25">
      <c r="A10" s="1156" t="s">
        <v>162</v>
      </c>
      <c r="B10" s="1157"/>
      <c r="C10" s="1157"/>
      <c r="D10" s="1157"/>
      <c r="E10" s="1157"/>
      <c r="F10" s="1158"/>
      <c r="G10" s="1159" t="s">
        <v>163</v>
      </c>
      <c r="H10" s="1159"/>
      <c r="I10" s="114" t="s">
        <v>164</v>
      </c>
      <c r="J10" s="114" t="s">
        <v>62</v>
      </c>
      <c r="K10" s="114" t="s">
        <v>67</v>
      </c>
      <c r="L10" s="114" t="s">
        <v>76</v>
      </c>
      <c r="M10" s="114" t="s">
        <v>165</v>
      </c>
      <c r="N10" s="114" t="s">
        <v>78</v>
      </c>
    </row>
    <row r="11" spans="1:15" s="287" customFormat="1" ht="15.75" customHeight="1" x14ac:dyDescent="0.2">
      <c r="A11" s="282" t="s">
        <v>166</v>
      </c>
      <c r="B11" s="282" t="s">
        <v>167</v>
      </c>
      <c r="C11" s="283" t="s">
        <v>168</v>
      </c>
      <c r="D11" s="284" t="s">
        <v>169</v>
      </c>
      <c r="E11" s="284" t="s">
        <v>170</v>
      </c>
      <c r="F11" s="284" t="s">
        <v>171</v>
      </c>
      <c r="G11" s="284" t="s">
        <v>60</v>
      </c>
      <c r="H11" s="284" t="s">
        <v>61</v>
      </c>
      <c r="I11" s="284" t="s">
        <v>172</v>
      </c>
      <c r="J11" s="284" t="s">
        <v>173</v>
      </c>
      <c r="K11" s="285" t="s">
        <v>173</v>
      </c>
      <c r="L11" s="285" t="s">
        <v>174</v>
      </c>
      <c r="M11" s="284" t="s">
        <v>175</v>
      </c>
      <c r="N11" s="286" t="s">
        <v>176</v>
      </c>
    </row>
    <row r="12" spans="1:15" s="116" customFormat="1" ht="129.75" customHeight="1" x14ac:dyDescent="0.2">
      <c r="A12" s="436"/>
      <c r="B12" s="437"/>
      <c r="C12" s="438"/>
      <c r="D12" s="439"/>
      <c r="E12" s="440"/>
      <c r="F12" s="440"/>
      <c r="G12" s="441"/>
      <c r="H12" s="441" t="s">
        <v>2316</v>
      </c>
      <c r="I12" s="442">
        <f>2025-MEMORIA!O100</f>
        <v>2025</v>
      </c>
      <c r="J12" s="442">
        <v>3</v>
      </c>
      <c r="K12" s="442">
        <v>1</v>
      </c>
      <c r="L12" s="442">
        <v>3</v>
      </c>
      <c r="M12" s="442">
        <v>1</v>
      </c>
      <c r="N12" s="440">
        <f>+MEMORIA!AM269+MEMORIA!AM270+MEMORIA!AM271+MEMORIA!AM275+MEMORIA!AM276+MEMORIA!AM277+MEMORIA!AM281+MEMORIA!AM282+MEMORIA!AM283</f>
        <v>0</v>
      </c>
    </row>
    <row r="13" spans="1:15" s="116" customFormat="1" ht="18.75" customHeight="1" x14ac:dyDescent="0.2">
      <c r="A13" s="117"/>
      <c r="B13" s="117"/>
      <c r="C13" s="117"/>
      <c r="D13" s="117"/>
      <c r="E13" s="117"/>
      <c r="F13" s="117"/>
      <c r="G13" s="117"/>
      <c r="H13" s="117"/>
      <c r="I13" s="117"/>
      <c r="J13" s="117"/>
      <c r="K13" s="117"/>
      <c r="L13" s="117"/>
      <c r="M13" s="118" t="s">
        <v>50</v>
      </c>
      <c r="N13" s="288">
        <f>+N12</f>
        <v>0</v>
      </c>
    </row>
    <row r="14" spans="1:15" s="122" customFormat="1" ht="15" customHeight="1" x14ac:dyDescent="0.2">
      <c r="A14" s="119"/>
      <c r="B14" s="119"/>
      <c r="C14" s="120"/>
      <c r="D14" s="119"/>
      <c r="E14" s="121"/>
      <c r="F14" s="119"/>
      <c r="G14" s="119"/>
      <c r="H14" s="119"/>
      <c r="I14" s="119"/>
      <c r="J14" s="119"/>
      <c r="M14" s="119"/>
      <c r="N14" s="121"/>
    </row>
    <row r="15" spans="1:15" s="115" customFormat="1" ht="12.75" x14ac:dyDescent="0.2">
      <c r="A15" s="123"/>
      <c r="C15" s="124"/>
      <c r="D15" s="125"/>
      <c r="E15" s="125"/>
      <c r="F15" s="125"/>
      <c r="G15" s="125"/>
      <c r="H15" s="125"/>
      <c r="J15" s="125"/>
      <c r="M15" s="125"/>
      <c r="N15" s="125"/>
    </row>
    <row r="16" spans="1:15" s="115" customFormat="1" ht="13.5" customHeight="1" x14ac:dyDescent="0.2">
      <c r="B16" s="1152"/>
      <c r="C16" s="1153"/>
      <c r="D16" s="1153"/>
      <c r="E16" s="1153"/>
      <c r="F16" s="1153"/>
      <c r="G16" s="1153"/>
      <c r="H16" s="1153"/>
      <c r="J16" s="125"/>
      <c r="M16" s="125"/>
      <c r="N16" s="125"/>
    </row>
    <row r="17" spans="1:18" s="115" customFormat="1" ht="13.5" customHeight="1" x14ac:dyDescent="0.2">
      <c r="B17" s="126"/>
      <c r="C17" s="128"/>
      <c r="D17" s="127"/>
      <c r="E17" s="127"/>
      <c r="F17" s="127"/>
      <c r="G17" s="127"/>
      <c r="H17" s="127"/>
      <c r="J17" s="125"/>
      <c r="M17" s="125"/>
      <c r="N17" s="125"/>
    </row>
    <row r="18" spans="1:18" s="115" customFormat="1" ht="13.5" customHeight="1" x14ac:dyDescent="0.2">
      <c r="A18" s="129" t="s">
        <v>177</v>
      </c>
      <c r="B18" s="129"/>
      <c r="C18" s="129"/>
      <c r="D18" s="129"/>
      <c r="E18" s="125"/>
      <c r="F18" s="125"/>
      <c r="G18" s="125"/>
      <c r="H18" s="125"/>
      <c r="I18" s="125"/>
      <c r="J18" s="125"/>
      <c r="M18" s="125"/>
      <c r="N18" s="125"/>
    </row>
    <row r="19" spans="1:18" s="115" customFormat="1" ht="21" customHeight="1" x14ac:dyDescent="0.2">
      <c r="A19" s="129"/>
      <c r="B19" s="129"/>
      <c r="C19" s="130"/>
      <c r="D19" s="129"/>
      <c r="G19" s="129"/>
      <c r="H19" s="125"/>
      <c r="I19" s="125"/>
      <c r="J19" s="125"/>
      <c r="M19" s="125"/>
      <c r="N19" s="125"/>
    </row>
    <row r="20" spans="1:18" s="115" customFormat="1" ht="13.5" customHeight="1" x14ac:dyDescent="0.2">
      <c r="A20" s="131" t="s">
        <v>178</v>
      </c>
      <c r="B20" s="129"/>
      <c r="C20" s="130"/>
      <c r="D20" s="129" t="s">
        <v>179</v>
      </c>
      <c r="F20" s="129" t="s">
        <v>180</v>
      </c>
      <c r="I20" s="129" t="s">
        <v>181</v>
      </c>
      <c r="K20" s="129"/>
      <c r="M20" s="125"/>
      <c r="N20" s="125"/>
    </row>
    <row r="21" spans="1:18" s="115" customFormat="1" ht="3" customHeight="1" x14ac:dyDescent="0.2">
      <c r="A21" s="129"/>
      <c r="B21" s="129"/>
      <c r="C21" s="130"/>
      <c r="D21" s="129"/>
      <c r="F21" s="129"/>
      <c r="I21" s="122"/>
      <c r="K21" s="116"/>
      <c r="L21" s="116"/>
      <c r="M21" s="116"/>
      <c r="N21" s="116"/>
      <c r="O21" s="116"/>
      <c r="P21" s="116"/>
      <c r="Q21" s="116"/>
      <c r="R21" s="116"/>
    </row>
    <row r="22" spans="1:18" ht="12.75" x14ac:dyDescent="0.2">
      <c r="A22" s="23" t="s">
        <v>182</v>
      </c>
      <c r="B22" s="21"/>
      <c r="C22" s="21"/>
      <c r="D22" s="23" t="s">
        <v>183</v>
      </c>
      <c r="F22" s="23" t="s">
        <v>184</v>
      </c>
      <c r="H22" s="90"/>
      <c r="I22" s="23" t="s">
        <v>185</v>
      </c>
      <c r="K22" s="22"/>
      <c r="L22" s="90"/>
    </row>
    <row r="23" spans="1:18" ht="12.75" x14ac:dyDescent="0.2">
      <c r="A23" s="23" t="s">
        <v>186</v>
      </c>
      <c r="B23" s="21"/>
      <c r="C23" s="21"/>
      <c r="D23" s="23" t="s">
        <v>187</v>
      </c>
      <c r="F23" s="23" t="s">
        <v>188</v>
      </c>
      <c r="H23" s="90"/>
      <c r="I23" s="23" t="s">
        <v>189</v>
      </c>
      <c r="K23" s="22"/>
      <c r="L23" s="90"/>
    </row>
    <row r="24" spans="1:18" ht="12.75" x14ac:dyDescent="0.2">
      <c r="A24" s="23" t="s">
        <v>190</v>
      </c>
      <c r="B24" s="21"/>
      <c r="C24" s="21"/>
      <c r="D24" s="23" t="s">
        <v>191</v>
      </c>
      <c r="F24" s="23" t="s">
        <v>192</v>
      </c>
      <c r="H24" s="90"/>
      <c r="I24" s="23" t="s">
        <v>193</v>
      </c>
      <c r="K24" s="22"/>
      <c r="L24" s="90"/>
    </row>
    <row r="25" spans="1:18" ht="12.75" x14ac:dyDescent="0.2">
      <c r="A25" s="23" t="s">
        <v>194</v>
      </c>
      <c r="B25" s="21"/>
      <c r="C25" s="21"/>
      <c r="D25" s="23" t="s">
        <v>195</v>
      </c>
      <c r="F25" s="23" t="s">
        <v>196</v>
      </c>
      <c r="H25" s="90"/>
      <c r="I25" s="23" t="s">
        <v>197</v>
      </c>
      <c r="K25" s="22"/>
      <c r="L25" s="90"/>
    </row>
    <row r="26" spans="1:18" ht="12.75" x14ac:dyDescent="0.2">
      <c r="A26" s="23" t="s">
        <v>198</v>
      </c>
      <c r="B26" s="21"/>
      <c r="C26" s="21"/>
      <c r="D26" s="23" t="s">
        <v>199</v>
      </c>
      <c r="F26" s="23" t="s">
        <v>200</v>
      </c>
      <c r="H26" s="90"/>
      <c r="I26" s="23" t="s">
        <v>201</v>
      </c>
      <c r="K26" s="22"/>
      <c r="L26" s="90"/>
    </row>
    <row r="27" spans="1:18" ht="12.75" x14ac:dyDescent="0.2">
      <c r="D27" s="23" t="s">
        <v>202</v>
      </c>
      <c r="F27" s="90"/>
      <c r="I27" s="23" t="s">
        <v>203</v>
      </c>
      <c r="K27" s="22"/>
      <c r="L27" s="90"/>
    </row>
    <row r="28" spans="1:18" ht="12.75" x14ac:dyDescent="0.2">
      <c r="D28" s="23" t="s">
        <v>204</v>
      </c>
      <c r="F28" s="90"/>
      <c r="J28" s="134"/>
      <c r="K28" s="135"/>
    </row>
    <row r="29" spans="1:18" ht="12.75" x14ac:dyDescent="0.2">
      <c r="D29" s="23" t="s">
        <v>205</v>
      </c>
      <c r="F29" s="90"/>
    </row>
    <row r="30" spans="1:18" ht="12.75" x14ac:dyDescent="0.2">
      <c r="D30" s="23" t="s">
        <v>206</v>
      </c>
      <c r="F30" s="90"/>
    </row>
    <row r="31" spans="1:18" ht="12.75" x14ac:dyDescent="0.2">
      <c r="D31" s="23" t="s">
        <v>207</v>
      </c>
      <c r="F31" s="90"/>
    </row>
    <row r="32" spans="1:18" ht="9.75" x14ac:dyDescent="0.15">
      <c r="D32" s="134"/>
    </row>
    <row r="33" ht="9.75" x14ac:dyDescent="0.15"/>
    <row r="34" ht="9.75" x14ac:dyDescent="0.15"/>
    <row r="35" ht="9.75" x14ac:dyDescent="0.15"/>
    <row r="36" ht="9.75" x14ac:dyDescent="0.15"/>
    <row r="37" ht="9.75" x14ac:dyDescent="0.15"/>
    <row r="38" ht="9.75" x14ac:dyDescent="0.15"/>
    <row r="39" ht="9.75" x14ac:dyDescent="0.15"/>
    <row r="40" ht="9.75" x14ac:dyDescent="0.15"/>
    <row r="41" ht="9.75" x14ac:dyDescent="0.15"/>
    <row r="42" ht="9.75" x14ac:dyDescent="0.15"/>
    <row r="43" ht="9.75" x14ac:dyDescent="0.15"/>
    <row r="44" ht="9.75" x14ac:dyDescent="0.15"/>
    <row r="45" ht="9.75" x14ac:dyDescent="0.15"/>
    <row r="46" ht="9.75" x14ac:dyDescent="0.15"/>
    <row r="47" ht="9.75" x14ac:dyDescent="0.15"/>
    <row r="48" ht="9.75" x14ac:dyDescent="0.15"/>
    <row r="49" ht="9.75" x14ac:dyDescent="0.15"/>
    <row r="50" ht="9.75" x14ac:dyDescent="0.15"/>
    <row r="51" ht="9.75" x14ac:dyDescent="0.15"/>
    <row r="52" ht="9.75" x14ac:dyDescent="0.15"/>
    <row r="53" ht="9.75" x14ac:dyDescent="0.15"/>
    <row r="54" ht="9.75" x14ac:dyDescent="0.15"/>
    <row r="55" ht="9.75" x14ac:dyDescent="0.15"/>
    <row r="56" ht="9.75" x14ac:dyDescent="0.15"/>
    <row r="57" ht="9.75" x14ac:dyDescent="0.15"/>
    <row r="58" ht="9.75" x14ac:dyDescent="0.15"/>
    <row r="59" ht="9.75" x14ac:dyDescent="0.15"/>
    <row r="60" ht="9.75" x14ac:dyDescent="0.15"/>
    <row r="61" ht="9.75" x14ac:dyDescent="0.15"/>
    <row r="62" ht="9.75" x14ac:dyDescent="0.15"/>
    <row r="63" ht="9.75" x14ac:dyDescent="0.15"/>
    <row r="64" ht="9.75" x14ac:dyDescent="0.15"/>
    <row r="65" ht="9.75" x14ac:dyDescent="0.15"/>
    <row r="66" ht="9.75" x14ac:dyDescent="0.15"/>
    <row r="67" ht="9.75" x14ac:dyDescent="0.15"/>
    <row r="68" ht="9.75" x14ac:dyDescent="0.15"/>
    <row r="69" ht="9.75" x14ac:dyDescent="0.15"/>
    <row r="70" ht="9.75" x14ac:dyDescent="0.15"/>
    <row r="71" ht="9.75" x14ac:dyDescent="0.15"/>
    <row r="72" ht="9.75" x14ac:dyDescent="0.15"/>
    <row r="73" ht="9.75" x14ac:dyDescent="0.15"/>
    <row r="74" ht="9.75" x14ac:dyDescent="0.15"/>
    <row r="75" ht="9.75" x14ac:dyDescent="0.15"/>
    <row r="76" ht="9.75" x14ac:dyDescent="0.15"/>
    <row r="77" ht="9.75" x14ac:dyDescent="0.15"/>
    <row r="78" ht="9.75" x14ac:dyDescent="0.15"/>
    <row r="79" ht="9.75" x14ac:dyDescent="0.15"/>
    <row r="80" ht="9.75" x14ac:dyDescent="0.15"/>
    <row r="81" ht="9.75" x14ac:dyDescent="0.15"/>
    <row r="82" ht="9.75" x14ac:dyDescent="0.15"/>
    <row r="83" ht="9.75" x14ac:dyDescent="0.15"/>
    <row r="84" ht="9.75" x14ac:dyDescent="0.15"/>
    <row r="85" ht="9.75" x14ac:dyDescent="0.15"/>
    <row r="86" ht="9.75" x14ac:dyDescent="0.15"/>
    <row r="87" ht="9.75" x14ac:dyDescent="0.15"/>
    <row r="88" ht="9.75" x14ac:dyDescent="0.15"/>
    <row r="89" ht="9" customHeight="1" x14ac:dyDescent="0.15"/>
    <row r="90" ht="9" customHeight="1" x14ac:dyDescent="0.15"/>
    <row r="91" ht="9" customHeight="1" x14ac:dyDescent="0.15"/>
    <row r="92" ht="9" customHeight="1" x14ac:dyDescent="0.15"/>
    <row r="93" ht="9" customHeight="1" x14ac:dyDescent="0.15"/>
    <row r="94" ht="9" customHeight="1" x14ac:dyDescent="0.15"/>
    <row r="95" ht="9" customHeight="1" x14ac:dyDescent="0.15"/>
    <row r="96" ht="9" customHeight="1" x14ac:dyDescent="0.15"/>
    <row r="97" ht="9" customHeight="1" x14ac:dyDescent="0.15"/>
    <row r="98" ht="9" customHeight="1" x14ac:dyDescent="0.15"/>
  </sheetData>
  <mergeCells count="8">
    <mergeCell ref="B16:H16"/>
    <mergeCell ref="A3:N3"/>
    <mergeCell ref="A7:B7"/>
    <mergeCell ref="C7:M7"/>
    <mergeCell ref="A8:B8"/>
    <mergeCell ref="C8:M8"/>
    <mergeCell ref="A10:F10"/>
    <mergeCell ref="G10:H10"/>
  </mergeCells>
  <pageMargins left="0" right="0" top="0.59055118110236227" bottom="0.98425196850393704" header="0" footer="0"/>
  <pageSetup paperSize="9" scale="85"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0881-C6BF-4B7D-AF3A-87C71664E4B5}">
  <sheetPr codeName="Hoja3"/>
  <dimension ref="A1:AQ83"/>
  <sheetViews>
    <sheetView topLeftCell="A6" zoomScaleNormal="100" workbookViewId="0">
      <selection activeCell="U30" sqref="U30"/>
    </sheetView>
  </sheetViews>
  <sheetFormatPr baseColWidth="10" defaultColWidth="9.140625" defaultRowHeight="23.25" customHeight="1" x14ac:dyDescent="0.25"/>
  <cols>
    <col min="1" max="1" width="3.42578125" style="2" customWidth="1"/>
    <col min="2" max="2" width="5" style="7" customWidth="1"/>
    <col min="3" max="3" width="5.42578125" style="2" customWidth="1"/>
    <col min="4" max="7" width="9.140625" style="2" customWidth="1"/>
    <col min="8" max="9" width="4.42578125" style="2" customWidth="1"/>
    <col min="10" max="12" width="9.140625" style="2" customWidth="1"/>
    <col min="13" max="13" width="5.42578125" style="2" customWidth="1"/>
    <col min="14" max="14" width="9.140625" style="2" customWidth="1"/>
    <col min="15" max="15" width="3.42578125" style="2" customWidth="1"/>
    <col min="16" max="16" width="5" style="7" customWidth="1"/>
    <col min="17" max="17" width="5.42578125" style="2" customWidth="1"/>
    <col min="18" max="21" width="9.140625" style="2" customWidth="1"/>
    <col min="22" max="23" width="4.42578125" style="2" customWidth="1"/>
    <col min="24" max="26" width="9.140625" style="2" customWidth="1"/>
    <col min="27" max="27" width="5.42578125" style="2" customWidth="1"/>
    <col min="28" max="28" width="9.140625" style="2" customWidth="1"/>
    <col min="29" max="29" width="9.140625" style="2"/>
    <col min="30" max="30" width="3.42578125" style="2" customWidth="1"/>
    <col min="31" max="31" width="5" style="7" customWidth="1"/>
    <col min="32" max="32" width="5.42578125" style="2" customWidth="1"/>
    <col min="33" max="36" width="9.140625" style="2"/>
    <col min="37" max="38" width="4.42578125" style="2" customWidth="1"/>
    <col min="39" max="41" width="9.140625" style="2"/>
    <col min="42" max="42" width="5.42578125" style="2" customWidth="1"/>
    <col min="43" max="16384" width="9.140625" style="2"/>
  </cols>
  <sheetData>
    <row r="1" spans="1:43" ht="45" customHeight="1" x14ac:dyDescent="0.3">
      <c r="A1" s="1"/>
      <c r="B1" s="1"/>
      <c r="C1" s="1"/>
      <c r="D1" s="1"/>
      <c r="E1" s="1"/>
      <c r="F1" s="1"/>
      <c r="G1" s="1"/>
      <c r="H1" s="1"/>
      <c r="I1" s="1"/>
      <c r="J1" s="1165"/>
      <c r="K1" s="1165"/>
      <c r="L1" s="1165"/>
      <c r="M1" s="1165"/>
      <c r="N1" s="1165"/>
      <c r="O1" s="1"/>
      <c r="P1" s="1"/>
      <c r="Q1" s="1"/>
      <c r="R1" s="1"/>
      <c r="S1" s="1"/>
      <c r="T1" s="1"/>
      <c r="U1" s="1"/>
      <c r="V1" s="1"/>
      <c r="W1" s="1"/>
      <c r="X1" s="1165"/>
      <c r="Y1" s="1165"/>
      <c r="Z1" s="1165"/>
      <c r="AA1" s="1165"/>
      <c r="AB1" s="1165"/>
      <c r="AD1" s="1"/>
      <c r="AE1" s="1"/>
      <c r="AF1" s="1"/>
      <c r="AG1" s="1"/>
      <c r="AH1" s="1"/>
      <c r="AI1" s="1"/>
      <c r="AJ1" s="1"/>
      <c r="AK1" s="1"/>
      <c r="AL1" s="1"/>
      <c r="AM1" s="1165"/>
      <c r="AN1" s="1165"/>
      <c r="AO1" s="1165"/>
      <c r="AP1" s="1165"/>
      <c r="AQ1" s="1165"/>
    </row>
    <row r="2" spans="1:43" s="5" customFormat="1" ht="30" customHeight="1" x14ac:dyDescent="0.25">
      <c r="A2" s="1164">
        <f>+MEMORIA!AC265</f>
        <v>0</v>
      </c>
      <c r="B2" s="1164"/>
      <c r="C2" s="3" t="s">
        <v>2521</v>
      </c>
      <c r="D2" s="4"/>
      <c r="E2" s="4"/>
      <c r="F2" s="4"/>
      <c r="G2" s="4"/>
      <c r="H2" s="4"/>
      <c r="I2" s="4"/>
      <c r="J2" s="4"/>
      <c r="K2" s="4"/>
      <c r="L2" s="4"/>
      <c r="M2" s="4"/>
      <c r="N2" s="4"/>
      <c r="O2" s="1164">
        <f>+A2</f>
        <v>0</v>
      </c>
      <c r="P2" s="1164"/>
      <c r="Q2" s="3" t="str">
        <f>+C2</f>
        <v>/ …</v>
      </c>
      <c r="R2" s="4"/>
      <c r="S2" s="4"/>
      <c r="T2" s="4"/>
      <c r="U2" s="4"/>
      <c r="V2" s="4"/>
      <c r="W2" s="4"/>
      <c r="X2" s="4"/>
      <c r="Y2" s="4"/>
      <c r="Z2" s="4"/>
      <c r="AA2" s="4"/>
      <c r="AD2" s="1164">
        <f>+O2</f>
        <v>0</v>
      </c>
      <c r="AE2" s="1164"/>
      <c r="AF2" s="3" t="str">
        <f>+Q2</f>
        <v>/ …</v>
      </c>
      <c r="AG2" s="4"/>
      <c r="AH2" s="4"/>
      <c r="AI2" s="4"/>
      <c r="AJ2" s="4"/>
      <c r="AK2" s="4"/>
      <c r="AL2" s="4"/>
      <c r="AM2" s="4"/>
      <c r="AN2" s="4"/>
      <c r="AO2" s="4"/>
      <c r="AP2" s="4"/>
      <c r="AQ2" s="4"/>
    </row>
    <row r="3" spans="1:43" s="5" customFormat="1" ht="12.75" customHeight="1" x14ac:dyDescent="0.25">
      <c r="A3" s="11"/>
      <c r="B3" s="11"/>
      <c r="C3" s="3"/>
      <c r="D3" s="4"/>
      <c r="E3" s="4"/>
      <c r="F3" s="4"/>
      <c r="G3" s="4"/>
      <c r="H3" s="4"/>
      <c r="I3" s="4"/>
      <c r="J3" s="4"/>
      <c r="K3" s="4"/>
      <c r="L3" s="4"/>
      <c r="M3" s="4"/>
      <c r="N3" s="4"/>
      <c r="O3" s="11"/>
      <c r="P3" s="11"/>
      <c r="Q3" s="3"/>
      <c r="R3" s="4"/>
      <c r="S3" s="4"/>
      <c r="T3" s="4"/>
      <c r="U3" s="4"/>
      <c r="V3" s="4"/>
      <c r="W3" s="4"/>
      <c r="X3" s="4"/>
      <c r="Y3" s="4"/>
      <c r="Z3" s="4"/>
      <c r="AA3" s="4"/>
      <c r="AD3" s="11"/>
      <c r="AE3" s="11"/>
      <c r="AF3" s="3"/>
      <c r="AG3" s="4"/>
      <c r="AH3" s="4"/>
      <c r="AI3" s="4"/>
      <c r="AJ3" s="4"/>
      <c r="AK3" s="4"/>
      <c r="AL3" s="4"/>
      <c r="AM3" s="4"/>
      <c r="AN3" s="4"/>
      <c r="AO3" s="4"/>
      <c r="AP3" s="4"/>
      <c r="AQ3" s="4"/>
    </row>
    <row r="4" spans="1:43" s="5" customFormat="1" ht="12.75" customHeight="1" x14ac:dyDescent="0.25">
      <c r="A4" s="11"/>
      <c r="B4" s="11"/>
      <c r="C4" s="3"/>
      <c r="D4" s="4"/>
      <c r="E4" s="4"/>
      <c r="F4" s="4"/>
      <c r="G4" s="4"/>
      <c r="H4" s="4"/>
      <c r="I4" s="4"/>
      <c r="J4" s="4"/>
      <c r="K4" s="4"/>
      <c r="L4" s="4"/>
      <c r="M4" s="4"/>
      <c r="N4" s="4"/>
      <c r="O4" s="11"/>
      <c r="P4" s="11"/>
      <c r="Q4" s="3"/>
      <c r="R4" s="4"/>
      <c r="S4" s="4"/>
      <c r="T4" s="4"/>
      <c r="U4" s="4"/>
      <c r="V4" s="4"/>
      <c r="W4" s="4"/>
      <c r="X4" s="4"/>
      <c r="Y4" s="4"/>
      <c r="Z4" s="4"/>
      <c r="AA4" s="4"/>
      <c r="AD4" s="11"/>
      <c r="AE4" s="11"/>
      <c r="AF4" s="3"/>
      <c r="AG4" s="4"/>
      <c r="AH4" s="4"/>
      <c r="AI4" s="4"/>
      <c r="AJ4" s="4"/>
      <c r="AK4" s="4"/>
      <c r="AL4" s="4"/>
      <c r="AM4" s="4"/>
      <c r="AN4" s="4"/>
      <c r="AO4" s="4"/>
      <c r="AP4" s="4"/>
      <c r="AQ4" s="4"/>
    </row>
    <row r="5" spans="1:43" s="5" customFormat="1" ht="12.75" customHeight="1" x14ac:dyDescent="0.25">
      <c r="A5" s="11"/>
      <c r="B5" s="11"/>
      <c r="C5" s="3"/>
      <c r="D5" s="4"/>
      <c r="E5" s="4"/>
      <c r="F5" s="4"/>
      <c r="G5" s="4"/>
      <c r="H5" s="4"/>
      <c r="I5" s="4"/>
      <c r="J5" s="4"/>
      <c r="K5" s="4"/>
      <c r="L5" s="4"/>
      <c r="M5" s="4"/>
      <c r="N5" s="4"/>
      <c r="O5" s="11"/>
      <c r="P5" s="11"/>
      <c r="Q5" s="3"/>
      <c r="R5" s="4"/>
      <c r="S5" s="4"/>
      <c r="T5" s="4"/>
      <c r="U5" s="4"/>
      <c r="V5" s="4"/>
      <c r="W5" s="4"/>
      <c r="X5" s="4"/>
      <c r="Y5" s="4"/>
      <c r="Z5" s="4"/>
      <c r="AA5" s="4"/>
      <c r="AD5" s="11"/>
      <c r="AE5" s="11"/>
      <c r="AF5" s="3"/>
      <c r="AG5" s="4"/>
      <c r="AH5" s="4"/>
      <c r="AI5" s="4"/>
      <c r="AJ5" s="4"/>
      <c r="AK5" s="4"/>
      <c r="AL5" s="4"/>
      <c r="AM5" s="4"/>
      <c r="AN5" s="4"/>
      <c r="AO5" s="4"/>
      <c r="AP5" s="4"/>
      <c r="AQ5" s="4"/>
    </row>
    <row r="6" spans="1:43" ht="12.75" customHeight="1" x14ac:dyDescent="0.25">
      <c r="A6" s="6"/>
      <c r="B6" s="6"/>
      <c r="C6" s="6"/>
      <c r="D6" s="6"/>
      <c r="E6" s="6"/>
      <c r="F6" s="6"/>
      <c r="G6" s="6"/>
      <c r="H6" s="6"/>
      <c r="I6" s="6"/>
      <c r="J6" s="6"/>
      <c r="K6" s="6"/>
      <c r="L6" s="6"/>
      <c r="M6" s="6"/>
      <c r="N6" s="6"/>
      <c r="O6" s="6"/>
      <c r="P6" s="6"/>
      <c r="Q6" s="6"/>
      <c r="R6" s="6"/>
      <c r="S6" s="6"/>
      <c r="T6" s="6"/>
      <c r="U6" s="6"/>
      <c r="V6" s="6"/>
      <c r="W6" s="6"/>
      <c r="X6" s="6"/>
      <c r="Y6" s="6"/>
      <c r="Z6" s="6"/>
      <c r="AA6" s="6"/>
      <c r="AB6" s="6"/>
      <c r="AD6" s="6"/>
      <c r="AE6" s="6"/>
      <c r="AF6" s="6"/>
      <c r="AG6" s="6"/>
      <c r="AH6" s="6"/>
      <c r="AI6" s="6"/>
      <c r="AJ6" s="6"/>
      <c r="AK6" s="6"/>
      <c r="AL6" s="6"/>
      <c r="AM6" s="6"/>
      <c r="AN6" s="6"/>
      <c r="AO6" s="6"/>
      <c r="AP6" s="6"/>
      <c r="AQ6" s="6"/>
    </row>
    <row r="7" spans="1:43" ht="12.75" x14ac:dyDescent="0.25">
      <c r="A7" s="6"/>
      <c r="B7" s="6"/>
      <c r="C7" s="6"/>
      <c r="D7" s="6"/>
      <c r="E7" s="6"/>
      <c r="F7" s="6"/>
      <c r="G7" s="6"/>
      <c r="H7" s="6"/>
      <c r="I7" s="6"/>
      <c r="J7" s="6"/>
      <c r="K7" s="6"/>
      <c r="L7" s="6"/>
      <c r="M7" s="6"/>
      <c r="N7" s="6"/>
      <c r="O7" s="6"/>
      <c r="P7" s="6"/>
      <c r="Q7" s="6"/>
      <c r="R7" s="6"/>
      <c r="S7" s="6"/>
      <c r="T7" s="6"/>
      <c r="U7" s="6"/>
      <c r="V7" s="6"/>
      <c r="W7" s="6"/>
      <c r="X7" s="6"/>
      <c r="Y7" s="6"/>
      <c r="Z7" s="6"/>
      <c r="AA7" s="6"/>
      <c r="AB7" s="6"/>
      <c r="AD7" s="6"/>
      <c r="AE7" s="6"/>
      <c r="AF7" s="6"/>
      <c r="AG7" s="6"/>
      <c r="AH7" s="6"/>
      <c r="AI7" s="6"/>
      <c r="AJ7" s="6"/>
      <c r="AK7" s="6"/>
      <c r="AL7" s="6"/>
      <c r="AM7" s="6"/>
      <c r="AN7" s="6"/>
      <c r="AO7" s="6"/>
      <c r="AP7" s="6"/>
      <c r="AQ7" s="6"/>
    </row>
    <row r="8" spans="1:43" ht="12.75" x14ac:dyDescent="0.25">
      <c r="A8" s="6"/>
      <c r="B8" s="6"/>
      <c r="C8" s="6"/>
      <c r="D8" s="6"/>
      <c r="E8" s="6"/>
      <c r="F8" s="6"/>
      <c r="G8" s="6"/>
      <c r="H8" s="6"/>
      <c r="I8" s="6"/>
      <c r="J8" s="6"/>
      <c r="K8" s="6"/>
      <c r="L8" s="6"/>
      <c r="M8" s="6"/>
      <c r="N8" s="6"/>
      <c r="O8" s="6"/>
      <c r="P8" s="6"/>
      <c r="Q8" s="6"/>
      <c r="R8" s="6"/>
      <c r="S8" s="6"/>
      <c r="T8" s="6"/>
      <c r="U8" s="6"/>
      <c r="V8" s="6"/>
      <c r="W8" s="6"/>
      <c r="X8" s="6"/>
      <c r="Y8" s="6"/>
      <c r="Z8" s="6"/>
      <c r="AA8" s="6"/>
      <c r="AB8" s="6"/>
      <c r="AD8" s="6"/>
      <c r="AE8" s="6"/>
      <c r="AF8" s="6"/>
      <c r="AG8" s="6"/>
      <c r="AH8" s="6"/>
      <c r="AI8" s="6"/>
      <c r="AJ8" s="6"/>
      <c r="AK8" s="6"/>
      <c r="AL8" s="6"/>
      <c r="AM8" s="6"/>
      <c r="AN8" s="6"/>
      <c r="AO8" s="6"/>
      <c r="AP8" s="6"/>
      <c r="AQ8" s="6"/>
    </row>
    <row r="9" spans="1:43" ht="12.75" customHeight="1" x14ac:dyDescent="0.25">
      <c r="A9" s="6"/>
      <c r="B9" s="6"/>
      <c r="C9" s="6"/>
      <c r="D9" s="6"/>
      <c r="E9" s="6"/>
      <c r="F9" s="6"/>
      <c r="G9" s="6"/>
      <c r="H9" s="6"/>
      <c r="I9" s="6"/>
      <c r="J9" s="6"/>
      <c r="K9" s="6"/>
      <c r="L9" s="6"/>
      <c r="M9" s="6"/>
      <c r="N9" s="6"/>
      <c r="O9" s="6"/>
      <c r="P9" s="6"/>
      <c r="Q9" s="6"/>
      <c r="R9" s="6"/>
      <c r="S9" s="6"/>
      <c r="T9" s="6"/>
      <c r="U9" s="6"/>
      <c r="V9" s="6"/>
      <c r="W9" s="6"/>
      <c r="X9" s="6"/>
      <c r="Y9" s="6"/>
      <c r="Z9" s="6"/>
      <c r="AA9" s="6"/>
      <c r="AB9" s="6"/>
      <c r="AD9" s="6"/>
      <c r="AE9" s="6"/>
      <c r="AF9" s="6"/>
      <c r="AG9" s="6"/>
      <c r="AH9" s="6"/>
      <c r="AI9" s="6"/>
      <c r="AJ9" s="6"/>
      <c r="AK9" s="6"/>
      <c r="AL9" s="6"/>
      <c r="AM9" s="6"/>
      <c r="AN9" s="6"/>
      <c r="AO9" s="6"/>
      <c r="AP9" s="6"/>
      <c r="AQ9" s="6"/>
    </row>
    <row r="10" spans="1:43" ht="12.75"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D10" s="6"/>
      <c r="AE10" s="6"/>
      <c r="AF10" s="6"/>
      <c r="AG10" s="6"/>
      <c r="AH10" s="6"/>
      <c r="AI10" s="6"/>
      <c r="AJ10" s="6"/>
      <c r="AK10" s="6"/>
      <c r="AL10" s="6"/>
      <c r="AM10" s="6"/>
      <c r="AN10" s="6"/>
      <c r="AO10" s="6"/>
      <c r="AP10" s="6"/>
      <c r="AQ10" s="6"/>
    </row>
    <row r="11" spans="1:43" ht="12.75"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D11" s="6"/>
      <c r="AE11" s="6"/>
      <c r="AF11" s="6"/>
      <c r="AG11" s="6"/>
      <c r="AH11" s="6"/>
      <c r="AI11" s="6"/>
      <c r="AJ11" s="6"/>
      <c r="AK11" s="6"/>
      <c r="AL11" s="6"/>
      <c r="AM11" s="6"/>
      <c r="AN11" s="6"/>
      <c r="AO11" s="6"/>
      <c r="AP11" s="6"/>
      <c r="AQ11" s="6"/>
    </row>
    <row r="12" spans="1:43" ht="12.75"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D12" s="6"/>
      <c r="AE12" s="6"/>
      <c r="AF12" s="6"/>
      <c r="AG12" s="6"/>
      <c r="AH12" s="6"/>
      <c r="AI12" s="6"/>
      <c r="AJ12" s="6"/>
      <c r="AK12" s="6"/>
      <c r="AL12" s="6"/>
      <c r="AM12" s="6"/>
      <c r="AN12" s="6"/>
      <c r="AO12" s="6"/>
      <c r="AP12" s="6"/>
      <c r="AQ12" s="6"/>
    </row>
    <row r="13" spans="1:43" ht="12.75"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D13" s="6"/>
      <c r="AE13" s="6"/>
      <c r="AF13" s="6"/>
      <c r="AG13" s="6"/>
      <c r="AH13" s="6"/>
      <c r="AI13" s="6"/>
      <c r="AJ13" s="6"/>
      <c r="AK13" s="6"/>
      <c r="AL13" s="6"/>
      <c r="AM13" s="6"/>
      <c r="AN13" s="6"/>
      <c r="AO13" s="6"/>
      <c r="AP13" s="6"/>
      <c r="AQ13" s="6"/>
    </row>
    <row r="14" spans="1:43" ht="12.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D14" s="6"/>
      <c r="AE14" s="6"/>
      <c r="AF14" s="6"/>
      <c r="AG14" s="6"/>
      <c r="AH14" s="6"/>
      <c r="AI14" s="6"/>
      <c r="AJ14" s="6"/>
      <c r="AK14" s="6"/>
      <c r="AL14" s="6"/>
      <c r="AM14" s="6"/>
      <c r="AN14" s="6"/>
      <c r="AO14" s="6"/>
      <c r="AP14" s="6"/>
      <c r="AQ14" s="6"/>
    </row>
    <row r="15" spans="1:43" ht="12.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D15" s="6"/>
      <c r="AE15" s="6"/>
      <c r="AF15" s="6"/>
      <c r="AG15" s="6"/>
      <c r="AH15" s="6"/>
      <c r="AI15" s="6"/>
      <c r="AJ15" s="6"/>
      <c r="AK15" s="6"/>
      <c r="AL15" s="6"/>
      <c r="AM15" s="6"/>
      <c r="AN15" s="6"/>
      <c r="AO15" s="6"/>
      <c r="AP15" s="6"/>
      <c r="AQ15" s="6"/>
    </row>
    <row r="16" spans="1:43" ht="12.75"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D16" s="6"/>
      <c r="AE16" s="6"/>
      <c r="AF16" s="6"/>
      <c r="AG16" s="6"/>
      <c r="AH16" s="6"/>
      <c r="AI16" s="6"/>
      <c r="AJ16" s="6"/>
      <c r="AK16" s="6"/>
      <c r="AL16" s="6"/>
      <c r="AM16" s="6"/>
      <c r="AN16" s="6"/>
      <c r="AO16" s="6"/>
      <c r="AP16" s="6"/>
      <c r="AQ16" s="6"/>
    </row>
    <row r="17" spans="1:43" ht="12.75"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D17" s="6"/>
      <c r="AE17" s="6"/>
      <c r="AF17" s="6"/>
      <c r="AG17" s="6"/>
      <c r="AH17" s="6"/>
      <c r="AI17" s="6"/>
      <c r="AJ17" s="6"/>
      <c r="AK17" s="6"/>
      <c r="AL17" s="6"/>
      <c r="AM17" s="6"/>
      <c r="AN17" s="6"/>
      <c r="AO17" s="6"/>
      <c r="AP17" s="6"/>
      <c r="AQ17" s="6"/>
    </row>
    <row r="18" spans="1:43" ht="12.75"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D18" s="6"/>
      <c r="AE18" s="6"/>
      <c r="AF18" s="6"/>
      <c r="AG18" s="6"/>
      <c r="AH18" s="6"/>
      <c r="AI18" s="6"/>
      <c r="AJ18" s="6"/>
      <c r="AK18" s="6"/>
      <c r="AL18" s="6"/>
      <c r="AM18" s="6"/>
      <c r="AN18" s="6"/>
      <c r="AO18" s="6"/>
      <c r="AP18" s="6"/>
      <c r="AQ18" s="6"/>
    </row>
    <row r="19" spans="1:43"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D19" s="6"/>
      <c r="AE19" s="6"/>
      <c r="AF19" s="6"/>
      <c r="AG19" s="6"/>
      <c r="AH19" s="6"/>
      <c r="AI19" s="6"/>
      <c r="AJ19" s="6"/>
      <c r="AK19" s="6"/>
      <c r="AL19" s="6"/>
      <c r="AM19" s="6"/>
      <c r="AN19" s="6"/>
      <c r="AO19" s="6"/>
      <c r="AP19" s="6"/>
      <c r="AQ19" s="6"/>
    </row>
    <row r="20" spans="1:43" ht="12.75" x14ac:dyDescent="0.25">
      <c r="A20" s="6"/>
      <c r="B20" s="12">
        <v>1</v>
      </c>
      <c r="C20" s="1160"/>
      <c r="D20" s="1160"/>
      <c r="E20" s="1160"/>
      <c r="F20" s="1160"/>
      <c r="G20" s="1161"/>
      <c r="I20" s="12">
        <f>+B20+1</f>
        <v>2</v>
      </c>
      <c r="J20" s="1160"/>
      <c r="K20" s="1160"/>
      <c r="L20" s="1160"/>
      <c r="M20" s="1160"/>
      <c r="N20" s="1161"/>
      <c r="O20" s="6"/>
      <c r="P20" s="12">
        <f>+I57+1</f>
        <v>7</v>
      </c>
      <c r="Q20" s="1160"/>
      <c r="R20" s="1160"/>
      <c r="S20" s="1160"/>
      <c r="T20" s="1160"/>
      <c r="U20" s="1161"/>
      <c r="W20" s="12">
        <f>+P20+1</f>
        <v>8</v>
      </c>
      <c r="X20" s="1160"/>
      <c r="Y20" s="1160"/>
      <c r="Z20" s="1160"/>
      <c r="AA20" s="1160"/>
      <c r="AB20" s="1161"/>
      <c r="AD20" s="6"/>
      <c r="AE20" s="12">
        <f>1+W57</f>
        <v>13</v>
      </c>
      <c r="AF20" s="1160"/>
      <c r="AG20" s="1160"/>
      <c r="AH20" s="1160"/>
      <c r="AI20" s="1160"/>
      <c r="AJ20" s="1161"/>
      <c r="AL20" s="12">
        <f>+AE20+1</f>
        <v>14</v>
      </c>
      <c r="AM20" s="1160"/>
      <c r="AN20" s="1160"/>
      <c r="AO20" s="1160"/>
      <c r="AP20" s="1160"/>
      <c r="AQ20" s="1161"/>
    </row>
    <row r="21" spans="1:43" ht="12.75"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D21" s="6"/>
      <c r="AE21" s="6"/>
      <c r="AF21" s="6"/>
      <c r="AG21" s="6"/>
      <c r="AH21" s="6"/>
      <c r="AI21" s="6"/>
      <c r="AJ21" s="6"/>
      <c r="AK21" s="6"/>
      <c r="AL21" s="6"/>
      <c r="AM21" s="6"/>
      <c r="AN21" s="6"/>
      <c r="AO21" s="6"/>
      <c r="AP21" s="6"/>
      <c r="AQ21" s="6"/>
    </row>
    <row r="22" spans="1:43" ht="12.75"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D22" s="6"/>
      <c r="AE22" s="6"/>
      <c r="AF22" s="6"/>
      <c r="AG22" s="6"/>
      <c r="AH22" s="6"/>
      <c r="AI22" s="6"/>
      <c r="AJ22" s="6"/>
      <c r="AK22" s="6"/>
      <c r="AL22" s="6"/>
      <c r="AM22" s="6"/>
      <c r="AN22" s="6"/>
      <c r="AO22" s="6"/>
      <c r="AP22" s="6"/>
      <c r="AQ22" s="6"/>
    </row>
    <row r="23" spans="1:43" ht="12.75"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D23" s="6"/>
      <c r="AE23" s="6"/>
      <c r="AF23" s="6"/>
      <c r="AG23" s="6"/>
      <c r="AH23" s="6"/>
      <c r="AI23" s="6"/>
      <c r="AJ23" s="6"/>
      <c r="AK23" s="6"/>
      <c r="AL23" s="6"/>
      <c r="AM23" s="6"/>
      <c r="AN23" s="6"/>
      <c r="AO23" s="6"/>
      <c r="AP23" s="6"/>
      <c r="AQ23" s="6"/>
    </row>
    <row r="24" spans="1:43" ht="12.75"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D24" s="6"/>
      <c r="AE24" s="6"/>
      <c r="AF24" s="6"/>
      <c r="AG24" s="6"/>
      <c r="AH24" s="6"/>
      <c r="AI24" s="6"/>
      <c r="AJ24" s="6"/>
      <c r="AK24" s="6"/>
      <c r="AL24" s="6"/>
      <c r="AM24" s="6"/>
      <c r="AN24" s="6"/>
      <c r="AO24" s="6"/>
      <c r="AP24" s="6"/>
      <c r="AQ24" s="6"/>
    </row>
    <row r="25" spans="1:43" ht="12.7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D25" s="6"/>
      <c r="AE25" s="6"/>
      <c r="AF25" s="6"/>
      <c r="AG25" s="6"/>
      <c r="AH25" s="6"/>
      <c r="AI25" s="6"/>
      <c r="AJ25" s="6"/>
      <c r="AK25" s="6"/>
      <c r="AL25" s="6"/>
      <c r="AM25" s="6"/>
      <c r="AN25" s="6"/>
      <c r="AO25" s="6"/>
      <c r="AP25" s="6"/>
      <c r="AQ25" s="6"/>
    </row>
    <row r="26" spans="1:43" ht="12.75" x14ac:dyDescent="0.25">
      <c r="A26" s="13"/>
      <c r="B26" s="13"/>
      <c r="C26" s="14"/>
      <c r="D26" s="14"/>
      <c r="E26" s="14"/>
      <c r="F26" s="14"/>
      <c r="G26" s="6"/>
      <c r="H26" s="13"/>
      <c r="I26" s="13"/>
      <c r="J26" s="13"/>
      <c r="K26" s="14"/>
      <c r="L26" s="14"/>
      <c r="M26" s="14"/>
      <c r="N26" s="14"/>
      <c r="O26" s="13"/>
      <c r="P26" s="13"/>
      <c r="Q26" s="14"/>
      <c r="R26" s="14"/>
      <c r="S26" s="14"/>
      <c r="T26" s="14"/>
      <c r="U26" s="6"/>
      <c r="V26" s="13"/>
      <c r="W26" s="13"/>
      <c r="X26" s="13"/>
      <c r="Y26" s="14"/>
      <c r="Z26" s="14"/>
      <c r="AA26" s="14"/>
      <c r="AB26" s="14"/>
      <c r="AD26" s="13"/>
      <c r="AE26" s="13"/>
      <c r="AF26" s="14"/>
      <c r="AG26" s="14"/>
      <c r="AH26" s="14"/>
      <c r="AI26" s="14"/>
      <c r="AJ26" s="6"/>
      <c r="AK26" s="13"/>
      <c r="AL26" s="13"/>
      <c r="AM26" s="13"/>
      <c r="AN26" s="14"/>
      <c r="AO26" s="14"/>
      <c r="AP26" s="14"/>
      <c r="AQ26" s="14"/>
    </row>
    <row r="27" spans="1:43" ht="12.75" customHeight="1" x14ac:dyDescent="0.25">
      <c r="A27" s="6"/>
      <c r="O27" s="6"/>
      <c r="AD27" s="6"/>
    </row>
    <row r="28" spans="1:43" s="9" customFormat="1" ht="12.95" customHeight="1" x14ac:dyDescent="0.25">
      <c r="A28" s="8"/>
      <c r="O28" s="8"/>
      <c r="AD28" s="8"/>
    </row>
    <row r="29" spans="1:43" ht="12.75" customHeight="1" x14ac:dyDescent="0.25">
      <c r="G29" s="10"/>
      <c r="U29" s="10"/>
      <c r="AJ29" s="10"/>
    </row>
    <row r="30" spans="1:43" ht="12.75" customHeight="1" x14ac:dyDescent="0.25">
      <c r="G30" s="10"/>
      <c r="U30" s="10"/>
      <c r="AJ30" s="10"/>
    </row>
    <row r="31" spans="1:43" ht="12.75"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D31" s="6"/>
      <c r="AE31" s="6"/>
      <c r="AF31" s="6"/>
      <c r="AG31" s="6"/>
      <c r="AH31" s="6"/>
      <c r="AI31" s="6"/>
      <c r="AJ31" s="6"/>
      <c r="AK31" s="6"/>
      <c r="AL31" s="6"/>
      <c r="AM31" s="6"/>
      <c r="AN31" s="6"/>
      <c r="AO31" s="6"/>
      <c r="AP31" s="6"/>
      <c r="AQ31" s="6"/>
    </row>
    <row r="32" spans="1:43" ht="12.75"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D32" s="6"/>
      <c r="AE32" s="6"/>
      <c r="AF32" s="6"/>
      <c r="AG32" s="6"/>
      <c r="AH32" s="6"/>
      <c r="AI32" s="6"/>
      <c r="AJ32" s="6"/>
      <c r="AK32" s="6"/>
      <c r="AL32" s="6"/>
      <c r="AM32" s="6"/>
      <c r="AN32" s="6"/>
      <c r="AO32" s="6"/>
      <c r="AP32" s="6"/>
      <c r="AQ32" s="6"/>
    </row>
    <row r="33" spans="1:43" ht="12.75"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D33" s="6"/>
      <c r="AE33" s="6"/>
      <c r="AF33" s="6"/>
      <c r="AG33" s="6"/>
      <c r="AH33" s="6"/>
      <c r="AI33" s="6"/>
      <c r="AJ33" s="6"/>
      <c r="AK33" s="6"/>
      <c r="AL33" s="6"/>
      <c r="AM33" s="6"/>
      <c r="AN33" s="6"/>
      <c r="AO33" s="6"/>
      <c r="AP33" s="6"/>
      <c r="AQ33" s="6"/>
    </row>
    <row r="34" spans="1:43" ht="12.75"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D34" s="6"/>
      <c r="AE34" s="6"/>
      <c r="AF34" s="6"/>
      <c r="AG34" s="6"/>
      <c r="AH34" s="6"/>
      <c r="AI34" s="6"/>
      <c r="AJ34" s="6"/>
      <c r="AK34" s="6"/>
      <c r="AL34" s="6"/>
      <c r="AM34" s="6"/>
      <c r="AN34" s="6"/>
      <c r="AO34" s="6"/>
      <c r="AP34" s="6"/>
      <c r="AQ34" s="6"/>
    </row>
    <row r="35" spans="1:43" ht="12.75"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D35" s="6"/>
      <c r="AE35" s="6"/>
      <c r="AF35" s="6"/>
      <c r="AG35" s="6"/>
      <c r="AH35" s="6"/>
      <c r="AI35" s="6"/>
      <c r="AJ35" s="6"/>
      <c r="AK35" s="6"/>
      <c r="AL35" s="6"/>
      <c r="AM35" s="6"/>
      <c r="AN35" s="6"/>
      <c r="AO35" s="6"/>
      <c r="AP35" s="6"/>
      <c r="AQ35" s="6"/>
    </row>
    <row r="36" spans="1:43" ht="12.75"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D36" s="6"/>
      <c r="AE36" s="6"/>
      <c r="AF36" s="6"/>
      <c r="AG36" s="6"/>
      <c r="AH36" s="6"/>
      <c r="AI36" s="6"/>
      <c r="AJ36" s="6"/>
      <c r="AK36" s="6"/>
      <c r="AL36" s="6"/>
      <c r="AM36" s="6"/>
      <c r="AN36" s="6"/>
      <c r="AO36" s="6"/>
      <c r="AP36" s="6"/>
      <c r="AQ36" s="6"/>
    </row>
    <row r="37" spans="1:43" ht="12.75"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D37" s="6"/>
      <c r="AE37" s="6"/>
      <c r="AF37" s="6"/>
      <c r="AG37" s="6"/>
      <c r="AH37" s="6"/>
      <c r="AI37" s="6"/>
      <c r="AJ37" s="6"/>
      <c r="AK37" s="6"/>
      <c r="AL37" s="6"/>
      <c r="AM37" s="6"/>
      <c r="AN37" s="6"/>
      <c r="AO37" s="6"/>
      <c r="AP37" s="6"/>
      <c r="AQ37" s="6"/>
    </row>
    <row r="38" spans="1:43" ht="12.75" x14ac:dyDescent="0.25">
      <c r="A38" s="6"/>
      <c r="O38" s="6"/>
      <c r="AD38" s="6"/>
    </row>
    <row r="39" spans="1:43" ht="12.75" x14ac:dyDescent="0.25">
      <c r="A39" s="6"/>
      <c r="B39" s="12">
        <f>+I20+1</f>
        <v>3</v>
      </c>
      <c r="C39" s="1160"/>
      <c r="D39" s="1160"/>
      <c r="E39" s="1160"/>
      <c r="F39" s="1160"/>
      <c r="G39" s="1161"/>
      <c r="I39" s="12">
        <f>+B39+1</f>
        <v>4</v>
      </c>
      <c r="J39" s="1160"/>
      <c r="K39" s="1160"/>
      <c r="L39" s="1160"/>
      <c r="M39" s="1160"/>
      <c r="N39" s="1161"/>
      <c r="O39" s="6"/>
      <c r="P39" s="12">
        <f>1+W20</f>
        <v>9</v>
      </c>
      <c r="Q39" s="1160"/>
      <c r="R39" s="1160"/>
      <c r="S39" s="1160"/>
      <c r="T39" s="1160"/>
      <c r="U39" s="1161"/>
      <c r="W39" s="12">
        <f>+P39+1</f>
        <v>10</v>
      </c>
      <c r="X39" s="1160"/>
      <c r="Y39" s="1160"/>
      <c r="Z39" s="1160"/>
      <c r="AA39" s="1160"/>
      <c r="AB39" s="1161"/>
      <c r="AD39" s="6"/>
      <c r="AE39" s="12">
        <f>+AL20+1</f>
        <v>15</v>
      </c>
      <c r="AF39" s="1160"/>
      <c r="AG39" s="1160"/>
      <c r="AH39" s="1160"/>
      <c r="AI39" s="1160"/>
      <c r="AJ39" s="1161"/>
      <c r="AL39" s="12">
        <f>+AE39+1</f>
        <v>16</v>
      </c>
      <c r="AM39" s="1160"/>
      <c r="AN39" s="1160"/>
      <c r="AO39" s="1160"/>
      <c r="AP39" s="1160"/>
      <c r="AQ39" s="1161"/>
    </row>
    <row r="40" spans="1:43" ht="12.75" customHeight="1" x14ac:dyDescent="0.25">
      <c r="A40" s="6"/>
      <c r="B40" s="6"/>
      <c r="C40" s="6"/>
      <c r="D40" s="6"/>
      <c r="E40" s="6"/>
      <c r="L40" s="6"/>
      <c r="M40" s="6"/>
      <c r="N40" s="6"/>
      <c r="O40" s="6"/>
      <c r="P40" s="6"/>
      <c r="Q40" s="6"/>
      <c r="R40" s="6"/>
      <c r="AA40" s="6"/>
      <c r="AB40" s="6"/>
      <c r="AD40" s="6"/>
      <c r="AE40" s="6"/>
      <c r="AF40" s="6"/>
      <c r="AG40" s="6"/>
      <c r="AH40" s="6"/>
      <c r="AO40" s="6"/>
      <c r="AP40" s="6"/>
      <c r="AQ40" s="6"/>
    </row>
    <row r="41" spans="1:43" ht="12.75" customHeight="1" x14ac:dyDescent="0.25">
      <c r="A41" s="6"/>
      <c r="O41" s="6"/>
      <c r="AD41" s="6"/>
    </row>
    <row r="42" spans="1:43" ht="12.75" customHeight="1" x14ac:dyDescent="0.25">
      <c r="A42" s="6"/>
      <c r="O42" s="6"/>
      <c r="AD42" s="6"/>
    </row>
    <row r="43" spans="1:43" ht="12.75" x14ac:dyDescent="0.25">
      <c r="A43" s="6"/>
      <c r="O43" s="6"/>
      <c r="AD43" s="6"/>
    </row>
    <row r="44" spans="1:43" ht="12.75"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D44" s="6"/>
      <c r="AE44" s="6"/>
      <c r="AF44" s="6"/>
      <c r="AG44" s="6"/>
      <c r="AH44" s="6"/>
      <c r="AI44" s="6"/>
      <c r="AJ44" s="6"/>
      <c r="AK44" s="6"/>
      <c r="AL44" s="6"/>
      <c r="AM44" s="6"/>
      <c r="AN44" s="6"/>
      <c r="AO44" s="6"/>
      <c r="AP44" s="6"/>
      <c r="AQ44" s="6"/>
    </row>
    <row r="45" spans="1:43" ht="12.75"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D45" s="6"/>
      <c r="AE45" s="6"/>
      <c r="AF45" s="6"/>
      <c r="AG45" s="6"/>
      <c r="AH45" s="6"/>
      <c r="AI45" s="6"/>
      <c r="AJ45" s="6"/>
      <c r="AK45" s="6"/>
      <c r="AL45" s="6"/>
      <c r="AM45" s="6"/>
      <c r="AN45" s="6"/>
      <c r="AO45" s="6"/>
      <c r="AP45" s="6"/>
      <c r="AQ45" s="6"/>
    </row>
    <row r="46" spans="1:43" ht="12.75"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D46" s="6"/>
      <c r="AE46" s="6"/>
      <c r="AF46" s="6"/>
      <c r="AG46" s="6"/>
      <c r="AH46" s="6"/>
      <c r="AI46" s="6"/>
      <c r="AJ46" s="6"/>
      <c r="AK46" s="6"/>
      <c r="AL46" s="6"/>
      <c r="AM46" s="6"/>
      <c r="AN46" s="6"/>
      <c r="AO46" s="6"/>
      <c r="AP46" s="6"/>
      <c r="AQ46" s="6"/>
    </row>
    <row r="47" spans="1:43" ht="12.75"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D47" s="6"/>
      <c r="AE47" s="6"/>
      <c r="AF47" s="6"/>
      <c r="AG47" s="6"/>
      <c r="AH47" s="6"/>
      <c r="AI47" s="6"/>
      <c r="AJ47" s="6"/>
      <c r="AK47" s="6"/>
      <c r="AL47" s="6"/>
      <c r="AM47" s="6"/>
      <c r="AN47" s="6"/>
      <c r="AO47" s="6"/>
      <c r="AP47" s="6"/>
      <c r="AQ47" s="6"/>
    </row>
    <row r="48" spans="1:43" ht="12.75"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D48" s="6"/>
      <c r="AE48" s="6"/>
      <c r="AF48" s="6"/>
      <c r="AG48" s="6"/>
      <c r="AH48" s="6"/>
      <c r="AI48" s="6"/>
      <c r="AJ48" s="6"/>
      <c r="AK48" s="6"/>
      <c r="AL48" s="6"/>
      <c r="AM48" s="6"/>
      <c r="AN48" s="6"/>
      <c r="AO48" s="6"/>
      <c r="AP48" s="6"/>
      <c r="AQ48" s="6"/>
    </row>
    <row r="49" spans="1:43" ht="12.7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D49" s="6"/>
      <c r="AE49" s="6"/>
      <c r="AF49" s="6"/>
      <c r="AG49" s="6"/>
      <c r="AH49" s="6"/>
      <c r="AI49" s="6"/>
      <c r="AJ49" s="6"/>
      <c r="AK49" s="6"/>
      <c r="AL49" s="6"/>
      <c r="AM49" s="6"/>
      <c r="AN49" s="6"/>
      <c r="AO49" s="6"/>
      <c r="AP49" s="6"/>
      <c r="AQ49" s="6"/>
    </row>
    <row r="50" spans="1:43" ht="12.75" customHeight="1" x14ac:dyDescent="0.25">
      <c r="A50" s="6"/>
      <c r="B50" s="6"/>
      <c r="C50" s="6"/>
      <c r="D50" s="6"/>
      <c r="E50" s="6"/>
      <c r="F50" s="6"/>
      <c r="M50" s="6"/>
      <c r="N50" s="6"/>
      <c r="O50" s="6"/>
      <c r="P50" s="6"/>
      <c r="Q50" s="6"/>
      <c r="R50" s="6"/>
      <c r="S50" s="6"/>
      <c r="T50" s="6"/>
      <c r="U50" s="6"/>
      <c r="V50" s="6"/>
      <c r="W50" s="6"/>
      <c r="X50" s="6"/>
      <c r="Y50" s="6"/>
      <c r="Z50" s="6"/>
      <c r="AA50" s="6"/>
      <c r="AB50" s="6"/>
      <c r="AD50" s="6"/>
      <c r="AE50" s="6"/>
      <c r="AF50" s="6"/>
      <c r="AG50" s="6"/>
      <c r="AH50" s="6"/>
      <c r="AI50" s="6"/>
      <c r="AP50" s="6"/>
      <c r="AQ50" s="6"/>
    </row>
    <row r="51" spans="1:43" ht="12.7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D51" s="6"/>
      <c r="AE51" s="6"/>
      <c r="AF51" s="6"/>
      <c r="AG51" s="6"/>
      <c r="AH51" s="6"/>
      <c r="AI51" s="6"/>
      <c r="AJ51" s="6"/>
      <c r="AK51" s="6"/>
      <c r="AL51" s="6"/>
      <c r="AM51" s="6"/>
      <c r="AN51" s="6"/>
      <c r="AO51" s="6"/>
      <c r="AP51" s="6"/>
      <c r="AQ51" s="6"/>
    </row>
    <row r="52" spans="1:43" ht="12.75" customHeight="1" x14ac:dyDescent="0.25">
      <c r="A52" s="13"/>
      <c r="B52" s="13"/>
      <c r="C52" s="14"/>
      <c r="D52" s="14"/>
      <c r="E52" s="14"/>
      <c r="F52" s="14"/>
      <c r="G52" s="6"/>
      <c r="H52" s="13"/>
      <c r="I52" s="13"/>
      <c r="J52" s="13"/>
      <c r="K52" s="14"/>
      <c r="L52" s="14"/>
      <c r="M52" s="14"/>
      <c r="N52" s="14"/>
      <c r="O52" s="13"/>
      <c r="P52" s="13"/>
      <c r="Q52" s="14"/>
      <c r="R52" s="14"/>
      <c r="S52" s="14"/>
      <c r="T52" s="14"/>
      <c r="U52" s="6"/>
      <c r="V52" s="13"/>
      <c r="W52" s="13"/>
      <c r="X52" s="13"/>
      <c r="Y52" s="14"/>
      <c r="Z52" s="14"/>
      <c r="AA52" s="14"/>
      <c r="AB52" s="14"/>
      <c r="AD52" s="13"/>
      <c r="AE52" s="13"/>
      <c r="AF52" s="14"/>
      <c r="AG52" s="14"/>
      <c r="AH52" s="14"/>
      <c r="AI52" s="14"/>
      <c r="AJ52" s="6"/>
      <c r="AK52" s="13"/>
      <c r="AL52" s="13"/>
      <c r="AM52" s="13"/>
      <c r="AN52" s="14"/>
      <c r="AO52" s="14"/>
      <c r="AP52" s="14"/>
      <c r="AQ52" s="14"/>
    </row>
    <row r="53" spans="1:43" ht="12.75" customHeight="1" x14ac:dyDescent="0.25">
      <c r="A53" s="13"/>
      <c r="B53" s="13"/>
      <c r="C53" s="14"/>
      <c r="D53" s="14"/>
      <c r="E53" s="14"/>
      <c r="F53" s="14"/>
      <c r="G53" s="6"/>
      <c r="H53" s="13"/>
      <c r="I53" s="13"/>
      <c r="J53" s="13"/>
      <c r="K53" s="14"/>
      <c r="L53" s="14"/>
      <c r="M53" s="14"/>
      <c r="N53" s="14"/>
      <c r="O53" s="13"/>
      <c r="P53" s="13"/>
      <c r="Q53" s="14"/>
      <c r="R53" s="14"/>
      <c r="S53" s="14"/>
      <c r="T53" s="14"/>
      <c r="U53" s="6"/>
      <c r="V53" s="13"/>
      <c r="W53" s="13"/>
      <c r="X53" s="13"/>
      <c r="Y53" s="14"/>
      <c r="Z53" s="14"/>
      <c r="AA53" s="14"/>
      <c r="AB53" s="14"/>
      <c r="AD53" s="13"/>
      <c r="AE53" s="13"/>
      <c r="AF53" s="14"/>
      <c r="AG53" s="14"/>
      <c r="AH53" s="14"/>
      <c r="AI53" s="14"/>
      <c r="AJ53" s="6"/>
      <c r="AK53" s="13"/>
      <c r="AL53" s="13"/>
      <c r="AM53" s="13"/>
      <c r="AN53" s="14"/>
      <c r="AO53" s="14"/>
      <c r="AP53" s="14"/>
      <c r="AQ53" s="14"/>
    </row>
    <row r="54" spans="1:43" ht="12.7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D54" s="6"/>
      <c r="AE54" s="6"/>
      <c r="AF54" s="6"/>
      <c r="AG54" s="6"/>
      <c r="AH54" s="6"/>
      <c r="AI54" s="6"/>
      <c r="AJ54" s="6"/>
      <c r="AK54" s="6"/>
      <c r="AL54" s="6"/>
      <c r="AM54" s="6"/>
      <c r="AN54" s="6"/>
      <c r="AO54" s="6"/>
      <c r="AP54" s="6"/>
      <c r="AQ54" s="6"/>
    </row>
    <row r="55" spans="1:43" ht="12.75" customHeight="1" x14ac:dyDescent="0.25">
      <c r="A55" s="6"/>
      <c r="B55" s="6"/>
      <c r="C55" s="6"/>
      <c r="D55" s="6"/>
      <c r="E55" s="6"/>
      <c r="L55" s="6"/>
      <c r="M55" s="6"/>
      <c r="N55" s="6"/>
      <c r="O55" s="6"/>
      <c r="P55" s="6"/>
      <c r="Q55" s="6"/>
      <c r="R55" s="6"/>
      <c r="S55" s="6"/>
      <c r="T55" s="6"/>
      <c r="U55" s="6"/>
      <c r="V55" s="6"/>
      <c r="W55" s="6"/>
      <c r="X55" s="6"/>
      <c r="Y55" s="6"/>
      <c r="Z55" s="6"/>
      <c r="AA55" s="6"/>
      <c r="AB55" s="6"/>
      <c r="AD55" s="6"/>
      <c r="AE55" s="6"/>
      <c r="AF55" s="6"/>
      <c r="AG55" s="6"/>
      <c r="AH55" s="6"/>
      <c r="AO55" s="6"/>
      <c r="AP55" s="6"/>
      <c r="AQ55" s="6"/>
    </row>
    <row r="56" spans="1:43" s="9" customFormat="1" ht="12.75" hidden="1" customHeight="1" x14ac:dyDescent="0.25">
      <c r="A56" s="8"/>
      <c r="B56" s="13"/>
      <c r="C56" s="10"/>
      <c r="D56" s="14"/>
      <c r="E56" s="10"/>
      <c r="F56" s="10"/>
      <c r="G56" s="10"/>
      <c r="H56" s="10"/>
      <c r="I56" s="10"/>
      <c r="J56" s="10"/>
      <c r="K56" s="10"/>
      <c r="L56" s="10"/>
      <c r="M56" s="10"/>
      <c r="N56" s="10"/>
      <c r="O56" s="8"/>
      <c r="P56" s="6"/>
      <c r="Q56" s="2"/>
      <c r="R56" s="2"/>
      <c r="S56" s="2"/>
      <c r="T56" s="2"/>
      <c r="U56" s="2"/>
      <c r="V56" s="2"/>
      <c r="W56" s="6"/>
      <c r="X56" s="2"/>
      <c r="Y56" s="2"/>
      <c r="Z56" s="2"/>
      <c r="AA56" s="2"/>
      <c r="AB56" s="2"/>
      <c r="AD56" s="8"/>
      <c r="AE56" s="13"/>
      <c r="AF56" s="10"/>
      <c r="AG56" s="14"/>
      <c r="AH56" s="10"/>
      <c r="AI56" s="10"/>
      <c r="AJ56" s="10"/>
      <c r="AK56" s="10"/>
      <c r="AL56" s="10"/>
      <c r="AM56" s="10"/>
      <c r="AN56" s="10"/>
      <c r="AO56" s="10"/>
      <c r="AP56" s="10"/>
      <c r="AQ56" s="10"/>
    </row>
    <row r="57" spans="1:43" ht="12.75" customHeight="1" x14ac:dyDescent="0.25">
      <c r="A57" s="6"/>
      <c r="B57" s="12">
        <f>+I39+1</f>
        <v>5</v>
      </c>
      <c r="C57" s="1160"/>
      <c r="D57" s="1160"/>
      <c r="E57" s="1160"/>
      <c r="F57" s="1160"/>
      <c r="G57" s="1161"/>
      <c r="I57" s="12">
        <f>+B57+1</f>
        <v>6</v>
      </c>
      <c r="J57" s="1160"/>
      <c r="K57" s="1160"/>
      <c r="L57" s="1160"/>
      <c r="M57" s="1160"/>
      <c r="N57" s="1161"/>
      <c r="O57" s="6"/>
      <c r="P57" s="12">
        <f>1+W39</f>
        <v>11</v>
      </c>
      <c r="Q57" s="1160"/>
      <c r="R57" s="1160"/>
      <c r="S57" s="1160"/>
      <c r="T57" s="1160"/>
      <c r="U57" s="1161"/>
      <c r="W57" s="12">
        <f>+P57+1</f>
        <v>12</v>
      </c>
      <c r="X57" s="1160"/>
      <c r="Y57" s="1160"/>
      <c r="Z57" s="1160"/>
      <c r="AA57" s="1160"/>
      <c r="AB57" s="1161"/>
      <c r="AD57" s="6"/>
      <c r="AE57" s="12">
        <f>+AL39+1</f>
        <v>17</v>
      </c>
      <c r="AF57" s="1160"/>
      <c r="AG57" s="1160"/>
      <c r="AH57" s="1160"/>
      <c r="AI57" s="1160"/>
      <c r="AJ57" s="1161"/>
      <c r="AL57" s="12">
        <f>+AE57+1</f>
        <v>18</v>
      </c>
      <c r="AM57" s="1160"/>
      <c r="AN57" s="1160"/>
      <c r="AO57" s="1160"/>
      <c r="AP57" s="1160"/>
      <c r="AQ57" s="1161"/>
    </row>
    <row r="58" spans="1:43" ht="12.75" hidden="1" customHeight="1" x14ac:dyDescent="0.25">
      <c r="W58" s="252" t="e">
        <f>+#REF!+1</f>
        <v>#REF!</v>
      </c>
      <c r="X58" s="1162" t="s">
        <v>92</v>
      </c>
      <c r="Y58" s="1162"/>
      <c r="Z58" s="1162"/>
      <c r="AA58" s="1162"/>
      <c r="AB58" s="1163"/>
    </row>
    <row r="59" spans="1:43" ht="12.75" customHeight="1" x14ac:dyDescent="0.25"/>
    <row r="60" spans="1:43" ht="12.75" x14ac:dyDescent="0.25"/>
    <row r="61" spans="1:43" ht="12.75" hidden="1" customHeight="1" x14ac:dyDescent="0.25"/>
    <row r="62" spans="1:43" ht="12.75" hidden="1" customHeight="1" x14ac:dyDescent="0.25"/>
    <row r="63" spans="1:43" ht="12.75" hidden="1" customHeight="1" x14ac:dyDescent="0.25"/>
    <row r="64" spans="1:43" ht="12.75" hidden="1" customHeight="1" x14ac:dyDescent="0.25"/>
    <row r="65" ht="12.75" hidden="1" customHeight="1" x14ac:dyDescent="0.25"/>
    <row r="66" ht="12.75" hidden="1" customHeight="1" x14ac:dyDescent="0.25"/>
    <row r="67" ht="12.75" hidden="1" customHeight="1" x14ac:dyDescent="0.25"/>
    <row r="68" ht="12.75" hidden="1" customHeight="1" x14ac:dyDescent="0.25"/>
    <row r="69" ht="12.75" hidden="1" customHeight="1" x14ac:dyDescent="0.25"/>
    <row r="70" ht="12.75" hidden="1" customHeight="1" x14ac:dyDescent="0.25"/>
    <row r="71" ht="12.75" hidden="1"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sheetData>
  <mergeCells count="25">
    <mergeCell ref="AF57:AJ57"/>
    <mergeCell ref="AM57:AQ57"/>
    <mergeCell ref="X1:AB1"/>
    <mergeCell ref="Q20:U20"/>
    <mergeCell ref="X20:AB20"/>
    <mergeCell ref="Q39:U39"/>
    <mergeCell ref="AM1:AQ1"/>
    <mergeCell ref="AD2:AE2"/>
    <mergeCell ref="AF20:AJ20"/>
    <mergeCell ref="AM20:AQ20"/>
    <mergeCell ref="AF39:AJ39"/>
    <mergeCell ref="AM39:AQ39"/>
    <mergeCell ref="J1:N1"/>
    <mergeCell ref="C20:G20"/>
    <mergeCell ref="J20:N20"/>
    <mergeCell ref="C39:G39"/>
    <mergeCell ref="J39:N39"/>
    <mergeCell ref="X39:AB39"/>
    <mergeCell ref="Q57:U57"/>
    <mergeCell ref="X57:AB57"/>
    <mergeCell ref="X58:AB58"/>
    <mergeCell ref="A2:B2"/>
    <mergeCell ref="C57:G57"/>
    <mergeCell ref="J57:N57"/>
    <mergeCell ref="O2:P2"/>
  </mergeCells>
  <phoneticPr fontId="3" type="noConversion"/>
  <printOptions horizontalCentered="1" verticalCentered="1"/>
  <pageMargins left="0" right="0" top="0" bottom="0" header="0" footer="0"/>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090C6-F2B0-4E46-98D4-3E2958629F05}">
  <dimension ref="A2:AC105"/>
  <sheetViews>
    <sheetView workbookViewId="0">
      <selection activeCell="G24" sqref="G24"/>
    </sheetView>
  </sheetViews>
  <sheetFormatPr baseColWidth="10" defaultColWidth="9.140625" defaultRowHeight="15" x14ac:dyDescent="0.2"/>
  <cols>
    <col min="1" max="1" width="11.85546875" style="172" customWidth="1"/>
    <col min="2" max="2" width="13.42578125" style="172" customWidth="1"/>
    <col min="3" max="3" width="30.42578125" style="172" customWidth="1"/>
    <col min="4" max="4" width="6.140625" style="172" customWidth="1"/>
    <col min="5" max="5" width="9.42578125" style="172" customWidth="1"/>
    <col min="6" max="6" width="27" style="172" customWidth="1"/>
    <col min="7" max="7" width="14.140625" style="172" bestFit="1" customWidth="1"/>
    <col min="8" max="8" width="14.42578125" style="172" bestFit="1" customWidth="1"/>
    <col min="9" max="9" width="13.42578125" style="172" bestFit="1" customWidth="1"/>
    <col min="10" max="10" width="24.42578125" style="172" customWidth="1"/>
    <col min="11" max="11" width="14.42578125" style="172" customWidth="1"/>
    <col min="12" max="12" width="19.42578125" style="172" customWidth="1"/>
    <col min="13" max="13" width="22.42578125" style="172" customWidth="1"/>
    <col min="14" max="14" width="15.85546875" style="172" bestFit="1" customWidth="1"/>
    <col min="15" max="15" width="16.140625" style="172" bestFit="1" customWidth="1"/>
    <col min="16" max="16" width="6.42578125" style="172" customWidth="1"/>
    <col min="17" max="17" width="14.42578125" style="172" customWidth="1"/>
    <col min="18" max="18" width="17" style="172" customWidth="1"/>
    <col min="19" max="27" width="16.42578125" style="172" customWidth="1"/>
    <col min="28" max="28" width="11.42578125" style="172" customWidth="1"/>
    <col min="29" max="29" width="29.42578125" style="172" customWidth="1"/>
    <col min="30" max="16384" width="9.140625" style="172"/>
  </cols>
  <sheetData>
    <row r="2" spans="1:29" x14ac:dyDescent="0.2">
      <c r="B2" s="173" t="s">
        <v>218</v>
      </c>
    </row>
    <row r="4" spans="1:29" x14ac:dyDescent="0.2">
      <c r="A4" s="174"/>
      <c r="B4" s="1166" t="s">
        <v>219</v>
      </c>
      <c r="C4" s="1166"/>
      <c r="D4" s="1166"/>
      <c r="E4" s="1166"/>
      <c r="F4" s="1166"/>
      <c r="G4" s="1166"/>
      <c r="H4" s="1166"/>
      <c r="I4" s="1166"/>
      <c r="J4" s="1166"/>
      <c r="K4" s="1166" t="s">
        <v>220</v>
      </c>
      <c r="L4" s="1166"/>
      <c r="M4" s="1166"/>
      <c r="N4" s="1166"/>
      <c r="O4" s="1166"/>
      <c r="P4" s="1166"/>
      <c r="Q4" s="1166"/>
      <c r="R4" s="1166"/>
      <c r="S4" s="1166"/>
      <c r="T4" s="1166"/>
      <c r="U4" s="1166"/>
      <c r="V4" s="1166"/>
      <c r="W4" s="1166"/>
      <c r="X4" s="1166"/>
      <c r="Y4" s="1166"/>
      <c r="Z4" s="1166"/>
      <c r="AA4" s="1166"/>
      <c r="AB4" s="1166"/>
      <c r="AC4" s="175"/>
    </row>
    <row r="5" spans="1:29" ht="45" x14ac:dyDescent="0.2">
      <c r="A5" s="174" t="s">
        <v>221</v>
      </c>
      <c r="B5" s="174" t="s">
        <v>222</v>
      </c>
      <c r="C5" s="174" t="s">
        <v>223</v>
      </c>
      <c r="D5" s="174" t="s">
        <v>224</v>
      </c>
      <c r="E5" s="174" t="s">
        <v>225</v>
      </c>
      <c r="F5" s="174" t="s">
        <v>226</v>
      </c>
      <c r="G5" s="174" t="s">
        <v>227</v>
      </c>
      <c r="H5" s="174" t="s">
        <v>228</v>
      </c>
      <c r="I5" s="174" t="s">
        <v>229</v>
      </c>
      <c r="J5" s="174" t="s">
        <v>230</v>
      </c>
      <c r="K5" s="174" t="s">
        <v>231</v>
      </c>
      <c r="L5" s="174" t="s">
        <v>87</v>
      </c>
      <c r="M5" s="174" t="s">
        <v>232</v>
      </c>
      <c r="N5" s="174" t="s">
        <v>233</v>
      </c>
      <c r="O5" s="174" t="s">
        <v>234</v>
      </c>
      <c r="P5" s="174" t="s">
        <v>235</v>
      </c>
      <c r="Q5" s="174" t="s">
        <v>236</v>
      </c>
      <c r="R5" s="174" t="s">
        <v>237</v>
      </c>
      <c r="S5" s="176" t="s">
        <v>238</v>
      </c>
      <c r="T5" s="176" t="s">
        <v>239</v>
      </c>
      <c r="U5" s="176" t="s">
        <v>240</v>
      </c>
      <c r="V5" s="176" t="s">
        <v>241</v>
      </c>
      <c r="W5" s="176" t="s">
        <v>242</v>
      </c>
      <c r="X5" s="176" t="s">
        <v>243</v>
      </c>
      <c r="Y5" s="176" t="s">
        <v>244</v>
      </c>
      <c r="Z5" s="176" t="s">
        <v>245</v>
      </c>
      <c r="AA5" s="176" t="s">
        <v>246</v>
      </c>
      <c r="AB5" s="176" t="s">
        <v>247</v>
      </c>
      <c r="AC5" s="175" t="s">
        <v>248</v>
      </c>
    </row>
    <row r="6" spans="1:29" ht="85.5" customHeight="1" x14ac:dyDescent="0.2">
      <c r="A6" s="172">
        <v>1</v>
      </c>
      <c r="B6" s="177"/>
      <c r="C6" s="294"/>
      <c r="D6" s="178"/>
      <c r="F6" s="178"/>
      <c r="G6" s="179" t="s">
        <v>2329</v>
      </c>
      <c r="H6" s="179" t="s">
        <v>2329</v>
      </c>
      <c r="I6" s="295"/>
      <c r="J6" s="329"/>
      <c r="K6" s="179" t="s">
        <v>249</v>
      </c>
      <c r="L6" s="182" t="s">
        <v>227</v>
      </c>
      <c r="S6" s="180">
        <f>+'HOJA DE RESUMEN'!U64</f>
        <v>0</v>
      </c>
      <c r="T6" s="180">
        <f>+'HOJA DE RESUMEN'!X64</f>
        <v>0</v>
      </c>
      <c r="U6" s="180">
        <f>+'HOJA DE RESUMEN'!I64</f>
        <v>0</v>
      </c>
      <c r="V6" s="180">
        <f>+'HOJA DE RESUMEN'!O64</f>
        <v>0</v>
      </c>
      <c r="W6" s="180">
        <f>+'HOJA DE RESUMEN'!S64</f>
        <v>0</v>
      </c>
      <c r="X6" s="180">
        <f>+'HOJA DE RESUMEN'!Q64</f>
        <v>0</v>
      </c>
      <c r="Y6" s="180">
        <f>+'HOJA DE RESUMEN'!U68</f>
        <v>0</v>
      </c>
      <c r="Z6" s="180"/>
      <c r="AA6" s="180">
        <f>+'HOJA DE RESUMEN'!AB64</f>
        <v>0</v>
      </c>
      <c r="AB6" s="181">
        <f>+'HOJA DE RESUMEN'!H64</f>
        <v>0</v>
      </c>
      <c r="AC6" s="172" t="str">
        <f>+'HOJA DE RESUMEN'!V38</f>
        <v>Tasaciones PN</v>
      </c>
    </row>
    <row r="7" spans="1:29" x14ac:dyDescent="0.2">
      <c r="A7" s="172">
        <v>2</v>
      </c>
      <c r="B7" s="177"/>
      <c r="C7" s="294"/>
      <c r="D7" s="178"/>
      <c r="F7" s="178"/>
      <c r="G7" s="179" t="s">
        <v>2329</v>
      </c>
      <c r="H7" s="179" t="s">
        <v>2329</v>
      </c>
      <c r="I7" s="295"/>
      <c r="K7" s="179" t="s">
        <v>250</v>
      </c>
      <c r="L7" s="182" t="s">
        <v>2491</v>
      </c>
      <c r="S7" s="180">
        <f>+'HOJA DE RESUMEN'!U65</f>
        <v>0</v>
      </c>
      <c r="T7" s="180">
        <f>+'HOJA DE RESUMEN'!X65</f>
        <v>0</v>
      </c>
      <c r="U7" s="180">
        <f>+'HOJA DE RESUMEN'!I65</f>
        <v>0</v>
      </c>
      <c r="V7" s="180">
        <f>+'HOJA DE RESUMEN'!O65</f>
        <v>0</v>
      </c>
      <c r="W7" s="180">
        <f>+'HOJA DE RESUMEN'!S65</f>
        <v>0</v>
      </c>
      <c r="X7" s="180">
        <f>+'HOJA DE RESUMEN'!Q65</f>
        <v>0</v>
      </c>
      <c r="Y7" s="180">
        <f>+'HOJA DE RESUMEN'!U69</f>
        <v>0</v>
      </c>
      <c r="Z7" s="180"/>
      <c r="AA7" s="180">
        <f>+'HOJA DE RESUMEN'!AB65</f>
        <v>0</v>
      </c>
      <c r="AB7" s="181">
        <f>+'HOJA DE RESUMEN'!H65</f>
        <v>0</v>
      </c>
      <c r="AC7" s="172" t="s">
        <v>2271</v>
      </c>
    </row>
    <row r="8" spans="1:29" x14ac:dyDescent="0.2">
      <c r="A8" s="172">
        <v>3</v>
      </c>
      <c r="B8" s="177"/>
      <c r="C8" s="294"/>
      <c r="D8" s="178"/>
      <c r="F8" s="178"/>
      <c r="G8" s="179" t="s">
        <v>2329</v>
      </c>
      <c r="H8" s="179" t="s">
        <v>2329</v>
      </c>
      <c r="I8" s="295"/>
      <c r="K8" s="182" t="s">
        <v>251</v>
      </c>
      <c r="L8" s="182" t="s">
        <v>2492</v>
      </c>
      <c r="S8" s="180">
        <f>+'HOJA DE RESUMEN'!U66</f>
        <v>0</v>
      </c>
      <c r="T8" s="180">
        <f>+'HOJA DE RESUMEN'!X66</f>
        <v>0</v>
      </c>
      <c r="U8" s="180">
        <f>+'HOJA DE RESUMEN'!I66</f>
        <v>0</v>
      </c>
      <c r="V8" s="180">
        <f>+'HOJA DE RESUMEN'!O66</f>
        <v>0</v>
      </c>
      <c r="W8" s="180">
        <f>+'HOJA DE RESUMEN'!S66</f>
        <v>0</v>
      </c>
      <c r="X8" s="180">
        <f>+'HOJA DE RESUMEN'!Q66</f>
        <v>0</v>
      </c>
      <c r="Y8" s="180">
        <f>+'HOJA DE RESUMEN'!U70</f>
        <v>0</v>
      </c>
      <c r="Z8" s="180"/>
      <c r="AA8" s="180">
        <f>+'HOJA DE RESUMEN'!AB66</f>
        <v>0</v>
      </c>
      <c r="AB8" s="181">
        <f>+'HOJA DE RESUMEN'!H66</f>
        <v>0</v>
      </c>
      <c r="AC8" s="172" t="s">
        <v>2271</v>
      </c>
    </row>
    <row r="9" spans="1:29" x14ac:dyDescent="0.2">
      <c r="A9" s="172">
        <v>4</v>
      </c>
      <c r="B9" s="177"/>
      <c r="G9" s="182"/>
      <c r="H9" s="182"/>
      <c r="I9" s="182"/>
      <c r="K9" s="182"/>
    </row>
    <row r="10" spans="1:29" x14ac:dyDescent="0.2">
      <c r="A10" s="172">
        <v>5</v>
      </c>
      <c r="G10" s="182"/>
      <c r="H10" s="182"/>
      <c r="I10" s="182"/>
      <c r="K10" s="182"/>
    </row>
    <row r="11" spans="1:29" x14ac:dyDescent="0.2">
      <c r="A11" s="172">
        <v>6</v>
      </c>
      <c r="G11" s="182"/>
      <c r="H11" s="182"/>
      <c r="I11" s="182"/>
      <c r="K11" s="182"/>
    </row>
    <row r="12" spans="1:29" x14ac:dyDescent="0.2">
      <c r="A12" s="172">
        <v>7</v>
      </c>
      <c r="G12" s="182"/>
      <c r="H12" s="182"/>
      <c r="I12" s="182"/>
      <c r="K12" s="182"/>
    </row>
    <row r="13" spans="1:29" x14ac:dyDescent="0.2">
      <c r="A13" s="172">
        <v>8</v>
      </c>
      <c r="G13" s="401"/>
      <c r="H13" s="401"/>
      <c r="I13" s="401"/>
      <c r="J13" s="401"/>
      <c r="K13" s="401"/>
      <c r="L13" s="401"/>
    </row>
    <row r="14" spans="1:29" x14ac:dyDescent="0.2">
      <c r="A14" s="172">
        <v>9</v>
      </c>
      <c r="G14" s="401"/>
      <c r="H14" s="401"/>
      <c r="I14" s="401"/>
      <c r="J14" s="401"/>
      <c r="K14" s="401"/>
      <c r="L14" s="401"/>
    </row>
    <row r="15" spans="1:29" x14ac:dyDescent="0.2">
      <c r="A15" s="172">
        <v>10</v>
      </c>
      <c r="G15" s="401"/>
      <c r="H15" s="401"/>
      <c r="I15" s="401"/>
      <c r="J15" s="401"/>
      <c r="K15" s="401"/>
      <c r="L15" s="401"/>
    </row>
    <row r="16" spans="1:29" x14ac:dyDescent="0.2">
      <c r="A16" s="172">
        <v>11</v>
      </c>
      <c r="G16" s="401"/>
      <c r="H16" s="401"/>
      <c r="I16" s="401"/>
      <c r="J16" s="401"/>
      <c r="K16" s="401"/>
      <c r="L16" s="401"/>
    </row>
    <row r="17" spans="1:12" x14ac:dyDescent="0.2">
      <c r="A17" s="172">
        <v>12</v>
      </c>
      <c r="G17" s="401"/>
      <c r="H17" s="401"/>
      <c r="I17" s="401"/>
      <c r="J17" s="401"/>
      <c r="K17" s="401"/>
      <c r="L17" s="401"/>
    </row>
    <row r="18" spans="1:12" x14ac:dyDescent="0.2">
      <c r="A18" s="172">
        <v>13</v>
      </c>
      <c r="G18" s="182"/>
      <c r="H18" s="182"/>
      <c r="I18" s="182"/>
      <c r="K18" s="182"/>
    </row>
    <row r="19" spans="1:12" x14ac:dyDescent="0.2">
      <c r="A19" s="172">
        <v>14</v>
      </c>
      <c r="G19" s="182"/>
      <c r="H19" s="182"/>
      <c r="I19" s="182"/>
      <c r="K19" s="182"/>
    </row>
    <row r="20" spans="1:12" x14ac:dyDescent="0.2">
      <c r="A20" s="172">
        <v>15</v>
      </c>
      <c r="G20" s="182"/>
      <c r="H20" s="182"/>
      <c r="I20" s="182"/>
      <c r="K20" s="182"/>
    </row>
    <row r="21" spans="1:12" x14ac:dyDescent="0.2">
      <c r="A21" s="172">
        <v>16</v>
      </c>
      <c r="G21" s="182"/>
      <c r="H21" s="182"/>
      <c r="I21" s="182"/>
      <c r="K21" s="182"/>
    </row>
    <row r="22" spans="1:12" x14ac:dyDescent="0.2">
      <c r="A22" s="172">
        <v>17</v>
      </c>
      <c r="G22" s="182"/>
      <c r="H22" s="182"/>
      <c r="I22" s="182"/>
      <c r="K22" s="182"/>
    </row>
    <row r="23" spans="1:12" x14ac:dyDescent="0.2">
      <c r="A23" s="172">
        <v>18</v>
      </c>
      <c r="G23" s="182"/>
      <c r="H23" s="182"/>
      <c r="I23" s="182"/>
      <c r="K23" s="182"/>
    </row>
    <row r="24" spans="1:12" x14ac:dyDescent="0.2">
      <c r="A24" s="172">
        <v>19</v>
      </c>
      <c r="G24" s="182"/>
      <c r="H24" s="182"/>
      <c r="I24" s="182"/>
      <c r="K24" s="182"/>
    </row>
    <row r="25" spans="1:12" x14ac:dyDescent="0.2">
      <c r="A25" s="172">
        <v>20</v>
      </c>
      <c r="G25" s="182"/>
      <c r="H25" s="182"/>
      <c r="I25" s="182"/>
      <c r="K25" s="182"/>
    </row>
    <row r="26" spans="1:12" x14ac:dyDescent="0.2">
      <c r="A26" s="172">
        <v>21</v>
      </c>
      <c r="G26" s="182"/>
      <c r="H26" s="182"/>
      <c r="I26" s="182"/>
      <c r="K26" s="182"/>
    </row>
    <row r="27" spans="1:12" x14ac:dyDescent="0.2">
      <c r="A27" s="172">
        <v>22</v>
      </c>
      <c r="G27" s="182"/>
      <c r="H27" s="182"/>
      <c r="I27" s="182"/>
      <c r="K27" s="182"/>
    </row>
    <row r="28" spans="1:12" x14ac:dyDescent="0.2">
      <c r="A28" s="172">
        <v>23</v>
      </c>
      <c r="G28" s="182"/>
      <c r="H28" s="182"/>
      <c r="I28" s="182"/>
      <c r="K28" s="182"/>
    </row>
    <row r="29" spans="1:12" x14ac:dyDescent="0.2">
      <c r="A29" s="172">
        <v>24</v>
      </c>
      <c r="G29" s="182"/>
      <c r="H29" s="182"/>
      <c r="I29" s="182"/>
      <c r="K29" s="182"/>
    </row>
    <row r="30" spans="1:12" x14ac:dyDescent="0.2">
      <c r="A30" s="172">
        <v>25</v>
      </c>
      <c r="G30" s="182"/>
      <c r="H30" s="182"/>
      <c r="I30" s="182"/>
      <c r="K30" s="182"/>
    </row>
    <row r="31" spans="1:12" x14ac:dyDescent="0.2">
      <c r="A31" s="172">
        <v>26</v>
      </c>
      <c r="G31" s="182"/>
      <c r="H31" s="182"/>
      <c r="I31" s="182"/>
      <c r="K31" s="182"/>
    </row>
    <row r="32" spans="1:12" x14ac:dyDescent="0.2">
      <c r="A32" s="172">
        <v>27</v>
      </c>
      <c r="G32" s="182"/>
      <c r="H32" s="182"/>
      <c r="I32" s="182"/>
      <c r="K32" s="182"/>
    </row>
    <row r="33" spans="1:11" x14ac:dyDescent="0.2">
      <c r="A33" s="172">
        <v>28</v>
      </c>
      <c r="G33" s="182"/>
      <c r="H33" s="182"/>
      <c r="I33" s="182"/>
      <c r="K33" s="182"/>
    </row>
    <row r="34" spans="1:11" x14ac:dyDescent="0.2">
      <c r="A34" s="172">
        <v>29</v>
      </c>
      <c r="G34" s="182"/>
      <c r="H34" s="182"/>
      <c r="I34" s="182"/>
      <c r="K34" s="182"/>
    </row>
    <row r="35" spans="1:11" x14ac:dyDescent="0.2">
      <c r="A35" s="172">
        <v>30</v>
      </c>
      <c r="G35" s="182"/>
      <c r="H35" s="182"/>
      <c r="I35" s="182"/>
      <c r="K35" s="182"/>
    </row>
    <row r="36" spans="1:11" x14ac:dyDescent="0.2">
      <c r="A36" s="172">
        <v>31</v>
      </c>
      <c r="G36" s="182"/>
      <c r="H36" s="182"/>
      <c r="I36" s="182"/>
      <c r="K36" s="182"/>
    </row>
    <row r="37" spans="1:11" x14ac:dyDescent="0.2">
      <c r="A37" s="172">
        <v>32</v>
      </c>
      <c r="G37" s="182"/>
      <c r="H37" s="182"/>
      <c r="I37" s="182"/>
      <c r="K37" s="182"/>
    </row>
    <row r="38" spans="1:11" x14ac:dyDescent="0.2">
      <c r="A38" s="172">
        <v>33</v>
      </c>
      <c r="G38" s="182"/>
      <c r="H38" s="182"/>
      <c r="I38" s="182"/>
      <c r="K38" s="182"/>
    </row>
    <row r="39" spans="1:11" x14ac:dyDescent="0.2">
      <c r="A39" s="172">
        <v>34</v>
      </c>
      <c r="G39" s="182"/>
      <c r="H39" s="182"/>
      <c r="I39" s="182"/>
      <c r="K39" s="182"/>
    </row>
    <row r="40" spans="1:11" x14ac:dyDescent="0.2">
      <c r="A40" s="172">
        <v>35</v>
      </c>
      <c r="G40" s="182"/>
      <c r="H40" s="182"/>
      <c r="I40" s="182"/>
      <c r="K40" s="182"/>
    </row>
    <row r="41" spans="1:11" x14ac:dyDescent="0.2">
      <c r="A41" s="172">
        <v>36</v>
      </c>
      <c r="G41" s="182"/>
      <c r="H41" s="182"/>
      <c r="I41" s="182"/>
      <c r="K41" s="182"/>
    </row>
    <row r="42" spans="1:11" x14ac:dyDescent="0.2">
      <c r="A42" s="172">
        <v>37</v>
      </c>
      <c r="G42" s="182"/>
      <c r="H42" s="182"/>
      <c r="I42" s="182"/>
      <c r="K42" s="182"/>
    </row>
    <row r="43" spans="1:11" x14ac:dyDescent="0.2">
      <c r="A43" s="172">
        <v>38</v>
      </c>
      <c r="G43" s="182"/>
      <c r="H43" s="182"/>
      <c r="I43" s="182"/>
      <c r="K43" s="182"/>
    </row>
    <row r="44" spans="1:11" x14ac:dyDescent="0.2">
      <c r="A44" s="172">
        <v>39</v>
      </c>
      <c r="G44" s="182"/>
      <c r="H44" s="182"/>
      <c r="I44" s="182"/>
      <c r="K44" s="182"/>
    </row>
    <row r="45" spans="1:11" x14ac:dyDescent="0.2">
      <c r="A45" s="172">
        <v>40</v>
      </c>
      <c r="G45" s="182"/>
      <c r="H45" s="182"/>
      <c r="I45" s="182"/>
      <c r="K45" s="182"/>
    </row>
    <row r="46" spans="1:11" x14ac:dyDescent="0.2">
      <c r="A46" s="172">
        <v>41</v>
      </c>
      <c r="G46" s="182"/>
      <c r="H46" s="182"/>
      <c r="I46" s="182"/>
      <c r="K46" s="182"/>
    </row>
    <row r="47" spans="1:11" x14ac:dyDescent="0.2">
      <c r="A47" s="172">
        <v>42</v>
      </c>
      <c r="G47" s="182"/>
      <c r="H47" s="182"/>
      <c r="I47" s="182"/>
      <c r="K47" s="182"/>
    </row>
    <row r="48" spans="1:11" x14ac:dyDescent="0.2">
      <c r="A48" s="172">
        <v>43</v>
      </c>
      <c r="G48" s="182"/>
      <c r="H48" s="182"/>
      <c r="I48" s="182"/>
      <c r="K48" s="182"/>
    </row>
    <row r="49" spans="1:11" x14ac:dyDescent="0.2">
      <c r="A49" s="172">
        <v>44</v>
      </c>
      <c r="G49" s="182"/>
      <c r="H49" s="182"/>
      <c r="I49" s="182"/>
      <c r="K49" s="182"/>
    </row>
    <row r="50" spans="1:11" x14ac:dyDescent="0.2">
      <c r="A50" s="172">
        <v>45</v>
      </c>
      <c r="G50" s="182"/>
      <c r="H50" s="182"/>
      <c r="I50" s="182"/>
      <c r="K50" s="182"/>
    </row>
    <row r="51" spans="1:11" x14ac:dyDescent="0.2">
      <c r="A51" s="172">
        <v>46</v>
      </c>
      <c r="G51" s="182"/>
      <c r="H51" s="182"/>
      <c r="I51" s="182"/>
      <c r="K51" s="182"/>
    </row>
    <row r="52" spans="1:11" x14ac:dyDescent="0.2">
      <c r="A52" s="172">
        <v>47</v>
      </c>
      <c r="G52" s="182"/>
      <c r="H52" s="182"/>
      <c r="I52" s="182"/>
      <c r="K52" s="182"/>
    </row>
    <row r="53" spans="1:11" x14ac:dyDescent="0.2">
      <c r="A53" s="172">
        <v>48</v>
      </c>
      <c r="G53" s="182"/>
      <c r="H53" s="182"/>
      <c r="I53" s="182"/>
      <c r="K53" s="182"/>
    </row>
    <row r="54" spans="1:11" x14ac:dyDescent="0.2">
      <c r="A54" s="172">
        <v>49</v>
      </c>
      <c r="G54" s="182"/>
      <c r="H54" s="182"/>
      <c r="I54" s="182"/>
      <c r="K54" s="182"/>
    </row>
    <row r="55" spans="1:11" x14ac:dyDescent="0.2">
      <c r="A55" s="172">
        <v>50</v>
      </c>
      <c r="G55" s="182"/>
      <c r="H55" s="182"/>
      <c r="I55" s="182"/>
      <c r="K55" s="182"/>
    </row>
    <row r="56" spans="1:11" x14ac:dyDescent="0.2">
      <c r="A56" s="172">
        <v>51</v>
      </c>
      <c r="G56" s="182"/>
      <c r="H56" s="182"/>
      <c r="I56" s="182"/>
      <c r="K56" s="182"/>
    </row>
    <row r="57" spans="1:11" x14ac:dyDescent="0.2">
      <c r="A57" s="172">
        <v>52</v>
      </c>
      <c r="G57" s="182"/>
      <c r="H57" s="182"/>
      <c r="I57" s="182"/>
      <c r="K57" s="182"/>
    </row>
    <row r="58" spans="1:11" x14ac:dyDescent="0.2">
      <c r="A58" s="172">
        <v>53</v>
      </c>
      <c r="G58" s="182"/>
      <c r="H58" s="182"/>
      <c r="I58" s="182"/>
      <c r="K58" s="182"/>
    </row>
    <row r="59" spans="1:11" x14ac:dyDescent="0.2">
      <c r="A59" s="172">
        <v>54</v>
      </c>
      <c r="G59" s="182"/>
      <c r="H59" s="182"/>
      <c r="I59" s="182"/>
      <c r="K59" s="182"/>
    </row>
    <row r="60" spans="1:11" x14ac:dyDescent="0.2">
      <c r="A60" s="172">
        <v>55</v>
      </c>
      <c r="G60" s="182"/>
      <c r="H60" s="182"/>
      <c r="I60" s="182"/>
      <c r="K60" s="182"/>
    </row>
    <row r="61" spans="1:11" x14ac:dyDescent="0.2">
      <c r="A61" s="172">
        <v>56</v>
      </c>
      <c r="G61" s="182"/>
      <c r="H61" s="182"/>
      <c r="I61" s="182"/>
      <c r="K61" s="182"/>
    </row>
    <row r="62" spans="1:11" x14ac:dyDescent="0.2">
      <c r="A62" s="172">
        <v>57</v>
      </c>
      <c r="G62" s="182"/>
      <c r="H62" s="182"/>
      <c r="I62" s="182"/>
      <c r="K62" s="182"/>
    </row>
    <row r="63" spans="1:11" x14ac:dyDescent="0.2">
      <c r="A63" s="172">
        <v>58</v>
      </c>
      <c r="G63" s="182"/>
      <c r="H63" s="182"/>
      <c r="I63" s="182"/>
      <c r="K63" s="182"/>
    </row>
    <row r="64" spans="1:11" x14ac:dyDescent="0.2">
      <c r="A64" s="172">
        <v>59</v>
      </c>
      <c r="G64" s="182"/>
      <c r="H64" s="182"/>
      <c r="I64" s="182"/>
      <c r="K64" s="182"/>
    </row>
    <row r="65" spans="1:11" x14ac:dyDescent="0.2">
      <c r="A65" s="172">
        <v>60</v>
      </c>
      <c r="G65" s="182"/>
      <c r="H65" s="182"/>
      <c r="I65" s="182"/>
      <c r="K65" s="182"/>
    </row>
    <row r="66" spans="1:11" x14ac:dyDescent="0.2">
      <c r="A66" s="172">
        <v>61</v>
      </c>
      <c r="G66" s="182"/>
      <c r="H66" s="182"/>
      <c r="I66" s="182"/>
      <c r="K66" s="182"/>
    </row>
    <row r="67" spans="1:11" x14ac:dyDescent="0.2">
      <c r="A67" s="172">
        <v>62</v>
      </c>
      <c r="G67" s="182"/>
      <c r="H67" s="182"/>
      <c r="I67" s="182"/>
      <c r="K67" s="182"/>
    </row>
    <row r="68" spans="1:11" x14ac:dyDescent="0.2">
      <c r="A68" s="172">
        <v>63</v>
      </c>
      <c r="G68" s="182"/>
      <c r="H68" s="182"/>
      <c r="I68" s="182"/>
      <c r="K68" s="182"/>
    </row>
    <row r="69" spans="1:11" x14ac:dyDescent="0.2">
      <c r="A69" s="172">
        <v>64</v>
      </c>
      <c r="G69" s="182"/>
      <c r="H69" s="182"/>
      <c r="I69" s="182"/>
      <c r="K69" s="182"/>
    </row>
    <row r="70" spans="1:11" x14ac:dyDescent="0.2">
      <c r="A70" s="172">
        <v>65</v>
      </c>
      <c r="G70" s="182"/>
      <c r="H70" s="182"/>
      <c r="I70" s="182"/>
      <c r="K70" s="182"/>
    </row>
    <row r="71" spans="1:11" x14ac:dyDescent="0.2">
      <c r="A71" s="172">
        <v>66</v>
      </c>
      <c r="G71" s="182"/>
      <c r="H71" s="182"/>
      <c r="I71" s="182"/>
      <c r="K71" s="182"/>
    </row>
    <row r="72" spans="1:11" x14ac:dyDescent="0.2">
      <c r="A72" s="172">
        <v>67</v>
      </c>
      <c r="G72" s="182"/>
      <c r="H72" s="182"/>
      <c r="I72" s="182"/>
      <c r="K72" s="182"/>
    </row>
    <row r="73" spans="1:11" x14ac:dyDescent="0.2">
      <c r="A73" s="172">
        <v>68</v>
      </c>
      <c r="G73" s="182"/>
      <c r="H73" s="182"/>
      <c r="I73" s="182"/>
      <c r="K73" s="182"/>
    </row>
    <row r="74" spans="1:11" x14ac:dyDescent="0.2">
      <c r="A74" s="172">
        <v>69</v>
      </c>
      <c r="G74" s="182"/>
      <c r="H74" s="182"/>
      <c r="I74" s="182"/>
      <c r="K74" s="182"/>
    </row>
    <row r="75" spans="1:11" x14ac:dyDescent="0.2">
      <c r="A75" s="172">
        <v>70</v>
      </c>
      <c r="G75" s="182"/>
      <c r="H75" s="182"/>
      <c r="I75" s="182"/>
      <c r="K75" s="182"/>
    </row>
    <row r="76" spans="1:11" x14ac:dyDescent="0.2">
      <c r="A76" s="172">
        <v>71</v>
      </c>
      <c r="G76" s="182"/>
      <c r="H76" s="182"/>
      <c r="I76" s="182"/>
      <c r="K76" s="182"/>
    </row>
    <row r="77" spans="1:11" x14ac:dyDescent="0.2">
      <c r="A77" s="172">
        <v>72</v>
      </c>
      <c r="G77" s="182"/>
      <c r="H77" s="182"/>
      <c r="I77" s="182"/>
      <c r="K77" s="182"/>
    </row>
    <row r="78" spans="1:11" x14ac:dyDescent="0.2">
      <c r="A78" s="172">
        <v>73</v>
      </c>
      <c r="G78" s="182"/>
      <c r="H78" s="182"/>
      <c r="I78" s="182"/>
      <c r="K78" s="182"/>
    </row>
    <row r="79" spans="1:11" x14ac:dyDescent="0.2">
      <c r="A79" s="172">
        <v>74</v>
      </c>
      <c r="G79" s="182"/>
      <c r="H79" s="182"/>
      <c r="I79" s="182"/>
      <c r="K79" s="182"/>
    </row>
    <row r="80" spans="1:11" x14ac:dyDescent="0.2">
      <c r="A80" s="172">
        <v>75</v>
      </c>
      <c r="G80" s="182"/>
      <c r="H80" s="182"/>
      <c r="I80" s="182"/>
      <c r="K80" s="182"/>
    </row>
    <row r="81" spans="1:11" x14ac:dyDescent="0.2">
      <c r="A81" s="172">
        <v>76</v>
      </c>
      <c r="G81" s="182"/>
      <c r="H81" s="182"/>
      <c r="I81" s="182"/>
      <c r="K81" s="182"/>
    </row>
    <row r="82" spans="1:11" x14ac:dyDescent="0.2">
      <c r="A82" s="172">
        <v>77</v>
      </c>
      <c r="G82" s="182"/>
      <c r="H82" s="182"/>
      <c r="I82" s="182"/>
      <c r="K82" s="182"/>
    </row>
    <row r="83" spans="1:11" x14ac:dyDescent="0.2">
      <c r="A83" s="172">
        <v>78</v>
      </c>
      <c r="G83" s="182"/>
      <c r="H83" s="182"/>
      <c r="I83" s="182"/>
      <c r="K83" s="182"/>
    </row>
    <row r="84" spans="1:11" x14ac:dyDescent="0.2">
      <c r="A84" s="172">
        <v>79</v>
      </c>
      <c r="G84" s="182"/>
      <c r="H84" s="182"/>
      <c r="I84" s="182"/>
      <c r="K84" s="182"/>
    </row>
    <row r="85" spans="1:11" x14ac:dyDescent="0.2">
      <c r="A85" s="172">
        <v>80</v>
      </c>
      <c r="G85" s="182"/>
      <c r="H85" s="182"/>
      <c r="I85" s="182"/>
      <c r="K85" s="182"/>
    </row>
    <row r="86" spans="1:11" x14ac:dyDescent="0.2">
      <c r="A86" s="172">
        <v>81</v>
      </c>
      <c r="G86" s="182"/>
      <c r="H86" s="182"/>
      <c r="I86" s="182"/>
      <c r="K86" s="182"/>
    </row>
    <row r="87" spans="1:11" x14ac:dyDescent="0.2">
      <c r="A87" s="172">
        <v>82</v>
      </c>
      <c r="G87" s="182"/>
      <c r="H87" s="182"/>
      <c r="I87" s="182"/>
      <c r="K87" s="182"/>
    </row>
    <row r="88" spans="1:11" x14ac:dyDescent="0.2">
      <c r="A88" s="172">
        <v>83</v>
      </c>
      <c r="G88" s="182"/>
      <c r="H88" s="182"/>
      <c r="I88" s="182"/>
      <c r="K88" s="182"/>
    </row>
    <row r="89" spans="1:11" x14ac:dyDescent="0.2">
      <c r="A89" s="172">
        <v>84</v>
      </c>
      <c r="G89" s="182"/>
      <c r="H89" s="182"/>
      <c r="I89" s="182"/>
      <c r="K89" s="182"/>
    </row>
    <row r="90" spans="1:11" x14ac:dyDescent="0.2">
      <c r="A90" s="172">
        <v>85</v>
      </c>
      <c r="G90" s="182"/>
      <c r="H90" s="182"/>
      <c r="I90" s="182"/>
      <c r="K90" s="182"/>
    </row>
    <row r="91" spans="1:11" x14ac:dyDescent="0.2">
      <c r="A91" s="172">
        <v>86</v>
      </c>
      <c r="G91" s="182"/>
      <c r="H91" s="182"/>
      <c r="I91" s="182"/>
      <c r="K91" s="182"/>
    </row>
    <row r="92" spans="1:11" x14ac:dyDescent="0.2">
      <c r="A92" s="172">
        <v>87</v>
      </c>
      <c r="G92" s="182"/>
      <c r="H92" s="182"/>
      <c r="I92" s="182"/>
      <c r="K92" s="182"/>
    </row>
    <row r="93" spans="1:11" x14ac:dyDescent="0.2">
      <c r="A93" s="172">
        <v>88</v>
      </c>
      <c r="G93" s="182"/>
      <c r="H93" s="182"/>
      <c r="I93" s="182"/>
      <c r="K93" s="182"/>
    </row>
    <row r="94" spans="1:11" x14ac:dyDescent="0.2">
      <c r="A94" s="172">
        <v>89</v>
      </c>
      <c r="G94" s="182"/>
      <c r="H94" s="182"/>
      <c r="I94" s="182"/>
      <c r="K94" s="182"/>
    </row>
    <row r="95" spans="1:11" x14ac:dyDescent="0.2">
      <c r="A95" s="172">
        <v>90</v>
      </c>
      <c r="G95" s="182"/>
      <c r="H95" s="182"/>
      <c r="I95" s="182"/>
      <c r="K95" s="182"/>
    </row>
    <row r="96" spans="1:11" x14ac:dyDescent="0.2">
      <c r="A96" s="172">
        <v>91</v>
      </c>
      <c r="G96" s="182"/>
      <c r="H96" s="182"/>
      <c r="I96" s="182"/>
      <c r="K96" s="182"/>
    </row>
    <row r="97" spans="1:11" x14ac:dyDescent="0.2">
      <c r="A97" s="172">
        <v>92</v>
      </c>
      <c r="G97" s="182"/>
      <c r="H97" s="182"/>
      <c r="I97" s="182"/>
      <c r="K97" s="182"/>
    </row>
    <row r="98" spans="1:11" x14ac:dyDescent="0.2">
      <c r="A98" s="172">
        <v>93</v>
      </c>
      <c r="G98" s="182"/>
      <c r="H98" s="182"/>
      <c r="I98" s="182"/>
      <c r="K98" s="182"/>
    </row>
    <row r="99" spans="1:11" x14ac:dyDescent="0.2">
      <c r="A99" s="172">
        <v>94</v>
      </c>
      <c r="G99" s="182"/>
      <c r="H99" s="182"/>
      <c r="I99" s="182"/>
      <c r="K99" s="182"/>
    </row>
    <row r="100" spans="1:11" x14ac:dyDescent="0.2">
      <c r="A100" s="172">
        <v>95</v>
      </c>
      <c r="G100" s="182"/>
      <c r="H100" s="182"/>
      <c r="I100" s="182"/>
      <c r="K100" s="182"/>
    </row>
    <row r="101" spans="1:11" x14ac:dyDescent="0.2">
      <c r="A101" s="172">
        <v>96</v>
      </c>
      <c r="G101" s="182"/>
      <c r="H101" s="182"/>
      <c r="I101" s="182"/>
      <c r="K101" s="182"/>
    </row>
    <row r="102" spans="1:11" x14ac:dyDescent="0.2">
      <c r="A102" s="172">
        <v>97</v>
      </c>
      <c r="G102" s="182"/>
      <c r="H102" s="182"/>
      <c r="I102" s="182"/>
      <c r="K102" s="182"/>
    </row>
    <row r="103" spans="1:11" x14ac:dyDescent="0.2">
      <c r="A103" s="172">
        <v>98</v>
      </c>
      <c r="G103" s="182"/>
      <c r="H103" s="182"/>
      <c r="I103" s="182"/>
      <c r="K103" s="182"/>
    </row>
    <row r="104" spans="1:11" x14ac:dyDescent="0.2">
      <c r="A104" s="172">
        <v>99</v>
      </c>
      <c r="G104" s="182"/>
      <c r="H104" s="182"/>
      <c r="I104" s="182"/>
      <c r="K104" s="182"/>
    </row>
    <row r="105" spans="1:11" x14ac:dyDescent="0.2">
      <c r="A105" s="172">
        <v>100</v>
      </c>
      <c r="G105" s="182"/>
      <c r="H105" s="182"/>
      <c r="I105" s="182"/>
      <c r="K105" s="182"/>
    </row>
  </sheetData>
  <mergeCells count="2">
    <mergeCell ref="B4:J4"/>
    <mergeCell ref="K4:AB4"/>
  </mergeCells>
  <dataValidations count="2">
    <dataValidation type="decimal" operator="greaterThanOrEqual" allowBlank="1" showInputMessage="1" showErrorMessage="1" errorTitle="Error" error="Sólo se ingresan decimales mayor o igual a 0" sqref="S6:AB105" xr:uid="{7ED626CA-9BC2-469F-A027-EE7C1A16733E}">
      <formula1>0</formula1>
    </dataValidation>
    <dataValidation type="whole" allowBlank="1" showInputMessage="1" showErrorMessage="1" errorTitle="Error" error="Solo puede ingresar años entre 1900 y 2100" sqref="P6:P105" xr:uid="{16FE89A1-22D5-4C2A-A9A3-9CEB34243AD4}">
      <formula1>1900</formula1>
      <formula2>2100</formula2>
    </dataValidation>
  </dataValidations>
  <pageMargins left="0.70866141732283472" right="0.70866141732283472" top="0.74803149606299213" bottom="0.74803149606299213" header="0.31496062992125984" footer="0.31496062992125984"/>
  <pageSetup scale="62" orientation="landscape"/>
  <colBreaks count="1" manualBreakCount="1">
    <brk id="12" max="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03AC-DBD6-423D-9C65-876241B455DA}">
  <dimension ref="A1:AB89"/>
  <sheetViews>
    <sheetView zoomScaleNormal="100" workbookViewId="0">
      <selection activeCell="K32" sqref="K32"/>
    </sheetView>
  </sheetViews>
  <sheetFormatPr baseColWidth="10" defaultColWidth="9.140625" defaultRowHeight="23.25" customHeight="1" x14ac:dyDescent="0.25"/>
  <cols>
    <col min="1" max="1" width="3.42578125" style="2" customWidth="1"/>
    <col min="2" max="2" width="5" style="7" customWidth="1"/>
    <col min="3" max="3" width="5.42578125" style="2" customWidth="1"/>
    <col min="4" max="7" width="9.140625" style="2" customWidth="1"/>
    <col min="8" max="9" width="4.42578125" style="2" customWidth="1"/>
    <col min="10" max="12" width="9.140625" style="2" customWidth="1"/>
    <col min="13" max="13" width="5.42578125" style="2" customWidth="1"/>
    <col min="14" max="14" width="9.140625" style="2" customWidth="1"/>
    <col min="15" max="15" width="3.42578125" style="2" customWidth="1"/>
    <col min="16" max="16" width="5" style="7" customWidth="1"/>
    <col min="17" max="17" width="5.42578125" style="2" customWidth="1"/>
    <col min="18" max="21" width="9.140625" style="2" customWidth="1"/>
    <col min="22" max="23" width="4.42578125" style="2" customWidth="1"/>
    <col min="24" max="26" width="9.140625" style="2" customWidth="1"/>
    <col min="27" max="27" width="5.42578125" style="2" customWidth="1"/>
    <col min="28" max="28" width="9.140625" style="2" customWidth="1"/>
    <col min="29" max="16384" width="9.140625" style="2"/>
  </cols>
  <sheetData>
    <row r="1" spans="1:28" ht="45" customHeight="1" x14ac:dyDescent="0.3">
      <c r="A1" s="1"/>
      <c r="B1" s="1"/>
      <c r="C1" s="1"/>
      <c r="D1" s="1"/>
      <c r="E1" s="1"/>
      <c r="F1" s="1"/>
      <c r="G1" s="1"/>
      <c r="H1" s="1"/>
      <c r="I1" s="1"/>
      <c r="J1" s="1165"/>
      <c r="K1" s="1165"/>
      <c r="L1" s="1165"/>
      <c r="M1" s="1165"/>
      <c r="N1" s="1165"/>
      <c r="O1" s="1"/>
      <c r="P1" s="1"/>
      <c r="Q1" s="1"/>
      <c r="R1" s="1"/>
      <c r="S1" s="1"/>
      <c r="T1" s="1"/>
      <c r="U1" s="1"/>
      <c r="V1" s="1"/>
      <c r="W1" s="1"/>
      <c r="X1" s="1165"/>
      <c r="Y1" s="1165"/>
      <c r="Z1" s="1165"/>
      <c r="AA1" s="1165"/>
      <c r="AB1" s="1165"/>
    </row>
    <row r="2" spans="1:28" s="5" customFormat="1" ht="30" customHeight="1" x14ac:dyDescent="0.25">
      <c r="A2" s="1164">
        <f>+FOTO!A2</f>
        <v>0</v>
      </c>
      <c r="B2" s="1164"/>
      <c r="C2" s="3" t="str">
        <f>+FOTO!C2</f>
        <v>/ …</v>
      </c>
      <c r="D2" s="4"/>
      <c r="E2" s="4"/>
      <c r="F2" s="4"/>
      <c r="G2" s="4"/>
      <c r="H2" s="4"/>
      <c r="I2" s="4"/>
      <c r="J2" s="4"/>
      <c r="K2" s="4"/>
      <c r="L2" s="4"/>
      <c r="M2" s="4"/>
      <c r="N2" s="4"/>
      <c r="O2" s="1164">
        <f>+A2</f>
        <v>0</v>
      </c>
      <c r="P2" s="1164"/>
      <c r="Q2" s="3" t="str">
        <f>+C2</f>
        <v>/ …</v>
      </c>
      <c r="R2" s="4"/>
      <c r="S2" s="4"/>
      <c r="T2" s="4"/>
      <c r="U2" s="4"/>
      <c r="V2" s="4"/>
      <c r="W2" s="4"/>
      <c r="X2" s="4"/>
      <c r="Y2" s="4"/>
      <c r="Z2" s="4"/>
      <c r="AA2" s="4"/>
    </row>
    <row r="3" spans="1:28" s="5" customFormat="1" ht="12.75" customHeight="1" x14ac:dyDescent="0.25">
      <c r="A3" s="11"/>
      <c r="B3" s="11"/>
      <c r="C3" s="3"/>
      <c r="D3" s="4"/>
      <c r="E3" s="4"/>
      <c r="F3" s="4"/>
      <c r="G3" s="4"/>
      <c r="H3" s="4"/>
      <c r="I3" s="4"/>
      <c r="J3" s="4"/>
      <c r="K3" s="4"/>
      <c r="L3" s="4"/>
      <c r="M3" s="4"/>
      <c r="N3" s="4"/>
      <c r="O3" s="11"/>
      <c r="P3" s="11"/>
      <c r="Q3" s="3"/>
      <c r="R3" s="4"/>
      <c r="S3" s="4"/>
      <c r="T3" s="4"/>
      <c r="U3" s="4"/>
      <c r="V3" s="4"/>
      <c r="W3" s="4"/>
      <c r="X3" s="4"/>
      <c r="Y3" s="4"/>
      <c r="Z3" s="4"/>
      <c r="AA3" s="4"/>
    </row>
    <row r="4" spans="1:28" s="5" customFormat="1" ht="12.75" customHeight="1" x14ac:dyDescent="0.3">
      <c r="A4" s="11"/>
      <c r="B4" s="1168" t="s">
        <v>2526</v>
      </c>
      <c r="C4" s="1168"/>
      <c r="D4" s="1168"/>
      <c r="E4" s="1168"/>
      <c r="F4" s="1168"/>
      <c r="G4" s="1168"/>
      <c r="H4" s="1168"/>
      <c r="I4" s="1168"/>
      <c r="J4" s="1168"/>
      <c r="K4" s="1168"/>
      <c r="L4" s="1168"/>
      <c r="M4" s="1168"/>
      <c r="N4" s="1168"/>
      <c r="O4" s="11"/>
      <c r="P4" s="1168" t="s">
        <v>2527</v>
      </c>
      <c r="Q4" s="1168"/>
      <c r="R4" s="1168"/>
      <c r="S4" s="1168"/>
      <c r="T4" s="1168"/>
      <c r="U4" s="1168"/>
      <c r="V4" s="1168"/>
      <c r="W4" s="1168"/>
      <c r="X4" s="1168"/>
      <c r="Y4" s="1168"/>
      <c r="Z4" s="1168"/>
      <c r="AA4" s="1168"/>
      <c r="AB4" s="1168"/>
    </row>
    <row r="5" spans="1:28" s="5" customFormat="1" ht="12.75" customHeight="1" x14ac:dyDescent="0.25">
      <c r="A5" s="11"/>
      <c r="B5" s="11"/>
      <c r="C5" s="3"/>
      <c r="D5" s="4"/>
      <c r="E5" s="4"/>
      <c r="F5" s="4"/>
      <c r="G5" s="4"/>
      <c r="H5" s="4"/>
      <c r="I5" s="4"/>
      <c r="J5" s="4"/>
      <c r="K5" s="4"/>
      <c r="L5" s="4"/>
      <c r="M5" s="4"/>
      <c r="N5" s="4"/>
      <c r="O5" s="11"/>
      <c r="P5" s="11"/>
      <c r="Q5" s="3"/>
      <c r="R5" s="4"/>
      <c r="S5" s="4"/>
      <c r="T5" s="4"/>
      <c r="U5" s="4"/>
      <c r="V5" s="4"/>
      <c r="W5" s="4"/>
      <c r="X5" s="4"/>
      <c r="Y5" s="4"/>
      <c r="Z5" s="4"/>
      <c r="AA5" s="4"/>
    </row>
    <row r="6" spans="1:28" ht="12.75" customHeight="1" x14ac:dyDescent="0.25">
      <c r="A6" s="6"/>
      <c r="B6" s="6"/>
      <c r="C6" s="6"/>
      <c r="D6" s="6"/>
      <c r="E6" s="6"/>
      <c r="F6" s="6"/>
      <c r="G6" s="6"/>
      <c r="H6" s="6"/>
      <c r="I6" s="6"/>
      <c r="J6" s="6"/>
      <c r="K6" s="6"/>
      <c r="L6" s="6"/>
      <c r="M6" s="6"/>
      <c r="N6" s="6"/>
      <c r="O6" s="6"/>
      <c r="P6" s="6"/>
      <c r="Q6" s="6"/>
      <c r="R6" s="6"/>
      <c r="S6" s="6"/>
      <c r="T6" s="6"/>
      <c r="U6" s="6"/>
      <c r="V6" s="6"/>
      <c r="W6" s="6"/>
      <c r="X6" s="6"/>
      <c r="Y6" s="6"/>
      <c r="Z6" s="6"/>
      <c r="AA6" s="6"/>
      <c r="AB6" s="6"/>
    </row>
    <row r="7" spans="1:28" ht="12.75" x14ac:dyDescent="0.25">
      <c r="A7" s="6"/>
      <c r="B7" s="6"/>
      <c r="C7" s="6"/>
      <c r="D7" s="6"/>
      <c r="E7" s="6"/>
      <c r="F7" s="6"/>
      <c r="G7" s="6"/>
      <c r="H7" s="6"/>
      <c r="I7" s="6"/>
      <c r="J7" s="6"/>
      <c r="K7" s="6"/>
      <c r="L7" s="6"/>
      <c r="M7" s="6"/>
      <c r="N7" s="6"/>
      <c r="O7" s="6"/>
      <c r="P7" s="6"/>
      <c r="Q7" s="6"/>
      <c r="R7" s="6"/>
      <c r="S7" s="6"/>
      <c r="T7" s="6"/>
      <c r="U7" s="6"/>
      <c r="V7" s="6"/>
      <c r="W7" s="6"/>
      <c r="X7" s="6"/>
      <c r="Y7" s="6"/>
      <c r="Z7" s="6"/>
      <c r="AA7" s="6"/>
      <c r="AB7" s="6"/>
    </row>
    <row r="8" spans="1:28" ht="12.75" x14ac:dyDescent="0.25">
      <c r="A8" s="6"/>
      <c r="B8" s="6"/>
      <c r="C8" s="6"/>
      <c r="D8" s="6"/>
      <c r="E8" s="6"/>
      <c r="F8" s="6"/>
      <c r="G8" s="6"/>
      <c r="H8" s="6"/>
      <c r="I8" s="6"/>
      <c r="J8" s="6"/>
      <c r="K8" s="6"/>
      <c r="L8" s="6"/>
      <c r="M8" s="6"/>
      <c r="N8" s="6"/>
      <c r="O8" s="6"/>
      <c r="P8" s="6"/>
      <c r="Q8" s="6"/>
      <c r="R8" s="6"/>
      <c r="S8" s="6"/>
      <c r="T8" s="6"/>
      <c r="U8" s="6"/>
      <c r="V8" s="6"/>
      <c r="W8" s="6"/>
      <c r="X8" s="6"/>
      <c r="Y8" s="6"/>
      <c r="Z8" s="6"/>
      <c r="AA8" s="6"/>
      <c r="AB8" s="6"/>
    </row>
    <row r="9" spans="1:28" ht="12.75" customHeight="1" x14ac:dyDescent="0.25">
      <c r="A9" s="6"/>
      <c r="B9" s="6"/>
      <c r="C9" s="6"/>
      <c r="D9" s="6"/>
      <c r="E9" s="6"/>
      <c r="F9" s="6"/>
      <c r="G9" s="6"/>
      <c r="H9" s="6"/>
      <c r="I9" s="6"/>
      <c r="J9" s="6"/>
      <c r="K9" s="6"/>
      <c r="L9" s="6"/>
      <c r="M9" s="6"/>
      <c r="N9" s="6"/>
      <c r="O9" s="6"/>
      <c r="P9" s="6"/>
      <c r="Q9" s="6"/>
      <c r="R9" s="6"/>
      <c r="S9" s="6"/>
      <c r="T9" s="6"/>
      <c r="U9" s="6"/>
      <c r="V9" s="6"/>
      <c r="W9" s="6"/>
      <c r="X9" s="6"/>
      <c r="Y9" s="6"/>
      <c r="Z9" s="6"/>
      <c r="AA9" s="6"/>
      <c r="AB9" s="6"/>
    </row>
    <row r="10" spans="1:28" ht="12.75"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row>
    <row r="11" spans="1:28" ht="12.75"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row>
    <row r="12" spans="1:28" ht="12.75"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row>
    <row r="13" spans="1:28" ht="12.75"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row>
    <row r="14" spans="1:28" ht="12.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row>
    <row r="15" spans="1:28" ht="12.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row>
    <row r="16" spans="1:28" ht="12.75"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spans="1:28" ht="12.75"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spans="1:28" ht="12.75"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1:28"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1:28" ht="15.7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1:28" ht="12.75" x14ac:dyDescent="0.25">
      <c r="A21" s="6"/>
      <c r="B21" s="6"/>
      <c r="C21" s="1167"/>
      <c r="D21" s="1167"/>
      <c r="E21" s="1167"/>
      <c r="F21" s="1167"/>
      <c r="G21" s="1167"/>
      <c r="I21" s="6"/>
      <c r="J21" s="1167"/>
      <c r="K21" s="1167"/>
      <c r="L21" s="1167"/>
      <c r="M21" s="1167"/>
      <c r="N21" s="1167"/>
      <c r="O21" s="6"/>
      <c r="P21" s="6"/>
      <c r="Q21" s="1167"/>
      <c r="R21" s="1167"/>
      <c r="S21" s="1167"/>
      <c r="T21" s="1167"/>
      <c r="U21" s="1167"/>
      <c r="W21" s="6"/>
      <c r="X21" s="1167"/>
      <c r="Y21" s="1167"/>
      <c r="Z21" s="1167"/>
      <c r="AA21" s="1167"/>
      <c r="AB21" s="1167"/>
    </row>
    <row r="22" spans="1:28" ht="12.75"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ht="12.75"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ht="12.75"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ht="12.75"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ht="12.7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ht="12.75"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ht="12.75"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ht="12.7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1:28" ht="12.75"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ht="12.75"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1:28" ht="12.75"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ht="12.7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1:28" ht="14.25" x14ac:dyDescent="0.3">
      <c r="A34" s="13"/>
      <c r="B34" s="1168" t="s">
        <v>2528</v>
      </c>
      <c r="C34" s="1168"/>
      <c r="D34" s="1168"/>
      <c r="E34" s="1168"/>
      <c r="F34" s="1168"/>
      <c r="G34" s="1168"/>
      <c r="H34" s="1168"/>
      <c r="I34" s="1168"/>
      <c r="J34" s="1168"/>
      <c r="K34" s="1168"/>
      <c r="L34" s="1168"/>
      <c r="M34" s="1168"/>
      <c r="N34" s="1168"/>
      <c r="O34" s="13"/>
      <c r="P34" s="1168" t="s">
        <v>2529</v>
      </c>
      <c r="Q34" s="1168"/>
      <c r="R34" s="1168"/>
      <c r="S34" s="1168"/>
      <c r="T34" s="1168"/>
      <c r="U34" s="1168"/>
      <c r="V34" s="1168"/>
      <c r="W34" s="1168"/>
      <c r="X34" s="1168"/>
      <c r="Y34" s="1168"/>
      <c r="Z34" s="1168"/>
      <c r="AA34" s="1168"/>
      <c r="AB34" s="1168"/>
    </row>
    <row r="35" spans="1:28" ht="12.75" customHeight="1" x14ac:dyDescent="0.25">
      <c r="A35" s="6"/>
      <c r="O35" s="6"/>
    </row>
    <row r="36" spans="1:28" s="9" customFormat="1" ht="12.95" customHeight="1" x14ac:dyDescent="0.25">
      <c r="A36" s="8"/>
      <c r="O36" s="8"/>
    </row>
    <row r="37" spans="1:28" ht="12.75" customHeight="1" x14ac:dyDescent="0.25">
      <c r="G37" s="10"/>
      <c r="U37" s="10"/>
    </row>
    <row r="38" spans="1:28" ht="12.75" customHeight="1" x14ac:dyDescent="0.25">
      <c r="G38" s="10"/>
      <c r="U38" s="10"/>
    </row>
    <row r="39" spans="1:28" ht="12.75"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28" ht="12.75"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ht="12.75"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1:28" ht="12.75"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1:28" ht="12.75"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1:28" ht="12.75"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1:28" ht="12.75"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1:28" ht="12.75" x14ac:dyDescent="0.25">
      <c r="A46" s="6"/>
      <c r="O46" s="6"/>
    </row>
    <row r="47" spans="1:28" ht="12.75" x14ac:dyDescent="0.25">
      <c r="A47" s="6"/>
      <c r="B47" s="6"/>
      <c r="C47" s="1167"/>
      <c r="D47" s="1167"/>
      <c r="E47" s="1167"/>
      <c r="F47" s="1167"/>
      <c r="G47" s="1167"/>
      <c r="I47" s="6"/>
      <c r="J47" s="1167"/>
      <c r="K47" s="1167"/>
      <c r="L47" s="1167"/>
      <c r="M47" s="1167"/>
      <c r="N47" s="1167"/>
      <c r="O47" s="6"/>
      <c r="P47" s="6"/>
      <c r="Q47" s="1167"/>
      <c r="R47" s="1167"/>
      <c r="S47" s="1167"/>
      <c r="T47" s="1167"/>
      <c r="U47" s="1167"/>
      <c r="W47" s="6"/>
      <c r="X47" s="1167"/>
      <c r="Y47" s="1167"/>
      <c r="Z47" s="1167"/>
      <c r="AA47" s="1167"/>
      <c r="AB47" s="1167"/>
    </row>
    <row r="48" spans="1:28" ht="12.75" customHeight="1" x14ac:dyDescent="0.25">
      <c r="A48" s="6"/>
      <c r="B48" s="6"/>
      <c r="C48" s="6"/>
      <c r="D48" s="6"/>
      <c r="E48" s="6"/>
      <c r="L48" s="6"/>
      <c r="M48" s="6"/>
      <c r="N48" s="6"/>
      <c r="O48" s="6"/>
      <c r="P48" s="6"/>
      <c r="Q48" s="6"/>
      <c r="R48" s="6"/>
      <c r="AA48" s="6"/>
      <c r="AB48" s="6"/>
    </row>
    <row r="49" spans="1:28" ht="12.75" customHeight="1" x14ac:dyDescent="0.25">
      <c r="A49" s="6"/>
      <c r="O49" s="6"/>
    </row>
    <row r="50" spans="1:28" ht="12.75" customHeight="1" x14ac:dyDescent="0.25">
      <c r="A50" s="6"/>
      <c r="O50" s="6"/>
    </row>
    <row r="51" spans="1:28" ht="12.75" x14ac:dyDescent="0.25">
      <c r="A51" s="6"/>
      <c r="O51" s="6"/>
    </row>
    <row r="52" spans="1:28" ht="12.75"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ht="12.75"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1:28" ht="12.75"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1:28" ht="12.75"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1:28" ht="12.75"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1:28" ht="12.7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1:28" ht="12.75" customHeight="1" x14ac:dyDescent="0.25">
      <c r="A58" s="6"/>
      <c r="B58" s="6"/>
      <c r="C58" s="6"/>
      <c r="D58" s="6"/>
      <c r="E58" s="6"/>
      <c r="F58" s="6"/>
      <c r="M58" s="6"/>
      <c r="N58" s="6"/>
      <c r="O58" s="6"/>
      <c r="P58" s="6"/>
      <c r="Q58" s="6"/>
      <c r="R58" s="6"/>
      <c r="S58" s="6"/>
      <c r="T58" s="6"/>
      <c r="U58" s="6"/>
      <c r="V58" s="6"/>
      <c r="W58" s="6"/>
      <c r="X58" s="6"/>
      <c r="Y58" s="6"/>
      <c r="Z58" s="6"/>
      <c r="AA58" s="6"/>
      <c r="AB58" s="6"/>
    </row>
    <row r="59" spans="1:28" ht="12.75" customHeight="1" x14ac:dyDescent="0.25">
      <c r="A59" s="6"/>
      <c r="O59" s="6"/>
    </row>
    <row r="60" spans="1:28" ht="12.75" customHeight="1" x14ac:dyDescent="0.25">
      <c r="A60" s="13"/>
      <c r="B60" s="13"/>
      <c r="C60" s="14"/>
      <c r="D60" s="14"/>
      <c r="E60" s="14"/>
      <c r="F60" s="14"/>
      <c r="G60" s="6"/>
      <c r="H60" s="13"/>
      <c r="I60" s="13"/>
      <c r="J60" s="13"/>
      <c r="K60" s="14"/>
      <c r="L60" s="14"/>
      <c r="M60" s="14"/>
      <c r="N60" s="14"/>
      <c r="O60" s="13"/>
      <c r="P60" s="13"/>
      <c r="Q60" s="14"/>
      <c r="R60" s="14"/>
      <c r="S60" s="14"/>
      <c r="T60" s="14"/>
      <c r="U60" s="6"/>
      <c r="V60" s="13"/>
      <c r="W60" s="13"/>
      <c r="X60" s="13"/>
      <c r="Y60" s="14"/>
      <c r="Z60" s="14"/>
      <c r="AA60" s="14"/>
      <c r="AB60" s="14"/>
    </row>
    <row r="61" spans="1:28" ht="12.75" customHeight="1" x14ac:dyDescent="0.25">
      <c r="A61" s="13"/>
      <c r="B61" s="13"/>
      <c r="C61" s="14"/>
      <c r="D61" s="14"/>
      <c r="E61" s="14"/>
      <c r="F61" s="14"/>
      <c r="G61" s="6"/>
      <c r="H61" s="13"/>
      <c r="I61" s="13"/>
      <c r="J61" s="13"/>
      <c r="K61" s="14"/>
      <c r="L61" s="14"/>
      <c r="M61" s="14"/>
      <c r="N61" s="14"/>
      <c r="O61" s="13"/>
      <c r="P61" s="13"/>
      <c r="Q61" s="14"/>
      <c r="R61" s="14"/>
      <c r="S61" s="14"/>
      <c r="T61" s="14"/>
      <c r="U61" s="6"/>
      <c r="V61" s="13"/>
      <c r="W61" s="13"/>
      <c r="X61" s="13"/>
      <c r="Y61" s="14"/>
      <c r="Z61" s="14"/>
      <c r="AA61" s="14"/>
      <c r="AB61" s="14"/>
    </row>
    <row r="62" spans="1:28" ht="12.7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1:28" s="9" customFormat="1" ht="12.75" customHeight="1" x14ac:dyDescent="0.25">
      <c r="A63" s="8"/>
      <c r="B63" s="13"/>
      <c r="C63" s="10"/>
      <c r="D63" s="14"/>
      <c r="E63" s="10"/>
      <c r="F63" s="10"/>
      <c r="G63" s="10"/>
      <c r="H63" s="10"/>
      <c r="I63" s="10"/>
      <c r="J63" s="10"/>
      <c r="K63" s="10"/>
      <c r="L63" s="10"/>
      <c r="M63" s="10"/>
      <c r="N63" s="10"/>
      <c r="O63" s="8"/>
      <c r="P63" s="6"/>
      <c r="Q63" s="2"/>
      <c r="R63" s="2"/>
      <c r="S63" s="2"/>
      <c r="T63" s="2"/>
      <c r="U63" s="2"/>
      <c r="V63" s="2"/>
      <c r="W63" s="6"/>
      <c r="X63" s="2"/>
      <c r="Y63" s="2"/>
      <c r="Z63" s="2"/>
      <c r="AA63" s="2"/>
      <c r="AB63" s="2"/>
    </row>
    <row r="64" spans="1:28" ht="12.75" customHeight="1" x14ac:dyDescent="0.25">
      <c r="W64" s="6"/>
      <c r="X64" s="1167"/>
      <c r="Y64" s="1167"/>
      <c r="Z64" s="1167"/>
      <c r="AA64" s="1167"/>
      <c r="AB64" s="1167"/>
    </row>
    <row r="65" ht="12.75" customHeight="1" x14ac:dyDescent="0.25"/>
    <row r="66" ht="12.75" x14ac:dyDescent="0.25"/>
    <row r="67" ht="12.75" hidden="1" customHeight="1" x14ac:dyDescent="0.25"/>
    <row r="68" ht="12.75" hidden="1" customHeight="1" x14ac:dyDescent="0.25"/>
    <row r="69" ht="12.75" hidden="1" customHeight="1" x14ac:dyDescent="0.25"/>
    <row r="70" ht="12.75" hidden="1" customHeight="1" x14ac:dyDescent="0.25"/>
    <row r="71" ht="12.75" hidden="1" customHeight="1" x14ac:dyDescent="0.25"/>
    <row r="72" ht="12.75" hidden="1" customHeight="1" x14ac:dyDescent="0.25"/>
    <row r="73" ht="12.75" hidden="1" customHeight="1" x14ac:dyDescent="0.25"/>
    <row r="74" ht="12.75" hidden="1" customHeight="1" x14ac:dyDescent="0.25"/>
    <row r="75" ht="12.75" hidden="1" customHeight="1" x14ac:dyDescent="0.25"/>
    <row r="76" ht="12.75" hidden="1" customHeight="1" x14ac:dyDescent="0.25"/>
    <row r="77" ht="12.75" hidden="1"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sheetData>
  <mergeCells count="17">
    <mergeCell ref="X64:AB64"/>
    <mergeCell ref="B4:N4"/>
    <mergeCell ref="P4:AB4"/>
    <mergeCell ref="B34:N34"/>
    <mergeCell ref="P34:AB34"/>
    <mergeCell ref="C47:G47"/>
    <mergeCell ref="J47:N47"/>
    <mergeCell ref="Q47:U47"/>
    <mergeCell ref="X47:AB47"/>
    <mergeCell ref="J1:N1"/>
    <mergeCell ref="X1:AB1"/>
    <mergeCell ref="A2:B2"/>
    <mergeCell ref="O2:P2"/>
    <mergeCell ref="C21:G21"/>
    <mergeCell ref="J21:N21"/>
    <mergeCell ref="Q21:U21"/>
    <mergeCell ref="X21:AB21"/>
  </mergeCells>
  <printOptions horizontalCentered="1" verticalCentered="1"/>
  <pageMargins left="0" right="0" top="0" bottom="0" header="0" footer="0"/>
  <pageSetup paperSize="9" orientation="portrait" r:id="rId1"/>
  <headerFooter alignWithMargins="0"/>
  <colBreaks count="2" manualBreakCount="2">
    <brk id="15" max="1048575" man="1"/>
    <brk id="28"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395B-AE90-4B03-B2C6-42146D0AA765}">
  <dimension ref="A2:AC105"/>
  <sheetViews>
    <sheetView topLeftCell="N1" workbookViewId="0">
      <selection activeCell="AA9" sqref="AA9"/>
    </sheetView>
  </sheetViews>
  <sheetFormatPr baseColWidth="10" defaultColWidth="9.140625" defaultRowHeight="15" x14ac:dyDescent="0.2"/>
  <cols>
    <col min="1" max="1" width="11.85546875" style="172" customWidth="1"/>
    <col min="2" max="2" width="13.42578125" style="172" customWidth="1"/>
    <col min="3" max="3" width="30.42578125" style="172" customWidth="1"/>
    <col min="4" max="4" width="6.140625" style="172" customWidth="1"/>
    <col min="5" max="5" width="9.42578125" style="172" customWidth="1"/>
    <col min="6" max="6" width="27" style="172" customWidth="1"/>
    <col min="7" max="7" width="14.140625" style="172" bestFit="1" customWidth="1"/>
    <col min="8" max="8" width="14.42578125" style="172" bestFit="1" customWidth="1"/>
    <col min="9" max="9" width="13.42578125" style="172" bestFit="1" customWidth="1"/>
    <col min="10" max="10" width="24.42578125" style="172" customWidth="1"/>
    <col min="11" max="11" width="14.42578125" style="172" customWidth="1"/>
    <col min="12" max="12" width="19.42578125" style="172" customWidth="1"/>
    <col min="13" max="13" width="22.42578125" style="172" customWidth="1"/>
    <col min="14" max="14" width="15.85546875" style="172" bestFit="1" customWidth="1"/>
    <col min="15" max="15" width="16.140625" style="172" bestFit="1" customWidth="1"/>
    <col min="16" max="16" width="6.42578125" style="172" customWidth="1"/>
    <col min="17" max="17" width="14.42578125" style="172" customWidth="1"/>
    <col min="18" max="18" width="17" style="172" customWidth="1"/>
    <col min="19" max="27" width="16.42578125" style="172" customWidth="1"/>
    <col min="28" max="28" width="11.42578125" style="172" customWidth="1"/>
    <col min="29" max="29" width="29.42578125" style="172" customWidth="1"/>
    <col min="30" max="16384" width="9.140625" style="172"/>
  </cols>
  <sheetData>
    <row r="2" spans="1:29" x14ac:dyDescent="0.2">
      <c r="A2" s="469"/>
      <c r="B2" s="470" t="s">
        <v>218</v>
      </c>
    </row>
    <row r="4" spans="1:29" x14ac:dyDescent="0.2">
      <c r="A4" s="174"/>
      <c r="B4" s="1166" t="s">
        <v>219</v>
      </c>
      <c r="C4" s="1166"/>
      <c r="D4" s="1166"/>
      <c r="E4" s="1166"/>
      <c r="F4" s="1166"/>
      <c r="G4" s="1166"/>
      <c r="H4" s="1166"/>
      <c r="I4" s="1166"/>
      <c r="J4" s="1166"/>
      <c r="K4" s="1166" t="s">
        <v>220</v>
      </c>
      <c r="L4" s="1166"/>
      <c r="M4" s="1166"/>
      <c r="N4" s="1166"/>
      <c r="O4" s="1166"/>
      <c r="P4" s="1166"/>
      <c r="Q4" s="1166"/>
      <c r="R4" s="1166"/>
      <c r="S4" s="1166"/>
      <c r="T4" s="1166"/>
      <c r="U4" s="1166"/>
      <c r="V4" s="1166"/>
      <c r="W4" s="1166"/>
      <c r="X4" s="1166"/>
      <c r="Y4" s="1166"/>
      <c r="Z4" s="1166"/>
      <c r="AA4" s="1166"/>
      <c r="AB4" s="1166"/>
      <c r="AC4" s="175"/>
    </row>
    <row r="5" spans="1:29" ht="45" x14ac:dyDescent="0.2">
      <c r="A5" s="174" t="s">
        <v>221</v>
      </c>
      <c r="B5" s="174" t="s">
        <v>222</v>
      </c>
      <c r="C5" s="174" t="s">
        <v>223</v>
      </c>
      <c r="D5" s="174" t="s">
        <v>224</v>
      </c>
      <c r="E5" s="174" t="s">
        <v>225</v>
      </c>
      <c r="F5" s="174" t="s">
        <v>226</v>
      </c>
      <c r="G5" s="174" t="s">
        <v>227</v>
      </c>
      <c r="H5" s="174" t="s">
        <v>228</v>
      </c>
      <c r="I5" s="174" t="s">
        <v>229</v>
      </c>
      <c r="J5" s="174" t="s">
        <v>230</v>
      </c>
      <c r="K5" s="174" t="s">
        <v>231</v>
      </c>
      <c r="L5" s="174" t="s">
        <v>87</v>
      </c>
      <c r="M5" s="174" t="s">
        <v>232</v>
      </c>
      <c r="N5" s="174" t="s">
        <v>233</v>
      </c>
      <c r="O5" s="174" t="s">
        <v>234</v>
      </c>
      <c r="P5" s="174" t="s">
        <v>235</v>
      </c>
      <c r="Q5" s="174" t="s">
        <v>236</v>
      </c>
      <c r="R5" s="174" t="s">
        <v>237</v>
      </c>
      <c r="S5" s="176" t="s">
        <v>238</v>
      </c>
      <c r="T5" s="176" t="s">
        <v>239</v>
      </c>
      <c r="U5" s="176" t="s">
        <v>240</v>
      </c>
      <c r="V5" s="176" t="s">
        <v>241</v>
      </c>
      <c r="W5" s="176" t="s">
        <v>242</v>
      </c>
      <c r="X5" s="176" t="s">
        <v>243</v>
      </c>
      <c r="Y5" s="176" t="s">
        <v>244</v>
      </c>
      <c r="Z5" s="176" t="s">
        <v>245</v>
      </c>
      <c r="AA5" s="176" t="s">
        <v>246</v>
      </c>
      <c r="AB5" s="176" t="s">
        <v>247</v>
      </c>
      <c r="AC5" s="175" t="s">
        <v>248</v>
      </c>
    </row>
    <row r="6" spans="1:29" ht="33" customHeight="1" x14ac:dyDescent="0.2">
      <c r="A6" s="172">
        <v>1</v>
      </c>
      <c r="B6" s="177"/>
      <c r="C6" s="294">
        <f>+MEMORIA!C31</f>
        <v>0</v>
      </c>
      <c r="D6" s="178"/>
      <c r="F6" s="178"/>
      <c r="G6" s="179" t="s">
        <v>2329</v>
      </c>
      <c r="H6" s="179" t="s">
        <v>2329</v>
      </c>
      <c r="I6" s="489">
        <f>+'ANEXO II'!D12</f>
        <v>0</v>
      </c>
      <c r="J6" s="329"/>
      <c r="K6" s="179" t="s">
        <v>249</v>
      </c>
      <c r="L6" s="182" t="s">
        <v>227</v>
      </c>
      <c r="S6" s="449">
        <f>+'HOJA DE RESUMEN'!U73</f>
        <v>0</v>
      </c>
      <c r="T6" s="449">
        <f>+'HOJA DE RESUMEN'!X73</f>
        <v>0</v>
      </c>
      <c r="U6" s="449">
        <f>+'HOJA DE RESUMEN'!I73</f>
        <v>0</v>
      </c>
      <c r="V6" s="449">
        <f>+'HOJA DE RESUMEN'!O73</f>
        <v>0</v>
      </c>
      <c r="W6" s="449">
        <f>+'HOJA DE RESUMEN'!S73</f>
        <v>0</v>
      </c>
      <c r="X6" s="449">
        <f>+'HOJA DE RESUMEN'!Q73</f>
        <v>0</v>
      </c>
      <c r="Y6" s="449">
        <f>+'HOJA DE RESUMEN'!U77</f>
        <v>0</v>
      </c>
      <c r="Z6" s="449"/>
      <c r="AA6" s="449">
        <f>+'HOJA DE RESUMEN'!AB73</f>
        <v>0</v>
      </c>
      <c r="AB6" s="181">
        <f>+'HOJA DE RESUMEN'!H64</f>
        <v>0</v>
      </c>
      <c r="AC6" s="172" t="str">
        <f>+'HOJA DE RESUMEN'!V38</f>
        <v>Tasaciones PN</v>
      </c>
    </row>
    <row r="7" spans="1:29" ht="33" customHeight="1" x14ac:dyDescent="0.2">
      <c r="A7" s="172">
        <v>2</v>
      </c>
      <c r="B7" s="177"/>
      <c r="C7" s="294">
        <f>+C6</f>
        <v>0</v>
      </c>
      <c r="D7" s="178"/>
      <c r="F7" s="178"/>
      <c r="G7" s="179" t="s">
        <v>2329</v>
      </c>
      <c r="H7" s="179" t="s">
        <v>2329</v>
      </c>
      <c r="I7" s="489">
        <f>+I6</f>
        <v>0</v>
      </c>
      <c r="K7" s="179" t="s">
        <v>250</v>
      </c>
      <c r="L7" s="182" t="s">
        <v>2491</v>
      </c>
      <c r="S7" s="449">
        <f>+'HOJA DE RESUMEN'!U74</f>
        <v>0</v>
      </c>
      <c r="T7" s="449">
        <f>+'HOJA DE RESUMEN'!X74</f>
        <v>0</v>
      </c>
      <c r="U7" s="449">
        <f>+'HOJA DE RESUMEN'!I74</f>
        <v>0</v>
      </c>
      <c r="V7" s="449">
        <f>+'HOJA DE RESUMEN'!O74</f>
        <v>0</v>
      </c>
      <c r="W7" s="449">
        <f>+'HOJA DE RESUMEN'!S74</f>
        <v>0</v>
      </c>
      <c r="X7" s="449">
        <f>+'HOJA DE RESUMEN'!Q74</f>
        <v>0</v>
      </c>
      <c r="Y7" s="450"/>
      <c r="Z7" s="449"/>
      <c r="AA7" s="449">
        <f>+'HOJA DE RESUMEN'!AB74</f>
        <v>0</v>
      </c>
      <c r="AB7" s="181">
        <f>+'HOJA DE RESUMEN'!H65</f>
        <v>0</v>
      </c>
      <c r="AC7" s="172" t="s">
        <v>2271</v>
      </c>
    </row>
    <row r="8" spans="1:29" ht="33" customHeight="1" x14ac:dyDescent="0.2">
      <c r="A8" s="172">
        <v>3</v>
      </c>
      <c r="B8" s="177"/>
      <c r="C8" s="294">
        <f>+C7</f>
        <v>0</v>
      </c>
      <c r="D8" s="178"/>
      <c r="F8" s="178"/>
      <c r="G8" s="179" t="s">
        <v>2329</v>
      </c>
      <c r="H8" s="179" t="s">
        <v>2329</v>
      </c>
      <c r="I8" s="489">
        <f>+I7</f>
        <v>0</v>
      </c>
      <c r="K8" s="182" t="s">
        <v>251</v>
      </c>
      <c r="L8" s="182" t="s">
        <v>2492</v>
      </c>
      <c r="S8" s="449">
        <f>+'HOJA DE RESUMEN'!U75</f>
        <v>0</v>
      </c>
      <c r="T8" s="449">
        <f>+'HOJA DE RESUMEN'!X75</f>
        <v>0</v>
      </c>
      <c r="U8" s="449">
        <f>+'HOJA DE RESUMEN'!I75</f>
        <v>0</v>
      </c>
      <c r="V8" s="449">
        <f>+'HOJA DE RESUMEN'!O75</f>
        <v>0</v>
      </c>
      <c r="W8" s="449">
        <f>+'HOJA DE RESUMEN'!S75</f>
        <v>0</v>
      </c>
      <c r="X8" s="449">
        <f>+'HOJA DE RESUMEN'!Q75</f>
        <v>0</v>
      </c>
      <c r="Y8" s="450"/>
      <c r="Z8" s="449"/>
      <c r="AA8" s="449">
        <f>+'HOJA DE RESUMEN'!AB75</f>
        <v>0</v>
      </c>
      <c r="AB8" s="181">
        <f>+'HOJA DE RESUMEN'!H66</f>
        <v>0</v>
      </c>
      <c r="AC8" s="172" t="s">
        <v>2271</v>
      </c>
    </row>
    <row r="9" spans="1:29" ht="33" customHeight="1" x14ac:dyDescent="0.2">
      <c r="A9" s="172">
        <v>4</v>
      </c>
      <c r="B9" s="177"/>
      <c r="G9" s="182"/>
      <c r="H9" s="182"/>
      <c r="I9" s="182"/>
      <c r="K9" s="182"/>
    </row>
    <row r="10" spans="1:29" x14ac:dyDescent="0.2">
      <c r="A10" s="172">
        <v>5</v>
      </c>
      <c r="G10" s="182"/>
      <c r="H10" s="182"/>
      <c r="I10" s="182"/>
      <c r="K10" s="182"/>
    </row>
    <row r="11" spans="1:29" x14ac:dyDescent="0.2">
      <c r="A11" s="172">
        <v>6</v>
      </c>
      <c r="G11" s="182"/>
      <c r="H11" s="182"/>
      <c r="I11" s="182"/>
      <c r="K11" s="182"/>
    </row>
    <row r="12" spans="1:29" x14ac:dyDescent="0.2">
      <c r="A12" s="172">
        <v>7</v>
      </c>
      <c r="G12" s="182"/>
      <c r="H12" s="182"/>
      <c r="I12" s="182"/>
      <c r="K12" s="182"/>
    </row>
    <row r="13" spans="1:29" x14ac:dyDescent="0.2">
      <c r="A13" s="172">
        <v>8</v>
      </c>
      <c r="G13" s="401"/>
      <c r="H13" s="401"/>
      <c r="I13" s="401"/>
      <c r="J13" s="401"/>
      <c r="K13" s="401"/>
      <c r="L13" s="401"/>
    </row>
    <row r="14" spans="1:29" x14ac:dyDescent="0.2">
      <c r="A14" s="172">
        <v>9</v>
      </c>
      <c r="G14" s="401"/>
      <c r="H14" s="401"/>
      <c r="I14" s="401"/>
      <c r="J14" s="401"/>
      <c r="K14" s="401"/>
      <c r="L14" s="401"/>
    </row>
    <row r="15" spans="1:29" x14ac:dyDescent="0.2">
      <c r="A15" s="172">
        <v>10</v>
      </c>
      <c r="G15" s="401"/>
      <c r="H15" s="401"/>
      <c r="I15" s="401"/>
      <c r="J15" s="401"/>
      <c r="K15" s="401"/>
      <c r="L15" s="401"/>
    </row>
    <row r="16" spans="1:29" x14ac:dyDescent="0.2">
      <c r="A16" s="172">
        <v>11</v>
      </c>
      <c r="G16" s="401"/>
      <c r="H16" s="401"/>
      <c r="I16" s="401"/>
      <c r="J16" s="401"/>
      <c r="K16" s="401"/>
      <c r="L16" s="401"/>
    </row>
    <row r="17" spans="1:12" x14ac:dyDescent="0.2">
      <c r="A17" s="172">
        <v>12</v>
      </c>
      <c r="G17" s="401"/>
      <c r="H17" s="401"/>
      <c r="I17" s="401"/>
      <c r="J17" s="401"/>
      <c r="K17" s="401"/>
      <c r="L17" s="401"/>
    </row>
    <row r="18" spans="1:12" x14ac:dyDescent="0.2">
      <c r="A18" s="172">
        <v>13</v>
      </c>
      <c r="G18" s="182"/>
      <c r="H18" s="182"/>
      <c r="I18" s="182"/>
      <c r="K18" s="182"/>
    </row>
    <row r="19" spans="1:12" x14ac:dyDescent="0.2">
      <c r="A19" s="172">
        <v>14</v>
      </c>
      <c r="G19" s="182"/>
      <c r="H19" s="182"/>
      <c r="I19" s="182"/>
      <c r="K19" s="182"/>
    </row>
    <row r="20" spans="1:12" x14ac:dyDescent="0.2">
      <c r="A20" s="172">
        <v>15</v>
      </c>
      <c r="G20" s="182"/>
      <c r="H20" s="182"/>
      <c r="I20" s="182"/>
      <c r="K20" s="182"/>
    </row>
    <row r="21" spans="1:12" x14ac:dyDescent="0.2">
      <c r="A21" s="172">
        <v>16</v>
      </c>
      <c r="G21" s="182"/>
      <c r="H21" s="182"/>
      <c r="I21" s="182"/>
      <c r="K21" s="182"/>
    </row>
    <row r="22" spans="1:12" x14ac:dyDescent="0.2">
      <c r="A22" s="172">
        <v>17</v>
      </c>
      <c r="G22" s="182"/>
      <c r="H22" s="182"/>
      <c r="I22" s="182"/>
      <c r="K22" s="182"/>
    </row>
    <row r="23" spans="1:12" x14ac:dyDescent="0.2">
      <c r="A23" s="172">
        <v>18</v>
      </c>
      <c r="G23" s="182"/>
      <c r="H23" s="182"/>
      <c r="I23" s="182"/>
      <c r="K23" s="182"/>
    </row>
    <row r="24" spans="1:12" x14ac:dyDescent="0.2">
      <c r="A24" s="172">
        <v>19</v>
      </c>
      <c r="G24" s="182"/>
      <c r="H24" s="182"/>
      <c r="I24" s="182"/>
      <c r="K24" s="182"/>
    </row>
    <row r="25" spans="1:12" x14ac:dyDescent="0.2">
      <c r="A25" s="172">
        <v>20</v>
      </c>
      <c r="G25" s="182"/>
      <c r="H25" s="182"/>
      <c r="I25" s="182"/>
      <c r="K25" s="182"/>
    </row>
    <row r="26" spans="1:12" x14ac:dyDescent="0.2">
      <c r="A26" s="172">
        <v>21</v>
      </c>
      <c r="G26" s="182"/>
      <c r="H26" s="182"/>
      <c r="I26" s="182"/>
      <c r="K26" s="182"/>
    </row>
    <row r="27" spans="1:12" x14ac:dyDescent="0.2">
      <c r="A27" s="172">
        <v>22</v>
      </c>
      <c r="G27" s="182"/>
      <c r="H27" s="182"/>
      <c r="I27" s="182"/>
      <c r="K27" s="182"/>
    </row>
    <row r="28" spans="1:12" x14ac:dyDescent="0.2">
      <c r="A28" s="172">
        <v>23</v>
      </c>
      <c r="G28" s="182"/>
      <c r="H28" s="182"/>
      <c r="I28" s="182"/>
      <c r="K28" s="182"/>
    </row>
    <row r="29" spans="1:12" x14ac:dyDescent="0.2">
      <c r="A29" s="172">
        <v>24</v>
      </c>
      <c r="G29" s="182"/>
      <c r="H29" s="182"/>
      <c r="I29" s="182"/>
      <c r="K29" s="182"/>
    </row>
    <row r="30" spans="1:12" x14ac:dyDescent="0.2">
      <c r="A30" s="172">
        <v>25</v>
      </c>
      <c r="G30" s="182"/>
      <c r="H30" s="182"/>
      <c r="I30" s="182"/>
      <c r="K30" s="182"/>
    </row>
    <row r="31" spans="1:12" x14ac:dyDescent="0.2">
      <c r="A31" s="172">
        <v>26</v>
      </c>
      <c r="G31" s="182"/>
      <c r="H31" s="182"/>
      <c r="I31" s="182"/>
      <c r="K31" s="182"/>
    </row>
    <row r="32" spans="1:12" x14ac:dyDescent="0.2">
      <c r="A32" s="172">
        <v>27</v>
      </c>
      <c r="G32" s="182"/>
      <c r="H32" s="182"/>
      <c r="I32" s="182"/>
      <c r="K32" s="182"/>
    </row>
    <row r="33" spans="1:11" x14ac:dyDescent="0.2">
      <c r="A33" s="172">
        <v>28</v>
      </c>
      <c r="G33" s="182"/>
      <c r="H33" s="182"/>
      <c r="I33" s="182"/>
      <c r="K33" s="182"/>
    </row>
    <row r="34" spans="1:11" x14ac:dyDescent="0.2">
      <c r="A34" s="172">
        <v>29</v>
      </c>
      <c r="G34" s="182"/>
      <c r="H34" s="182"/>
      <c r="I34" s="182"/>
      <c r="K34" s="182"/>
    </row>
    <row r="35" spans="1:11" x14ac:dyDescent="0.2">
      <c r="A35" s="172">
        <v>30</v>
      </c>
      <c r="G35" s="182"/>
      <c r="H35" s="182"/>
      <c r="I35" s="182"/>
      <c r="K35" s="182"/>
    </row>
    <row r="36" spans="1:11" x14ac:dyDescent="0.2">
      <c r="A36" s="172">
        <v>31</v>
      </c>
      <c r="G36" s="182"/>
      <c r="H36" s="182"/>
      <c r="I36" s="182"/>
      <c r="K36" s="182"/>
    </row>
    <row r="37" spans="1:11" x14ac:dyDescent="0.2">
      <c r="A37" s="172">
        <v>32</v>
      </c>
      <c r="G37" s="182"/>
      <c r="H37" s="182"/>
      <c r="I37" s="182"/>
      <c r="K37" s="182"/>
    </row>
    <row r="38" spans="1:11" x14ac:dyDescent="0.2">
      <c r="A38" s="172">
        <v>33</v>
      </c>
      <c r="G38" s="182"/>
      <c r="H38" s="182"/>
      <c r="I38" s="182"/>
      <c r="K38" s="182"/>
    </row>
    <row r="39" spans="1:11" x14ac:dyDescent="0.2">
      <c r="A39" s="172">
        <v>34</v>
      </c>
      <c r="G39" s="182"/>
      <c r="H39" s="182"/>
      <c r="I39" s="182"/>
      <c r="K39" s="182"/>
    </row>
    <row r="40" spans="1:11" x14ac:dyDescent="0.2">
      <c r="A40" s="172">
        <v>35</v>
      </c>
      <c r="G40" s="182"/>
      <c r="H40" s="182"/>
      <c r="I40" s="182"/>
      <c r="K40" s="182"/>
    </row>
    <row r="41" spans="1:11" x14ac:dyDescent="0.2">
      <c r="A41" s="172">
        <v>36</v>
      </c>
      <c r="G41" s="182"/>
      <c r="H41" s="182"/>
      <c r="I41" s="182"/>
      <c r="K41" s="182"/>
    </row>
    <row r="42" spans="1:11" x14ac:dyDescent="0.2">
      <c r="A42" s="172">
        <v>37</v>
      </c>
      <c r="G42" s="182"/>
      <c r="H42" s="182"/>
      <c r="I42" s="182"/>
      <c r="K42" s="182"/>
    </row>
    <row r="43" spans="1:11" x14ac:dyDescent="0.2">
      <c r="A43" s="172">
        <v>38</v>
      </c>
      <c r="G43" s="182"/>
      <c r="H43" s="182"/>
      <c r="I43" s="182"/>
      <c r="K43" s="182"/>
    </row>
    <row r="44" spans="1:11" x14ac:dyDescent="0.2">
      <c r="A44" s="172">
        <v>39</v>
      </c>
      <c r="G44" s="182"/>
      <c r="H44" s="182"/>
      <c r="I44" s="182"/>
      <c r="K44" s="182"/>
    </row>
    <row r="45" spans="1:11" x14ac:dyDescent="0.2">
      <c r="A45" s="172">
        <v>40</v>
      </c>
      <c r="G45" s="182"/>
      <c r="H45" s="182"/>
      <c r="I45" s="182"/>
      <c r="K45" s="182"/>
    </row>
    <row r="46" spans="1:11" x14ac:dyDescent="0.2">
      <c r="A46" s="172">
        <v>41</v>
      </c>
      <c r="G46" s="182"/>
      <c r="H46" s="182"/>
      <c r="I46" s="182"/>
      <c r="K46" s="182"/>
    </row>
    <row r="47" spans="1:11" x14ac:dyDescent="0.2">
      <c r="A47" s="172">
        <v>42</v>
      </c>
      <c r="G47" s="182"/>
      <c r="H47" s="182"/>
      <c r="I47" s="182"/>
      <c r="K47" s="182"/>
    </row>
    <row r="48" spans="1:11" x14ac:dyDescent="0.2">
      <c r="A48" s="172">
        <v>43</v>
      </c>
      <c r="G48" s="182"/>
      <c r="H48" s="182"/>
      <c r="I48" s="182"/>
      <c r="K48" s="182"/>
    </row>
    <row r="49" spans="1:11" x14ac:dyDescent="0.2">
      <c r="A49" s="172">
        <v>44</v>
      </c>
      <c r="G49" s="182"/>
      <c r="H49" s="182"/>
      <c r="I49" s="182"/>
      <c r="K49" s="182"/>
    </row>
    <row r="50" spans="1:11" x14ac:dyDescent="0.2">
      <c r="A50" s="172">
        <v>45</v>
      </c>
      <c r="G50" s="182"/>
      <c r="H50" s="182"/>
      <c r="I50" s="182"/>
      <c r="K50" s="182"/>
    </row>
    <row r="51" spans="1:11" x14ac:dyDescent="0.2">
      <c r="A51" s="172">
        <v>46</v>
      </c>
      <c r="G51" s="182"/>
      <c r="H51" s="182"/>
      <c r="I51" s="182"/>
      <c r="K51" s="182"/>
    </row>
    <row r="52" spans="1:11" x14ac:dyDescent="0.2">
      <c r="A52" s="172">
        <v>47</v>
      </c>
      <c r="G52" s="182"/>
      <c r="H52" s="182"/>
      <c r="I52" s="182"/>
      <c r="K52" s="182"/>
    </row>
    <row r="53" spans="1:11" x14ac:dyDescent="0.2">
      <c r="A53" s="172">
        <v>48</v>
      </c>
      <c r="G53" s="182"/>
      <c r="H53" s="182"/>
      <c r="I53" s="182"/>
      <c r="K53" s="182"/>
    </row>
    <row r="54" spans="1:11" x14ac:dyDescent="0.2">
      <c r="A54" s="172">
        <v>49</v>
      </c>
      <c r="G54" s="182"/>
      <c r="H54" s="182"/>
      <c r="I54" s="182"/>
      <c r="K54" s="182"/>
    </row>
    <row r="55" spans="1:11" x14ac:dyDescent="0.2">
      <c r="A55" s="172">
        <v>50</v>
      </c>
      <c r="G55" s="182"/>
      <c r="H55" s="182"/>
      <c r="I55" s="182"/>
      <c r="K55" s="182"/>
    </row>
    <row r="56" spans="1:11" x14ac:dyDescent="0.2">
      <c r="A56" s="172">
        <v>51</v>
      </c>
      <c r="G56" s="182"/>
      <c r="H56" s="182"/>
      <c r="I56" s="182"/>
      <c r="K56" s="182"/>
    </row>
    <row r="57" spans="1:11" x14ac:dyDescent="0.2">
      <c r="A57" s="172">
        <v>52</v>
      </c>
      <c r="G57" s="182"/>
      <c r="H57" s="182"/>
      <c r="I57" s="182"/>
      <c r="K57" s="182"/>
    </row>
    <row r="58" spans="1:11" x14ac:dyDescent="0.2">
      <c r="A58" s="172">
        <v>53</v>
      </c>
      <c r="G58" s="182"/>
      <c r="H58" s="182"/>
      <c r="I58" s="182"/>
      <c r="K58" s="182"/>
    </row>
    <row r="59" spans="1:11" x14ac:dyDescent="0.2">
      <c r="A59" s="172">
        <v>54</v>
      </c>
      <c r="G59" s="182"/>
      <c r="H59" s="182"/>
      <c r="I59" s="182"/>
      <c r="K59" s="182"/>
    </row>
    <row r="60" spans="1:11" x14ac:dyDescent="0.2">
      <c r="A60" s="172">
        <v>55</v>
      </c>
      <c r="G60" s="182"/>
      <c r="H60" s="182"/>
      <c r="I60" s="182"/>
      <c r="K60" s="182"/>
    </row>
    <row r="61" spans="1:11" x14ac:dyDescent="0.2">
      <c r="A61" s="172">
        <v>56</v>
      </c>
      <c r="G61" s="182"/>
      <c r="H61" s="182"/>
      <c r="I61" s="182"/>
      <c r="K61" s="182"/>
    </row>
    <row r="62" spans="1:11" x14ac:dyDescent="0.2">
      <c r="A62" s="172">
        <v>57</v>
      </c>
      <c r="G62" s="182"/>
      <c r="H62" s="182"/>
      <c r="I62" s="182"/>
      <c r="K62" s="182"/>
    </row>
    <row r="63" spans="1:11" x14ac:dyDescent="0.2">
      <c r="A63" s="172">
        <v>58</v>
      </c>
      <c r="G63" s="182"/>
      <c r="H63" s="182"/>
      <c r="I63" s="182"/>
      <c r="K63" s="182"/>
    </row>
    <row r="64" spans="1:11" x14ac:dyDescent="0.2">
      <c r="A64" s="172">
        <v>59</v>
      </c>
      <c r="G64" s="182"/>
      <c r="H64" s="182"/>
      <c r="I64" s="182"/>
      <c r="K64" s="182"/>
    </row>
    <row r="65" spans="1:11" x14ac:dyDescent="0.2">
      <c r="A65" s="172">
        <v>60</v>
      </c>
      <c r="G65" s="182"/>
      <c r="H65" s="182"/>
      <c r="I65" s="182"/>
      <c r="K65" s="182"/>
    </row>
    <row r="66" spans="1:11" x14ac:dyDescent="0.2">
      <c r="A66" s="172">
        <v>61</v>
      </c>
      <c r="G66" s="182"/>
      <c r="H66" s="182"/>
      <c r="I66" s="182"/>
      <c r="K66" s="182"/>
    </row>
    <row r="67" spans="1:11" x14ac:dyDescent="0.2">
      <c r="A67" s="172">
        <v>62</v>
      </c>
      <c r="G67" s="182"/>
      <c r="H67" s="182"/>
      <c r="I67" s="182"/>
      <c r="K67" s="182"/>
    </row>
    <row r="68" spans="1:11" x14ac:dyDescent="0.2">
      <c r="A68" s="172">
        <v>63</v>
      </c>
      <c r="G68" s="182"/>
      <c r="H68" s="182"/>
      <c r="I68" s="182"/>
      <c r="K68" s="182"/>
    </row>
    <row r="69" spans="1:11" x14ac:dyDescent="0.2">
      <c r="A69" s="172">
        <v>64</v>
      </c>
      <c r="G69" s="182"/>
      <c r="H69" s="182"/>
      <c r="I69" s="182"/>
      <c r="K69" s="182"/>
    </row>
    <row r="70" spans="1:11" x14ac:dyDescent="0.2">
      <c r="A70" s="172">
        <v>65</v>
      </c>
      <c r="G70" s="182"/>
      <c r="H70" s="182"/>
      <c r="I70" s="182"/>
      <c r="K70" s="182"/>
    </row>
    <row r="71" spans="1:11" x14ac:dyDescent="0.2">
      <c r="A71" s="172">
        <v>66</v>
      </c>
      <c r="G71" s="182"/>
      <c r="H71" s="182"/>
      <c r="I71" s="182"/>
      <c r="K71" s="182"/>
    </row>
    <row r="72" spans="1:11" x14ac:dyDescent="0.2">
      <c r="A72" s="172">
        <v>67</v>
      </c>
      <c r="G72" s="182"/>
      <c r="H72" s="182"/>
      <c r="I72" s="182"/>
      <c r="K72" s="182"/>
    </row>
    <row r="73" spans="1:11" x14ac:dyDescent="0.2">
      <c r="A73" s="172">
        <v>68</v>
      </c>
      <c r="G73" s="182"/>
      <c r="H73" s="182"/>
      <c r="I73" s="182"/>
      <c r="K73" s="182"/>
    </row>
    <row r="74" spans="1:11" x14ac:dyDescent="0.2">
      <c r="A74" s="172">
        <v>69</v>
      </c>
      <c r="G74" s="182"/>
      <c r="H74" s="182"/>
      <c r="I74" s="182"/>
      <c r="K74" s="182"/>
    </row>
    <row r="75" spans="1:11" x14ac:dyDescent="0.2">
      <c r="A75" s="172">
        <v>70</v>
      </c>
      <c r="G75" s="182"/>
      <c r="H75" s="182"/>
      <c r="I75" s="182"/>
      <c r="K75" s="182"/>
    </row>
    <row r="76" spans="1:11" x14ac:dyDescent="0.2">
      <c r="A76" s="172">
        <v>71</v>
      </c>
      <c r="G76" s="182"/>
      <c r="H76" s="182"/>
      <c r="I76" s="182"/>
      <c r="K76" s="182"/>
    </row>
    <row r="77" spans="1:11" x14ac:dyDescent="0.2">
      <c r="A77" s="172">
        <v>72</v>
      </c>
      <c r="G77" s="182"/>
      <c r="H77" s="182"/>
      <c r="I77" s="182"/>
      <c r="K77" s="182"/>
    </row>
    <row r="78" spans="1:11" x14ac:dyDescent="0.2">
      <c r="A78" s="172">
        <v>73</v>
      </c>
      <c r="G78" s="182"/>
      <c r="H78" s="182"/>
      <c r="I78" s="182"/>
      <c r="K78" s="182"/>
    </row>
    <row r="79" spans="1:11" x14ac:dyDescent="0.2">
      <c r="A79" s="172">
        <v>74</v>
      </c>
      <c r="G79" s="182"/>
      <c r="H79" s="182"/>
      <c r="I79" s="182"/>
      <c r="K79" s="182"/>
    </row>
    <row r="80" spans="1:11" x14ac:dyDescent="0.2">
      <c r="A80" s="172">
        <v>75</v>
      </c>
      <c r="G80" s="182"/>
      <c r="H80" s="182"/>
      <c r="I80" s="182"/>
      <c r="K80" s="182"/>
    </row>
    <row r="81" spans="1:11" x14ac:dyDescent="0.2">
      <c r="A81" s="172">
        <v>76</v>
      </c>
      <c r="G81" s="182"/>
      <c r="H81" s="182"/>
      <c r="I81" s="182"/>
      <c r="K81" s="182"/>
    </row>
    <row r="82" spans="1:11" x14ac:dyDescent="0.2">
      <c r="A82" s="172">
        <v>77</v>
      </c>
      <c r="G82" s="182"/>
      <c r="H82" s="182"/>
      <c r="I82" s="182"/>
      <c r="K82" s="182"/>
    </row>
    <row r="83" spans="1:11" x14ac:dyDescent="0.2">
      <c r="A83" s="172">
        <v>78</v>
      </c>
      <c r="G83" s="182"/>
      <c r="H83" s="182"/>
      <c r="I83" s="182"/>
      <c r="K83" s="182"/>
    </row>
    <row r="84" spans="1:11" x14ac:dyDescent="0.2">
      <c r="A84" s="172">
        <v>79</v>
      </c>
      <c r="G84" s="182"/>
      <c r="H84" s="182"/>
      <c r="I84" s="182"/>
      <c r="K84" s="182"/>
    </row>
    <row r="85" spans="1:11" x14ac:dyDescent="0.2">
      <c r="A85" s="172">
        <v>80</v>
      </c>
      <c r="G85" s="182"/>
      <c r="H85" s="182"/>
      <c r="I85" s="182"/>
      <c r="K85" s="182"/>
    </row>
    <row r="86" spans="1:11" x14ac:dyDescent="0.2">
      <c r="A86" s="172">
        <v>81</v>
      </c>
      <c r="G86" s="182"/>
      <c r="H86" s="182"/>
      <c r="I86" s="182"/>
      <c r="K86" s="182"/>
    </row>
    <row r="87" spans="1:11" x14ac:dyDescent="0.2">
      <c r="A87" s="172">
        <v>82</v>
      </c>
      <c r="G87" s="182"/>
      <c r="H87" s="182"/>
      <c r="I87" s="182"/>
      <c r="K87" s="182"/>
    </row>
    <row r="88" spans="1:11" x14ac:dyDescent="0.2">
      <c r="A88" s="172">
        <v>83</v>
      </c>
      <c r="G88" s="182"/>
      <c r="H88" s="182"/>
      <c r="I88" s="182"/>
      <c r="K88" s="182"/>
    </row>
    <row r="89" spans="1:11" x14ac:dyDescent="0.2">
      <c r="A89" s="172">
        <v>84</v>
      </c>
      <c r="G89" s="182"/>
      <c r="H89" s="182"/>
      <c r="I89" s="182"/>
      <c r="K89" s="182"/>
    </row>
    <row r="90" spans="1:11" x14ac:dyDescent="0.2">
      <c r="A90" s="172">
        <v>85</v>
      </c>
      <c r="G90" s="182"/>
      <c r="H90" s="182"/>
      <c r="I90" s="182"/>
      <c r="K90" s="182"/>
    </row>
    <row r="91" spans="1:11" x14ac:dyDescent="0.2">
      <c r="A91" s="172">
        <v>86</v>
      </c>
      <c r="G91" s="182"/>
      <c r="H91" s="182"/>
      <c r="I91" s="182"/>
      <c r="K91" s="182"/>
    </row>
    <row r="92" spans="1:11" x14ac:dyDescent="0.2">
      <c r="A92" s="172">
        <v>87</v>
      </c>
      <c r="G92" s="182"/>
      <c r="H92" s="182"/>
      <c r="I92" s="182"/>
      <c r="K92" s="182"/>
    </row>
    <row r="93" spans="1:11" x14ac:dyDescent="0.2">
      <c r="A93" s="172">
        <v>88</v>
      </c>
      <c r="G93" s="182"/>
      <c r="H93" s="182"/>
      <c r="I93" s="182"/>
      <c r="K93" s="182"/>
    </row>
    <row r="94" spans="1:11" x14ac:dyDescent="0.2">
      <c r="A94" s="172">
        <v>89</v>
      </c>
      <c r="G94" s="182"/>
      <c r="H94" s="182"/>
      <c r="I94" s="182"/>
      <c r="K94" s="182"/>
    </row>
    <row r="95" spans="1:11" x14ac:dyDescent="0.2">
      <c r="A95" s="172">
        <v>90</v>
      </c>
      <c r="G95" s="182"/>
      <c r="H95" s="182"/>
      <c r="I95" s="182"/>
      <c r="K95" s="182"/>
    </row>
    <row r="96" spans="1:11" x14ac:dyDescent="0.2">
      <c r="A96" s="172">
        <v>91</v>
      </c>
      <c r="G96" s="182"/>
      <c r="H96" s="182"/>
      <c r="I96" s="182"/>
      <c r="K96" s="182"/>
    </row>
    <row r="97" spans="1:11" x14ac:dyDescent="0.2">
      <c r="A97" s="172">
        <v>92</v>
      </c>
      <c r="G97" s="182"/>
      <c r="H97" s="182"/>
      <c r="I97" s="182"/>
      <c r="K97" s="182"/>
    </row>
    <row r="98" spans="1:11" x14ac:dyDescent="0.2">
      <c r="A98" s="172">
        <v>93</v>
      </c>
      <c r="G98" s="182"/>
      <c r="H98" s="182"/>
      <c r="I98" s="182"/>
      <c r="K98" s="182"/>
    </row>
    <row r="99" spans="1:11" x14ac:dyDescent="0.2">
      <c r="A99" s="172">
        <v>94</v>
      </c>
      <c r="G99" s="182"/>
      <c r="H99" s="182"/>
      <c r="I99" s="182"/>
      <c r="K99" s="182"/>
    </row>
    <row r="100" spans="1:11" x14ac:dyDescent="0.2">
      <c r="A100" s="172">
        <v>95</v>
      </c>
      <c r="G100" s="182"/>
      <c r="H100" s="182"/>
      <c r="I100" s="182"/>
      <c r="K100" s="182"/>
    </row>
    <row r="101" spans="1:11" x14ac:dyDescent="0.2">
      <c r="A101" s="172">
        <v>96</v>
      </c>
      <c r="G101" s="182"/>
      <c r="H101" s="182"/>
      <c r="I101" s="182"/>
      <c r="K101" s="182"/>
    </row>
    <row r="102" spans="1:11" x14ac:dyDescent="0.2">
      <c r="A102" s="172">
        <v>97</v>
      </c>
      <c r="G102" s="182"/>
      <c r="H102" s="182"/>
      <c r="I102" s="182"/>
      <c r="K102" s="182"/>
    </row>
    <row r="103" spans="1:11" x14ac:dyDescent="0.2">
      <c r="A103" s="172">
        <v>98</v>
      </c>
      <c r="G103" s="182"/>
      <c r="H103" s="182"/>
      <c r="I103" s="182"/>
      <c r="K103" s="182"/>
    </row>
    <row r="104" spans="1:11" x14ac:dyDescent="0.2">
      <c r="A104" s="172">
        <v>99</v>
      </c>
      <c r="G104" s="182"/>
      <c r="H104" s="182"/>
      <c r="I104" s="182"/>
      <c r="K104" s="182"/>
    </row>
    <row r="105" spans="1:11" x14ac:dyDescent="0.2">
      <c r="A105" s="172">
        <v>100</v>
      </c>
      <c r="G105" s="182"/>
      <c r="H105" s="182"/>
      <c r="I105" s="182"/>
      <c r="K105" s="182"/>
    </row>
  </sheetData>
  <mergeCells count="2">
    <mergeCell ref="B4:J4"/>
    <mergeCell ref="K4:AB4"/>
  </mergeCells>
  <dataValidations count="2">
    <dataValidation type="whole" allowBlank="1" showInputMessage="1" showErrorMessage="1" errorTitle="Error" error="Solo puede ingresar años entre 1900 y 2100" sqref="P6:P105" xr:uid="{6F9D2E39-86A9-41F1-896A-5AAC20D7B3A9}">
      <formula1>1900</formula1>
      <formula2>2100</formula2>
    </dataValidation>
    <dataValidation type="decimal" operator="greaterThanOrEqual" allowBlank="1" showInputMessage="1" showErrorMessage="1" errorTitle="Error" error="Sólo se ingresan decimales mayor o igual a 0" sqref="S6:AB105" xr:uid="{566A9F3A-3A33-4BD5-8D4C-83F777F79DFE}">
      <formula1>0</formula1>
    </dataValidation>
  </dataValidations>
  <pageMargins left="0.70866141732283472" right="0.70866141732283472" top="0.74803149606299213" bottom="0.74803149606299213" header="0.31496062992125984" footer="0.31496062992125984"/>
  <pageSetup scale="62" orientation="landscape"/>
  <colBreaks count="1" manualBreakCount="1">
    <brk id="12" max="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8F55-A916-4193-B4C4-3EB5CD54A4AE}">
  <dimension ref="A1:B98"/>
  <sheetViews>
    <sheetView topLeftCell="A64" workbookViewId="0"/>
  </sheetViews>
  <sheetFormatPr baseColWidth="10" defaultColWidth="9.140625" defaultRowHeight="15" x14ac:dyDescent="0.25"/>
  <cols>
    <col min="1" max="1" width="9" style="185" customWidth="1"/>
    <col min="2" max="2" width="28" style="183" bestFit="1" customWidth="1"/>
    <col min="3" max="16384" width="9.140625" style="183"/>
  </cols>
  <sheetData>
    <row r="1" spans="1:2" x14ac:dyDescent="0.25">
      <c r="A1" s="174" t="s">
        <v>252</v>
      </c>
      <c r="B1" s="174" t="s">
        <v>253</v>
      </c>
    </row>
    <row r="2" spans="1:2" x14ac:dyDescent="0.25">
      <c r="A2" s="184" t="s">
        <v>254</v>
      </c>
      <c r="B2" s="183" t="s">
        <v>255</v>
      </c>
    </row>
    <row r="3" spans="1:2" x14ac:dyDescent="0.25">
      <c r="A3" s="184" t="s">
        <v>256</v>
      </c>
      <c r="B3" s="183" t="s">
        <v>257</v>
      </c>
    </row>
    <row r="4" spans="1:2" x14ac:dyDescent="0.25">
      <c r="A4" s="184" t="s">
        <v>258</v>
      </c>
      <c r="B4" s="183" t="s">
        <v>259</v>
      </c>
    </row>
    <row r="5" spans="1:2" x14ac:dyDescent="0.25">
      <c r="A5" s="184" t="s">
        <v>260</v>
      </c>
      <c r="B5" s="183" t="s">
        <v>261</v>
      </c>
    </row>
    <row r="6" spans="1:2" x14ac:dyDescent="0.25">
      <c r="A6" s="184" t="s">
        <v>262</v>
      </c>
      <c r="B6" s="183" t="s">
        <v>263</v>
      </c>
    </row>
    <row r="7" spans="1:2" x14ac:dyDescent="0.25">
      <c r="A7" s="184" t="s">
        <v>264</v>
      </c>
      <c r="B7" s="183" t="s">
        <v>265</v>
      </c>
    </row>
    <row r="8" spans="1:2" x14ac:dyDescent="0.25">
      <c r="A8" s="184" t="s">
        <v>266</v>
      </c>
      <c r="B8" s="183" t="s">
        <v>267</v>
      </c>
    </row>
    <row r="9" spans="1:2" x14ac:dyDescent="0.25">
      <c r="A9" s="184" t="s">
        <v>268</v>
      </c>
      <c r="B9" s="183" t="s">
        <v>269</v>
      </c>
    </row>
    <row r="10" spans="1:2" x14ac:dyDescent="0.25">
      <c r="A10" s="184" t="s">
        <v>270</v>
      </c>
      <c r="B10" s="183" t="s">
        <v>271</v>
      </c>
    </row>
    <row r="11" spans="1:2" x14ac:dyDescent="0.25">
      <c r="A11" s="184" t="s">
        <v>272</v>
      </c>
      <c r="B11" s="183" t="s">
        <v>273</v>
      </c>
    </row>
    <row r="12" spans="1:2" x14ac:dyDescent="0.25">
      <c r="A12" s="184" t="s">
        <v>274</v>
      </c>
      <c r="B12" s="183" t="s">
        <v>275</v>
      </c>
    </row>
    <row r="13" spans="1:2" x14ac:dyDescent="0.25">
      <c r="A13" s="184" t="s">
        <v>276</v>
      </c>
      <c r="B13" s="183" t="s">
        <v>277</v>
      </c>
    </row>
    <row r="14" spans="1:2" x14ac:dyDescent="0.25">
      <c r="A14" s="184" t="s">
        <v>278</v>
      </c>
      <c r="B14" s="183" t="s">
        <v>279</v>
      </c>
    </row>
    <row r="15" spans="1:2" x14ac:dyDescent="0.25">
      <c r="A15" s="184" t="s">
        <v>249</v>
      </c>
      <c r="B15" s="183" t="s">
        <v>280</v>
      </c>
    </row>
    <row r="16" spans="1:2" x14ac:dyDescent="0.25">
      <c r="A16" s="184" t="s">
        <v>281</v>
      </c>
      <c r="B16" s="183" t="s">
        <v>282</v>
      </c>
    </row>
    <row r="17" spans="1:2" x14ac:dyDescent="0.25">
      <c r="A17" s="184" t="s">
        <v>283</v>
      </c>
      <c r="B17" s="183" t="s">
        <v>284</v>
      </c>
    </row>
    <row r="18" spans="1:2" x14ac:dyDescent="0.25">
      <c r="A18" s="184" t="s">
        <v>285</v>
      </c>
      <c r="B18" s="183" t="s">
        <v>286</v>
      </c>
    </row>
    <row r="19" spans="1:2" x14ac:dyDescent="0.25">
      <c r="A19" s="184" t="s">
        <v>287</v>
      </c>
      <c r="B19" s="183" t="s">
        <v>288</v>
      </c>
    </row>
    <row r="20" spans="1:2" x14ac:dyDescent="0.25">
      <c r="A20" s="184" t="s">
        <v>289</v>
      </c>
      <c r="B20" s="183" t="s">
        <v>290</v>
      </c>
    </row>
    <row r="21" spans="1:2" x14ac:dyDescent="0.25">
      <c r="A21" s="184" t="s">
        <v>291</v>
      </c>
      <c r="B21" s="183" t="s">
        <v>292</v>
      </c>
    </row>
    <row r="22" spans="1:2" x14ac:dyDescent="0.25">
      <c r="A22" s="184" t="s">
        <v>293</v>
      </c>
      <c r="B22" s="183" t="s">
        <v>294</v>
      </c>
    </row>
    <row r="23" spans="1:2" x14ac:dyDescent="0.25">
      <c r="A23" s="184" t="s">
        <v>295</v>
      </c>
      <c r="B23" s="183" t="s">
        <v>296</v>
      </c>
    </row>
    <row r="24" spans="1:2" x14ac:dyDescent="0.25">
      <c r="A24" s="184" t="s">
        <v>297</v>
      </c>
      <c r="B24" s="183" t="s">
        <v>298</v>
      </c>
    </row>
    <row r="25" spans="1:2" x14ac:dyDescent="0.25">
      <c r="A25" s="184" t="s">
        <v>299</v>
      </c>
      <c r="B25" s="183" t="s">
        <v>300</v>
      </c>
    </row>
    <row r="26" spans="1:2" x14ac:dyDescent="0.25">
      <c r="A26" s="184" t="s">
        <v>301</v>
      </c>
      <c r="B26" s="183" t="s">
        <v>302</v>
      </c>
    </row>
    <row r="27" spans="1:2" x14ac:dyDescent="0.25">
      <c r="A27" s="184" t="s">
        <v>303</v>
      </c>
      <c r="B27" s="183" t="s">
        <v>304</v>
      </c>
    </row>
    <row r="28" spans="1:2" x14ac:dyDescent="0.25">
      <c r="A28" s="184" t="s">
        <v>305</v>
      </c>
      <c r="B28" s="183" t="s">
        <v>306</v>
      </c>
    </row>
    <row r="29" spans="1:2" x14ac:dyDescent="0.25">
      <c r="A29" s="184" t="s">
        <v>250</v>
      </c>
      <c r="B29" s="183" t="s">
        <v>307</v>
      </c>
    </row>
    <row r="30" spans="1:2" x14ac:dyDescent="0.25">
      <c r="A30" s="184" t="s">
        <v>308</v>
      </c>
      <c r="B30" s="183" t="s">
        <v>309</v>
      </c>
    </row>
    <row r="31" spans="1:2" x14ac:dyDescent="0.25">
      <c r="A31" s="184" t="s">
        <v>310</v>
      </c>
      <c r="B31" s="183" t="s">
        <v>311</v>
      </c>
    </row>
    <row r="32" spans="1:2" x14ac:dyDescent="0.25">
      <c r="A32" s="184" t="s">
        <v>312</v>
      </c>
      <c r="B32" s="183" t="s">
        <v>313</v>
      </c>
    </row>
    <row r="33" spans="1:2" x14ac:dyDescent="0.25">
      <c r="A33" s="184" t="s">
        <v>314</v>
      </c>
      <c r="B33" s="183" t="s">
        <v>315</v>
      </c>
    </row>
    <row r="34" spans="1:2" x14ac:dyDescent="0.25">
      <c r="A34" s="184" t="s">
        <v>316</v>
      </c>
      <c r="B34" s="183" t="s">
        <v>317</v>
      </c>
    </row>
    <row r="35" spans="1:2" x14ac:dyDescent="0.25">
      <c r="A35" s="184" t="s">
        <v>318</v>
      </c>
      <c r="B35" s="183" t="s">
        <v>319</v>
      </c>
    </row>
    <row r="36" spans="1:2" x14ac:dyDescent="0.25">
      <c r="A36" s="184" t="s">
        <v>320</v>
      </c>
      <c r="B36" s="183" t="s">
        <v>321</v>
      </c>
    </row>
    <row r="37" spans="1:2" x14ac:dyDescent="0.25">
      <c r="A37" s="184" t="s">
        <v>322</v>
      </c>
      <c r="B37" s="183" t="s">
        <v>323</v>
      </c>
    </row>
    <row r="38" spans="1:2" x14ac:dyDescent="0.25">
      <c r="A38" s="184" t="s">
        <v>324</v>
      </c>
      <c r="B38" s="183" t="s">
        <v>325</v>
      </c>
    </row>
    <row r="39" spans="1:2" x14ac:dyDescent="0.25">
      <c r="A39" s="184" t="s">
        <v>326</v>
      </c>
      <c r="B39" s="183" t="s">
        <v>327</v>
      </c>
    </row>
    <row r="40" spans="1:2" x14ac:dyDescent="0.25">
      <c r="A40" s="184" t="s">
        <v>328</v>
      </c>
      <c r="B40" s="183" t="s">
        <v>329</v>
      </c>
    </row>
    <row r="41" spans="1:2" x14ac:dyDescent="0.25">
      <c r="A41" s="184" t="s">
        <v>330</v>
      </c>
      <c r="B41" s="183" t="s">
        <v>331</v>
      </c>
    </row>
    <row r="42" spans="1:2" x14ac:dyDescent="0.25">
      <c r="A42" s="184" t="s">
        <v>332</v>
      </c>
      <c r="B42" s="183" t="s">
        <v>333</v>
      </c>
    </row>
    <row r="43" spans="1:2" x14ac:dyDescent="0.25">
      <c r="A43" s="185" t="s">
        <v>334</v>
      </c>
      <c r="B43" s="183" t="s">
        <v>335</v>
      </c>
    </row>
    <row r="44" spans="1:2" x14ac:dyDescent="0.25">
      <c r="A44" s="185" t="s">
        <v>336</v>
      </c>
      <c r="B44" s="183" t="s">
        <v>337</v>
      </c>
    </row>
    <row r="45" spans="1:2" x14ac:dyDescent="0.25">
      <c r="A45" s="185" t="s">
        <v>338</v>
      </c>
      <c r="B45" s="183" t="s">
        <v>339</v>
      </c>
    </row>
    <row r="46" spans="1:2" x14ac:dyDescent="0.25">
      <c r="A46" s="185" t="s">
        <v>340</v>
      </c>
      <c r="B46" s="183" t="s">
        <v>341</v>
      </c>
    </row>
    <row r="47" spans="1:2" x14ac:dyDescent="0.25">
      <c r="A47" s="185" t="s">
        <v>342</v>
      </c>
      <c r="B47" s="183" t="s">
        <v>343</v>
      </c>
    </row>
    <row r="48" spans="1:2" x14ac:dyDescent="0.25">
      <c r="A48" s="185" t="s">
        <v>344</v>
      </c>
      <c r="B48" s="183" t="s">
        <v>345</v>
      </c>
    </row>
    <row r="49" spans="1:2" x14ac:dyDescent="0.25">
      <c r="A49" s="185" t="s">
        <v>346</v>
      </c>
      <c r="B49" s="183" t="s">
        <v>347</v>
      </c>
    </row>
    <row r="50" spans="1:2" x14ac:dyDescent="0.25">
      <c r="A50" s="185" t="s">
        <v>348</v>
      </c>
      <c r="B50" s="183" t="s">
        <v>349</v>
      </c>
    </row>
    <row r="51" spans="1:2" x14ac:dyDescent="0.25">
      <c r="A51" s="185" t="s">
        <v>350</v>
      </c>
      <c r="B51" s="183" t="s">
        <v>351</v>
      </c>
    </row>
    <row r="52" spans="1:2" x14ac:dyDescent="0.25">
      <c r="A52" s="185" t="s">
        <v>352</v>
      </c>
      <c r="B52" s="183" t="s">
        <v>353</v>
      </c>
    </row>
    <row r="53" spans="1:2" x14ac:dyDescent="0.25">
      <c r="A53" s="185" t="s">
        <v>354</v>
      </c>
      <c r="B53" s="183" t="s">
        <v>355</v>
      </c>
    </row>
    <row r="54" spans="1:2" x14ac:dyDescent="0.25">
      <c r="A54" s="185" t="s">
        <v>356</v>
      </c>
      <c r="B54" s="183" t="s">
        <v>357</v>
      </c>
    </row>
    <row r="55" spans="1:2" x14ac:dyDescent="0.25">
      <c r="A55" s="185" t="s">
        <v>358</v>
      </c>
      <c r="B55" s="183" t="s">
        <v>359</v>
      </c>
    </row>
    <row r="56" spans="1:2" x14ac:dyDescent="0.25">
      <c r="A56" s="185" t="s">
        <v>360</v>
      </c>
      <c r="B56" s="183" t="s">
        <v>361</v>
      </c>
    </row>
    <row r="57" spans="1:2" x14ac:dyDescent="0.25">
      <c r="A57" s="185" t="s">
        <v>362</v>
      </c>
      <c r="B57" s="183" t="s">
        <v>363</v>
      </c>
    </row>
    <row r="58" spans="1:2" x14ac:dyDescent="0.25">
      <c r="A58" s="185" t="s">
        <v>364</v>
      </c>
      <c r="B58" s="183" t="s">
        <v>365</v>
      </c>
    </row>
    <row r="59" spans="1:2" x14ac:dyDescent="0.25">
      <c r="A59" s="185" t="s">
        <v>366</v>
      </c>
      <c r="B59" s="183" t="s">
        <v>367</v>
      </c>
    </row>
    <row r="60" spans="1:2" x14ac:dyDescent="0.25">
      <c r="A60" s="185" t="s">
        <v>368</v>
      </c>
      <c r="B60" s="183" t="s">
        <v>369</v>
      </c>
    </row>
    <row r="61" spans="1:2" x14ac:dyDescent="0.25">
      <c r="A61" s="185" t="s">
        <v>370</v>
      </c>
      <c r="B61" s="183" t="s">
        <v>371</v>
      </c>
    </row>
    <row r="62" spans="1:2" x14ac:dyDescent="0.25">
      <c r="A62" s="185" t="s">
        <v>372</v>
      </c>
      <c r="B62" s="183" t="s">
        <v>373</v>
      </c>
    </row>
    <row r="63" spans="1:2" x14ac:dyDescent="0.25">
      <c r="A63" s="185" t="s">
        <v>374</v>
      </c>
      <c r="B63" s="183" t="s">
        <v>375</v>
      </c>
    </row>
    <row r="64" spans="1:2" x14ac:dyDescent="0.25">
      <c r="A64" s="185" t="s">
        <v>376</v>
      </c>
      <c r="B64" s="183" t="s">
        <v>377</v>
      </c>
    </row>
    <row r="65" spans="1:2" x14ac:dyDescent="0.25">
      <c r="A65" s="185" t="s">
        <v>378</v>
      </c>
      <c r="B65" s="183" t="s">
        <v>379</v>
      </c>
    </row>
    <row r="66" spans="1:2" x14ac:dyDescent="0.25">
      <c r="A66" s="185" t="s">
        <v>380</v>
      </c>
      <c r="B66" s="183" t="s">
        <v>381</v>
      </c>
    </row>
    <row r="67" spans="1:2" x14ac:dyDescent="0.25">
      <c r="A67" s="185" t="s">
        <v>382</v>
      </c>
      <c r="B67" s="183" t="s">
        <v>383</v>
      </c>
    </row>
    <row r="68" spans="1:2" x14ac:dyDescent="0.25">
      <c r="A68" s="185" t="s">
        <v>384</v>
      </c>
      <c r="B68" s="183" t="s">
        <v>385</v>
      </c>
    </row>
    <row r="69" spans="1:2" x14ac:dyDescent="0.25">
      <c r="A69" s="185" t="s">
        <v>386</v>
      </c>
      <c r="B69" s="183" t="s">
        <v>387</v>
      </c>
    </row>
    <row r="70" spans="1:2" x14ac:dyDescent="0.25">
      <c r="A70" s="185" t="s">
        <v>388</v>
      </c>
      <c r="B70" s="183" t="s">
        <v>389</v>
      </c>
    </row>
    <row r="71" spans="1:2" x14ac:dyDescent="0.25">
      <c r="A71" s="185" t="s">
        <v>390</v>
      </c>
      <c r="B71" s="183" t="s">
        <v>391</v>
      </c>
    </row>
    <row r="72" spans="1:2" x14ac:dyDescent="0.25">
      <c r="A72" s="185" t="s">
        <v>392</v>
      </c>
      <c r="B72" s="183" t="s">
        <v>393</v>
      </c>
    </row>
    <row r="73" spans="1:2" x14ac:dyDescent="0.25">
      <c r="A73" s="185" t="s">
        <v>394</v>
      </c>
      <c r="B73" s="183" t="s">
        <v>395</v>
      </c>
    </row>
    <row r="74" spans="1:2" x14ac:dyDescent="0.25">
      <c r="A74" s="185" t="s">
        <v>396</v>
      </c>
      <c r="B74" s="183" t="s">
        <v>397</v>
      </c>
    </row>
    <row r="75" spans="1:2" x14ac:dyDescent="0.25">
      <c r="A75" s="185" t="s">
        <v>398</v>
      </c>
      <c r="B75" s="183" t="s">
        <v>399</v>
      </c>
    </row>
    <row r="76" spans="1:2" x14ac:dyDescent="0.25">
      <c r="A76" s="185" t="s">
        <v>400</v>
      </c>
      <c r="B76" s="183" t="s">
        <v>401</v>
      </c>
    </row>
    <row r="77" spans="1:2" x14ac:dyDescent="0.25">
      <c r="A77" s="185" t="s">
        <v>402</v>
      </c>
      <c r="B77" s="183" t="s">
        <v>403</v>
      </c>
    </row>
    <row r="78" spans="1:2" x14ac:dyDescent="0.25">
      <c r="A78" s="185" t="s">
        <v>404</v>
      </c>
      <c r="B78" s="183" t="s">
        <v>405</v>
      </c>
    </row>
    <row r="79" spans="1:2" x14ac:dyDescent="0.25">
      <c r="A79" s="185" t="s">
        <v>406</v>
      </c>
      <c r="B79" s="183" t="s">
        <v>407</v>
      </c>
    </row>
    <row r="80" spans="1:2" x14ac:dyDescent="0.25">
      <c r="A80" s="185" t="s">
        <v>408</v>
      </c>
      <c r="B80" s="183" t="s">
        <v>409</v>
      </c>
    </row>
    <row r="81" spans="1:2" x14ac:dyDescent="0.25">
      <c r="A81" s="185" t="s">
        <v>410</v>
      </c>
      <c r="B81" s="183" t="s">
        <v>411</v>
      </c>
    </row>
    <row r="82" spans="1:2" x14ac:dyDescent="0.25">
      <c r="A82" s="185" t="s">
        <v>412</v>
      </c>
      <c r="B82" s="183" t="s">
        <v>413</v>
      </c>
    </row>
    <row r="83" spans="1:2" x14ac:dyDescent="0.25">
      <c r="A83" s="185" t="s">
        <v>414</v>
      </c>
      <c r="B83" s="183" t="s">
        <v>415</v>
      </c>
    </row>
    <row r="84" spans="1:2" x14ac:dyDescent="0.25">
      <c r="A84" s="185" t="s">
        <v>416</v>
      </c>
      <c r="B84" s="183" t="s">
        <v>417</v>
      </c>
    </row>
    <row r="85" spans="1:2" x14ac:dyDescent="0.25">
      <c r="A85" s="185" t="s">
        <v>418</v>
      </c>
      <c r="B85" s="183" t="s">
        <v>419</v>
      </c>
    </row>
    <row r="86" spans="1:2" x14ac:dyDescent="0.25">
      <c r="A86" s="185" t="s">
        <v>420</v>
      </c>
      <c r="B86" s="183" t="s">
        <v>421</v>
      </c>
    </row>
    <row r="87" spans="1:2" x14ac:dyDescent="0.25">
      <c r="A87" s="185" t="s">
        <v>422</v>
      </c>
      <c r="B87" s="183" t="s">
        <v>423</v>
      </c>
    </row>
    <row r="88" spans="1:2" x14ac:dyDescent="0.25">
      <c r="A88" s="185" t="s">
        <v>424</v>
      </c>
      <c r="B88" s="183" t="s">
        <v>425</v>
      </c>
    </row>
    <row r="89" spans="1:2" x14ac:dyDescent="0.25">
      <c r="A89" s="185" t="s">
        <v>251</v>
      </c>
      <c r="B89" s="183" t="s">
        <v>426</v>
      </c>
    </row>
    <row r="90" spans="1:2" x14ac:dyDescent="0.25">
      <c r="A90" s="185" t="s">
        <v>427</v>
      </c>
      <c r="B90" s="183" t="s">
        <v>428</v>
      </c>
    </row>
    <row r="91" spans="1:2" x14ac:dyDescent="0.25">
      <c r="A91" s="185" t="s">
        <v>429</v>
      </c>
      <c r="B91" s="183" t="s">
        <v>430</v>
      </c>
    </row>
    <row r="92" spans="1:2" x14ac:dyDescent="0.25">
      <c r="A92" s="185" t="s">
        <v>431</v>
      </c>
      <c r="B92" s="183" t="s">
        <v>432</v>
      </c>
    </row>
    <row r="93" spans="1:2" x14ac:dyDescent="0.25">
      <c r="A93" s="185" t="s">
        <v>433</v>
      </c>
      <c r="B93" s="183" t="s">
        <v>434</v>
      </c>
    </row>
    <row r="94" spans="1:2" x14ac:dyDescent="0.25">
      <c r="A94" s="185" t="s">
        <v>435</v>
      </c>
      <c r="B94" s="183" t="s">
        <v>436</v>
      </c>
    </row>
    <row r="95" spans="1:2" x14ac:dyDescent="0.25">
      <c r="A95" s="185" t="s">
        <v>437</v>
      </c>
      <c r="B95" s="183" t="s">
        <v>438</v>
      </c>
    </row>
    <row r="96" spans="1:2" x14ac:dyDescent="0.25">
      <c r="A96" s="185" t="s">
        <v>439</v>
      </c>
      <c r="B96" s="183" t="s">
        <v>440</v>
      </c>
    </row>
    <row r="97" spans="1:2" x14ac:dyDescent="0.25">
      <c r="A97" s="185" t="s">
        <v>441</v>
      </c>
      <c r="B97" s="183" t="s">
        <v>442</v>
      </c>
    </row>
    <row r="98" spans="1:2" x14ac:dyDescent="0.25">
      <c r="A98" s="185" t="s">
        <v>443</v>
      </c>
      <c r="B98" s="183" t="s">
        <v>444</v>
      </c>
    </row>
  </sheetData>
  <pageMargins left="0.7" right="0.7" top="0.75" bottom="0.75" header="0.3" footer="0.3"/>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04A3-AC30-4D4B-89E9-56038F3DAD76}">
  <dimension ref="A1:B19"/>
  <sheetViews>
    <sheetView workbookViewId="0"/>
  </sheetViews>
  <sheetFormatPr baseColWidth="10" defaultColWidth="11.42578125" defaultRowHeight="15" x14ac:dyDescent="0.25"/>
  <cols>
    <col min="1" max="1" width="11.42578125" style="185"/>
    <col min="2" max="2" width="28.42578125" style="183" bestFit="1" customWidth="1"/>
    <col min="3" max="16384" width="11.42578125" style="183"/>
  </cols>
  <sheetData>
    <row r="1" spans="1:2" x14ac:dyDescent="0.25">
      <c r="A1" s="174" t="s">
        <v>252</v>
      </c>
      <c r="B1" s="174" t="s">
        <v>253</v>
      </c>
    </row>
    <row r="2" spans="1:2" x14ac:dyDescent="0.25">
      <c r="A2" s="184" t="s">
        <v>445</v>
      </c>
      <c r="B2" s="183" t="s">
        <v>446</v>
      </c>
    </row>
    <row r="3" spans="1:2" x14ac:dyDescent="0.25">
      <c r="A3" s="184" t="s">
        <v>447</v>
      </c>
      <c r="B3" s="183" t="s">
        <v>448</v>
      </c>
    </row>
    <row r="4" spans="1:2" x14ac:dyDescent="0.25">
      <c r="A4" s="184" t="s">
        <v>449</v>
      </c>
      <c r="B4" s="183" t="s">
        <v>450</v>
      </c>
    </row>
    <row r="5" spans="1:2" x14ac:dyDescent="0.25">
      <c r="A5" s="184" t="s">
        <v>167</v>
      </c>
      <c r="B5" s="183" t="s">
        <v>451</v>
      </c>
    </row>
    <row r="6" spans="1:2" x14ac:dyDescent="0.25">
      <c r="A6" s="184" t="s">
        <v>452</v>
      </c>
      <c r="B6" s="183" t="s">
        <v>453</v>
      </c>
    </row>
    <row r="7" spans="1:2" x14ac:dyDescent="0.25">
      <c r="A7" s="184" t="s">
        <v>454</v>
      </c>
      <c r="B7" s="183" t="s">
        <v>455</v>
      </c>
    </row>
    <row r="8" spans="1:2" x14ac:dyDescent="0.25">
      <c r="A8" s="184" t="s">
        <v>456</v>
      </c>
      <c r="B8" s="183" t="s">
        <v>457</v>
      </c>
    </row>
    <row r="9" spans="1:2" x14ac:dyDescent="0.25">
      <c r="A9" s="184" t="s">
        <v>458</v>
      </c>
      <c r="B9" s="183" t="s">
        <v>459</v>
      </c>
    </row>
    <row r="10" spans="1:2" x14ac:dyDescent="0.25">
      <c r="A10" s="184" t="s">
        <v>460</v>
      </c>
      <c r="B10" s="183" t="s">
        <v>461</v>
      </c>
    </row>
    <row r="11" spans="1:2" x14ac:dyDescent="0.25">
      <c r="A11" s="184" t="s">
        <v>462</v>
      </c>
      <c r="B11" s="183" t="s">
        <v>463</v>
      </c>
    </row>
    <row r="12" spans="1:2" x14ac:dyDescent="0.25">
      <c r="A12" s="184" t="s">
        <v>464</v>
      </c>
      <c r="B12" s="183" t="s">
        <v>465</v>
      </c>
    </row>
    <row r="13" spans="1:2" x14ac:dyDescent="0.25">
      <c r="A13" s="184" t="s">
        <v>466</v>
      </c>
      <c r="B13" s="183" t="s">
        <v>467</v>
      </c>
    </row>
    <row r="14" spans="1:2" x14ac:dyDescent="0.25">
      <c r="A14" s="184" t="s">
        <v>468</v>
      </c>
      <c r="B14" s="183" t="s">
        <v>469</v>
      </c>
    </row>
    <row r="15" spans="1:2" x14ac:dyDescent="0.25">
      <c r="A15" s="184" t="s">
        <v>470</v>
      </c>
      <c r="B15" s="183" t="s">
        <v>471</v>
      </c>
    </row>
    <row r="16" spans="1:2" x14ac:dyDescent="0.25">
      <c r="A16" s="184" t="s">
        <v>472</v>
      </c>
      <c r="B16" s="183" t="s">
        <v>473</v>
      </c>
    </row>
    <row r="17" spans="1:2" x14ac:dyDescent="0.25">
      <c r="A17" s="184" t="s">
        <v>474</v>
      </c>
      <c r="B17" s="183" t="s">
        <v>475</v>
      </c>
    </row>
    <row r="18" spans="1:2" x14ac:dyDescent="0.25">
      <c r="A18" s="184" t="s">
        <v>476</v>
      </c>
      <c r="B18" s="183" t="s">
        <v>477</v>
      </c>
    </row>
    <row r="19" spans="1:2" x14ac:dyDescent="0.25">
      <c r="A19" s="184" t="s">
        <v>478</v>
      </c>
      <c r="B19" s="183" t="s">
        <v>479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EF9B-642B-48D6-9615-268AC3CF523A}">
  <dimension ref="A1:K1834"/>
  <sheetViews>
    <sheetView workbookViewId="0"/>
  </sheetViews>
  <sheetFormatPr baseColWidth="10" defaultColWidth="11.42578125" defaultRowHeight="15" x14ac:dyDescent="0.25"/>
  <cols>
    <col min="1" max="1" width="11.42578125" style="183"/>
    <col min="2" max="2" width="36" style="183" bestFit="1" customWidth="1"/>
    <col min="3" max="5" width="11.42578125" style="183"/>
    <col min="6" max="6" width="43.140625" style="183" bestFit="1" customWidth="1"/>
    <col min="7" max="10" width="11.42578125" style="183"/>
    <col min="11" max="11" width="51.42578125" style="183" bestFit="1" customWidth="1"/>
    <col min="12" max="16384" width="11.42578125" style="183"/>
  </cols>
  <sheetData>
    <row r="1" spans="1:11" x14ac:dyDescent="0.25">
      <c r="A1" s="174" t="s">
        <v>252</v>
      </c>
      <c r="B1" s="174" t="s">
        <v>171</v>
      </c>
      <c r="D1" s="174" t="s">
        <v>252</v>
      </c>
      <c r="E1" s="174" t="s">
        <v>252</v>
      </c>
      <c r="F1" s="174" t="s">
        <v>170</v>
      </c>
      <c r="H1" s="174" t="s">
        <v>252</v>
      </c>
      <c r="I1" s="174" t="s">
        <v>252</v>
      </c>
      <c r="J1" s="174" t="s">
        <v>252</v>
      </c>
      <c r="K1" s="174" t="s">
        <v>169</v>
      </c>
    </row>
    <row r="2" spans="1:11" x14ac:dyDescent="0.25">
      <c r="A2" s="183" t="s">
        <v>480</v>
      </c>
      <c r="B2" s="183" t="s">
        <v>481</v>
      </c>
      <c r="D2" s="183" t="s">
        <v>480</v>
      </c>
      <c r="E2" s="183" t="s">
        <v>480</v>
      </c>
      <c r="F2" s="183" t="s">
        <v>482</v>
      </c>
      <c r="H2" s="183" t="s">
        <v>480</v>
      </c>
      <c r="I2" s="183" t="s">
        <v>480</v>
      </c>
      <c r="J2" s="183" t="s">
        <v>480</v>
      </c>
      <c r="K2" s="183" t="s">
        <v>482</v>
      </c>
    </row>
    <row r="3" spans="1:11" x14ac:dyDescent="0.25">
      <c r="A3" s="183" t="s">
        <v>483</v>
      </c>
      <c r="B3" s="183" t="s">
        <v>484</v>
      </c>
      <c r="D3" s="183" t="s">
        <v>480</v>
      </c>
      <c r="E3" s="183" t="s">
        <v>483</v>
      </c>
      <c r="F3" s="183" t="s">
        <v>485</v>
      </c>
      <c r="H3" s="183" t="s">
        <v>480</v>
      </c>
      <c r="I3" s="183" t="s">
        <v>480</v>
      </c>
      <c r="J3" s="183" t="s">
        <v>483</v>
      </c>
      <c r="K3" s="183" t="s">
        <v>486</v>
      </c>
    </row>
    <row r="4" spans="1:11" x14ac:dyDescent="0.25">
      <c r="A4" s="183" t="s">
        <v>487</v>
      </c>
      <c r="B4" s="183" t="s">
        <v>488</v>
      </c>
      <c r="D4" s="183" t="s">
        <v>480</v>
      </c>
      <c r="E4" s="183" t="s">
        <v>487</v>
      </c>
      <c r="F4" s="183" t="s">
        <v>489</v>
      </c>
      <c r="H4" s="183" t="s">
        <v>480</v>
      </c>
      <c r="I4" s="183" t="s">
        <v>480</v>
      </c>
      <c r="J4" s="183" t="s">
        <v>487</v>
      </c>
      <c r="K4" s="183" t="s">
        <v>490</v>
      </c>
    </row>
    <row r="5" spans="1:11" x14ac:dyDescent="0.25">
      <c r="A5" s="183" t="s">
        <v>491</v>
      </c>
      <c r="B5" s="183" t="s">
        <v>492</v>
      </c>
      <c r="D5" s="183" t="s">
        <v>480</v>
      </c>
      <c r="E5" s="183" t="s">
        <v>491</v>
      </c>
      <c r="F5" s="183" t="s">
        <v>493</v>
      </c>
      <c r="H5" s="183" t="s">
        <v>480</v>
      </c>
      <c r="I5" s="183" t="s">
        <v>480</v>
      </c>
      <c r="J5" s="183" t="s">
        <v>491</v>
      </c>
      <c r="K5" s="183" t="s">
        <v>494</v>
      </c>
    </row>
    <row r="6" spans="1:11" x14ac:dyDescent="0.25">
      <c r="A6" s="183" t="s">
        <v>495</v>
      </c>
      <c r="B6" s="183" t="s">
        <v>496</v>
      </c>
      <c r="D6" s="183" t="s">
        <v>480</v>
      </c>
      <c r="E6" s="183" t="s">
        <v>495</v>
      </c>
      <c r="F6" s="183" t="s">
        <v>497</v>
      </c>
      <c r="H6" s="183" t="s">
        <v>480</v>
      </c>
      <c r="I6" s="183" t="s">
        <v>480</v>
      </c>
      <c r="J6" s="183" t="s">
        <v>495</v>
      </c>
      <c r="K6" s="183" t="s">
        <v>498</v>
      </c>
    </row>
    <row r="7" spans="1:11" x14ac:dyDescent="0.25">
      <c r="A7" s="183" t="s">
        <v>499</v>
      </c>
      <c r="B7" s="183" t="s">
        <v>500</v>
      </c>
      <c r="D7" s="183" t="s">
        <v>480</v>
      </c>
      <c r="E7" s="183" t="s">
        <v>499</v>
      </c>
      <c r="F7" s="183" t="s">
        <v>501</v>
      </c>
      <c r="H7" s="183" t="s">
        <v>480</v>
      </c>
      <c r="I7" s="183" t="s">
        <v>480</v>
      </c>
      <c r="J7" s="183" t="s">
        <v>499</v>
      </c>
      <c r="K7" s="183" t="s">
        <v>502</v>
      </c>
    </row>
    <row r="8" spans="1:11" x14ac:dyDescent="0.25">
      <c r="A8" s="183" t="s">
        <v>503</v>
      </c>
      <c r="B8" s="183" t="s">
        <v>504</v>
      </c>
      <c r="D8" s="183" t="s">
        <v>480</v>
      </c>
      <c r="E8" s="183" t="s">
        <v>503</v>
      </c>
      <c r="F8" s="183" t="s">
        <v>505</v>
      </c>
      <c r="H8" s="183" t="s">
        <v>480</v>
      </c>
      <c r="I8" s="183" t="s">
        <v>480</v>
      </c>
      <c r="J8" s="183" t="s">
        <v>503</v>
      </c>
      <c r="K8" s="183" t="s">
        <v>506</v>
      </c>
    </row>
    <row r="9" spans="1:11" x14ac:dyDescent="0.25">
      <c r="A9" s="183" t="s">
        <v>507</v>
      </c>
      <c r="B9" s="183" t="s">
        <v>508</v>
      </c>
      <c r="D9" s="183" t="s">
        <v>483</v>
      </c>
      <c r="E9" s="183" t="s">
        <v>480</v>
      </c>
      <c r="F9" s="183" t="s">
        <v>509</v>
      </c>
      <c r="H9" s="183" t="s">
        <v>480</v>
      </c>
      <c r="I9" s="183" t="s">
        <v>480</v>
      </c>
      <c r="J9" s="183" t="s">
        <v>507</v>
      </c>
      <c r="K9" s="183" t="s">
        <v>510</v>
      </c>
    </row>
    <row r="10" spans="1:11" x14ac:dyDescent="0.25">
      <c r="A10" s="183" t="s">
        <v>511</v>
      </c>
      <c r="B10" s="183" t="s">
        <v>512</v>
      </c>
      <c r="D10" s="183" t="s">
        <v>483</v>
      </c>
      <c r="E10" s="183" t="s">
        <v>483</v>
      </c>
      <c r="F10" s="183" t="s">
        <v>513</v>
      </c>
      <c r="H10" s="183" t="s">
        <v>480</v>
      </c>
      <c r="I10" s="183" t="s">
        <v>480</v>
      </c>
      <c r="J10" s="183" t="s">
        <v>511</v>
      </c>
      <c r="K10" s="183" t="s">
        <v>514</v>
      </c>
    </row>
    <row r="11" spans="1:11" x14ac:dyDescent="0.25">
      <c r="A11" s="183" t="s">
        <v>515</v>
      </c>
      <c r="B11" s="183" t="s">
        <v>516</v>
      </c>
      <c r="D11" s="183" t="s">
        <v>483</v>
      </c>
      <c r="E11" s="183" t="s">
        <v>487</v>
      </c>
      <c r="F11" s="183" t="s">
        <v>517</v>
      </c>
      <c r="H11" s="183" t="s">
        <v>480</v>
      </c>
      <c r="I11" s="183" t="s">
        <v>480</v>
      </c>
      <c r="J11" s="183" t="s">
        <v>515</v>
      </c>
      <c r="K11" s="183" t="s">
        <v>518</v>
      </c>
    </row>
    <row r="12" spans="1:11" x14ac:dyDescent="0.25">
      <c r="A12" s="183" t="s">
        <v>519</v>
      </c>
      <c r="B12" s="183" t="s">
        <v>520</v>
      </c>
      <c r="D12" s="183" t="s">
        <v>483</v>
      </c>
      <c r="E12" s="183" t="s">
        <v>491</v>
      </c>
      <c r="F12" s="183" t="s">
        <v>486</v>
      </c>
      <c r="H12" s="183" t="s">
        <v>480</v>
      </c>
      <c r="I12" s="183" t="s">
        <v>480</v>
      </c>
      <c r="J12" s="183" t="s">
        <v>519</v>
      </c>
      <c r="K12" s="183" t="s">
        <v>521</v>
      </c>
    </row>
    <row r="13" spans="1:11" x14ac:dyDescent="0.25">
      <c r="A13" s="183" t="s">
        <v>522</v>
      </c>
      <c r="B13" s="183" t="s">
        <v>523</v>
      </c>
      <c r="D13" s="183" t="s">
        <v>483</v>
      </c>
      <c r="E13" s="183" t="s">
        <v>495</v>
      </c>
      <c r="F13" s="183" t="s">
        <v>524</v>
      </c>
      <c r="H13" s="183" t="s">
        <v>480</v>
      </c>
      <c r="I13" s="183" t="s">
        <v>480</v>
      </c>
      <c r="J13" s="183" t="s">
        <v>522</v>
      </c>
      <c r="K13" s="183" t="s">
        <v>525</v>
      </c>
    </row>
    <row r="14" spans="1:11" x14ac:dyDescent="0.25">
      <c r="A14" s="183" t="s">
        <v>526</v>
      </c>
      <c r="B14" s="183" t="s">
        <v>527</v>
      </c>
      <c r="D14" s="183" t="s">
        <v>483</v>
      </c>
      <c r="E14" s="183" t="s">
        <v>499</v>
      </c>
      <c r="F14" s="183" t="s">
        <v>528</v>
      </c>
      <c r="H14" s="183" t="s">
        <v>480</v>
      </c>
      <c r="I14" s="183" t="s">
        <v>480</v>
      </c>
      <c r="J14" s="183" t="s">
        <v>526</v>
      </c>
      <c r="K14" s="183" t="s">
        <v>529</v>
      </c>
    </row>
    <row r="15" spans="1:11" x14ac:dyDescent="0.25">
      <c r="A15" s="183" t="s">
        <v>530</v>
      </c>
      <c r="B15" s="183" t="s">
        <v>531</v>
      </c>
      <c r="D15" s="183" t="s">
        <v>483</v>
      </c>
      <c r="E15" s="183" t="s">
        <v>503</v>
      </c>
      <c r="F15" s="183" t="s">
        <v>532</v>
      </c>
      <c r="H15" s="183" t="s">
        <v>480</v>
      </c>
      <c r="I15" s="183" t="s">
        <v>480</v>
      </c>
      <c r="J15" s="183" t="s">
        <v>530</v>
      </c>
      <c r="K15" s="183" t="s">
        <v>533</v>
      </c>
    </row>
    <row r="16" spans="1:11" x14ac:dyDescent="0.25">
      <c r="A16" s="183" t="s">
        <v>534</v>
      </c>
      <c r="B16" s="183" t="s">
        <v>535</v>
      </c>
      <c r="D16" s="183" t="s">
        <v>483</v>
      </c>
      <c r="E16" s="183" t="s">
        <v>507</v>
      </c>
      <c r="F16" s="183" t="s">
        <v>536</v>
      </c>
      <c r="H16" s="183" t="s">
        <v>480</v>
      </c>
      <c r="I16" s="183" t="s">
        <v>480</v>
      </c>
      <c r="J16" s="183" t="s">
        <v>534</v>
      </c>
      <c r="K16" s="183" t="s">
        <v>537</v>
      </c>
    </row>
    <row r="17" spans="1:11" x14ac:dyDescent="0.25">
      <c r="A17" s="183" t="s">
        <v>538</v>
      </c>
      <c r="B17" s="183" t="s">
        <v>539</v>
      </c>
      <c r="D17" s="183" t="s">
        <v>483</v>
      </c>
      <c r="E17" s="183" t="s">
        <v>511</v>
      </c>
      <c r="F17" s="183" t="s">
        <v>540</v>
      </c>
      <c r="H17" s="183" t="s">
        <v>480</v>
      </c>
      <c r="I17" s="183" t="s">
        <v>480</v>
      </c>
      <c r="J17" s="183" t="s">
        <v>538</v>
      </c>
      <c r="K17" s="183" t="s">
        <v>541</v>
      </c>
    </row>
    <row r="18" spans="1:11" x14ac:dyDescent="0.25">
      <c r="A18" s="183" t="s">
        <v>542</v>
      </c>
      <c r="B18" s="183" t="s">
        <v>543</v>
      </c>
      <c r="D18" s="183" t="s">
        <v>483</v>
      </c>
      <c r="E18" s="183" t="s">
        <v>515</v>
      </c>
      <c r="F18" s="183" t="s">
        <v>544</v>
      </c>
      <c r="H18" s="183" t="s">
        <v>480</v>
      </c>
      <c r="I18" s="183" t="s">
        <v>480</v>
      </c>
      <c r="J18" s="183" t="s">
        <v>542</v>
      </c>
      <c r="K18" s="183" t="s">
        <v>545</v>
      </c>
    </row>
    <row r="19" spans="1:11" x14ac:dyDescent="0.25">
      <c r="A19" s="183" t="s">
        <v>546</v>
      </c>
      <c r="B19" s="183" t="s">
        <v>547</v>
      </c>
      <c r="D19" s="183" t="s">
        <v>483</v>
      </c>
      <c r="E19" s="183" t="s">
        <v>519</v>
      </c>
      <c r="F19" s="183" t="s">
        <v>548</v>
      </c>
      <c r="H19" s="183" t="s">
        <v>480</v>
      </c>
      <c r="I19" s="183" t="s">
        <v>480</v>
      </c>
      <c r="J19" s="183" t="s">
        <v>546</v>
      </c>
      <c r="K19" s="183" t="s">
        <v>549</v>
      </c>
    </row>
    <row r="20" spans="1:11" x14ac:dyDescent="0.25">
      <c r="A20" s="183" t="s">
        <v>550</v>
      </c>
      <c r="B20" s="183" t="s">
        <v>551</v>
      </c>
      <c r="D20" s="183" t="s">
        <v>483</v>
      </c>
      <c r="E20" s="183" t="s">
        <v>522</v>
      </c>
      <c r="F20" s="183" t="s">
        <v>552</v>
      </c>
      <c r="H20" s="183" t="s">
        <v>480</v>
      </c>
      <c r="I20" s="183" t="s">
        <v>480</v>
      </c>
      <c r="J20" s="183" t="s">
        <v>550</v>
      </c>
      <c r="K20" s="183" t="s">
        <v>553</v>
      </c>
    </row>
    <row r="21" spans="1:11" x14ac:dyDescent="0.25">
      <c r="A21" s="183" t="s">
        <v>554</v>
      </c>
      <c r="B21" s="183" t="s">
        <v>555</v>
      </c>
      <c r="D21" s="183" t="s">
        <v>483</v>
      </c>
      <c r="E21" s="183" t="s">
        <v>526</v>
      </c>
      <c r="F21" s="183" t="s">
        <v>556</v>
      </c>
      <c r="H21" s="183" t="s">
        <v>480</v>
      </c>
      <c r="I21" s="183" t="s">
        <v>480</v>
      </c>
      <c r="J21" s="183" t="s">
        <v>554</v>
      </c>
      <c r="K21" s="183" t="s">
        <v>557</v>
      </c>
    </row>
    <row r="22" spans="1:11" x14ac:dyDescent="0.25">
      <c r="A22" s="183" t="s">
        <v>558</v>
      </c>
      <c r="B22" s="183" t="s">
        <v>559</v>
      </c>
      <c r="D22" s="183" t="s">
        <v>483</v>
      </c>
      <c r="E22" s="183" t="s">
        <v>530</v>
      </c>
      <c r="F22" s="183" t="s">
        <v>560</v>
      </c>
      <c r="H22" s="183" t="s">
        <v>480</v>
      </c>
      <c r="I22" s="183" t="s">
        <v>480</v>
      </c>
      <c r="J22" s="183" t="s">
        <v>558</v>
      </c>
      <c r="K22" s="183" t="s">
        <v>561</v>
      </c>
    </row>
    <row r="23" spans="1:11" x14ac:dyDescent="0.25">
      <c r="A23" s="183" t="s">
        <v>562</v>
      </c>
      <c r="B23" s="183" t="s">
        <v>563</v>
      </c>
      <c r="D23" s="183" t="s">
        <v>483</v>
      </c>
      <c r="E23" s="183" t="s">
        <v>534</v>
      </c>
      <c r="F23" s="183" t="s">
        <v>564</v>
      </c>
      <c r="H23" s="183" t="s">
        <v>480</v>
      </c>
      <c r="I23" s="183" t="s">
        <v>483</v>
      </c>
      <c r="J23" s="183" t="s">
        <v>480</v>
      </c>
      <c r="K23" s="183" t="s">
        <v>565</v>
      </c>
    </row>
    <row r="24" spans="1:11" x14ac:dyDescent="0.25">
      <c r="A24" s="183" t="s">
        <v>566</v>
      </c>
      <c r="B24" s="183" t="s">
        <v>567</v>
      </c>
      <c r="D24" s="183" t="s">
        <v>483</v>
      </c>
      <c r="E24" s="183" t="s">
        <v>538</v>
      </c>
      <c r="F24" s="183" t="s">
        <v>568</v>
      </c>
      <c r="H24" s="183" t="s">
        <v>480</v>
      </c>
      <c r="I24" s="183" t="s">
        <v>483</v>
      </c>
      <c r="J24" s="183" t="s">
        <v>483</v>
      </c>
      <c r="K24" s="183" t="s">
        <v>569</v>
      </c>
    </row>
    <row r="25" spans="1:11" x14ac:dyDescent="0.25">
      <c r="A25" s="183" t="s">
        <v>570</v>
      </c>
      <c r="B25" s="183" t="s">
        <v>571</v>
      </c>
      <c r="D25" s="183" t="s">
        <v>483</v>
      </c>
      <c r="E25" s="183" t="s">
        <v>542</v>
      </c>
      <c r="F25" s="183" t="s">
        <v>572</v>
      </c>
      <c r="H25" s="183" t="s">
        <v>480</v>
      </c>
      <c r="I25" s="183" t="s">
        <v>483</v>
      </c>
      <c r="J25" s="183" t="s">
        <v>487</v>
      </c>
      <c r="K25" s="183" t="s">
        <v>573</v>
      </c>
    </row>
    <row r="26" spans="1:11" x14ac:dyDescent="0.25">
      <c r="A26" s="183" t="s">
        <v>574</v>
      </c>
      <c r="B26" s="183" t="s">
        <v>575</v>
      </c>
      <c r="D26" s="183" t="s">
        <v>483</v>
      </c>
      <c r="E26" s="183" t="s">
        <v>546</v>
      </c>
      <c r="F26" s="183" t="s">
        <v>576</v>
      </c>
      <c r="H26" s="183" t="s">
        <v>480</v>
      </c>
      <c r="I26" s="183" t="s">
        <v>483</v>
      </c>
      <c r="J26" s="183" t="s">
        <v>491</v>
      </c>
      <c r="K26" s="183" t="s">
        <v>577</v>
      </c>
    </row>
    <row r="27" spans="1:11" x14ac:dyDescent="0.25">
      <c r="D27" s="183" t="s">
        <v>483</v>
      </c>
      <c r="E27" s="183" t="s">
        <v>550</v>
      </c>
      <c r="F27" s="183" t="s">
        <v>578</v>
      </c>
      <c r="H27" s="183" t="s">
        <v>480</v>
      </c>
      <c r="I27" s="183" t="s">
        <v>483</v>
      </c>
      <c r="J27" s="183" t="s">
        <v>495</v>
      </c>
      <c r="K27" s="183" t="s">
        <v>579</v>
      </c>
    </row>
    <row r="28" spans="1:11" x14ac:dyDescent="0.25">
      <c r="D28" s="183" t="s">
        <v>483</v>
      </c>
      <c r="E28" s="183" t="s">
        <v>554</v>
      </c>
      <c r="F28" s="183" t="s">
        <v>580</v>
      </c>
      <c r="H28" s="183" t="s">
        <v>480</v>
      </c>
      <c r="I28" s="183" t="s">
        <v>487</v>
      </c>
      <c r="J28" s="183" t="s">
        <v>480</v>
      </c>
      <c r="K28" s="183" t="s">
        <v>581</v>
      </c>
    </row>
    <row r="29" spans="1:11" x14ac:dyDescent="0.25">
      <c r="D29" s="183" t="s">
        <v>487</v>
      </c>
      <c r="E29" s="183" t="s">
        <v>480</v>
      </c>
      <c r="F29" s="183" t="s">
        <v>582</v>
      </c>
      <c r="H29" s="183" t="s">
        <v>480</v>
      </c>
      <c r="I29" s="183" t="s">
        <v>487</v>
      </c>
      <c r="J29" s="183" t="s">
        <v>483</v>
      </c>
      <c r="K29" s="183" t="s">
        <v>583</v>
      </c>
    </row>
    <row r="30" spans="1:11" x14ac:dyDescent="0.25">
      <c r="D30" s="183" t="s">
        <v>487</v>
      </c>
      <c r="E30" s="183" t="s">
        <v>483</v>
      </c>
      <c r="F30" s="183" t="s">
        <v>584</v>
      </c>
      <c r="H30" s="183" t="s">
        <v>480</v>
      </c>
      <c r="I30" s="183" t="s">
        <v>487</v>
      </c>
      <c r="J30" s="183" t="s">
        <v>487</v>
      </c>
      <c r="K30" s="183" t="s">
        <v>585</v>
      </c>
    </row>
    <row r="31" spans="1:11" x14ac:dyDescent="0.25">
      <c r="D31" s="183" t="s">
        <v>487</v>
      </c>
      <c r="E31" s="183" t="s">
        <v>487</v>
      </c>
      <c r="F31" s="183" t="s">
        <v>586</v>
      </c>
      <c r="H31" s="183" t="s">
        <v>480</v>
      </c>
      <c r="I31" s="183" t="s">
        <v>487</v>
      </c>
      <c r="J31" s="183" t="s">
        <v>491</v>
      </c>
      <c r="K31" s="183" t="s">
        <v>587</v>
      </c>
    </row>
    <row r="32" spans="1:11" x14ac:dyDescent="0.25">
      <c r="D32" s="183" t="s">
        <v>487</v>
      </c>
      <c r="E32" s="183" t="s">
        <v>491</v>
      </c>
      <c r="F32" s="183" t="s">
        <v>588</v>
      </c>
      <c r="H32" s="183" t="s">
        <v>480</v>
      </c>
      <c r="I32" s="183" t="s">
        <v>487</v>
      </c>
      <c r="J32" s="183" t="s">
        <v>495</v>
      </c>
      <c r="K32" s="183" t="s">
        <v>589</v>
      </c>
    </row>
    <row r="33" spans="4:11" x14ac:dyDescent="0.25">
      <c r="D33" s="183" t="s">
        <v>487</v>
      </c>
      <c r="E33" s="183" t="s">
        <v>495</v>
      </c>
      <c r="F33" s="183" t="s">
        <v>590</v>
      </c>
      <c r="H33" s="183" t="s">
        <v>480</v>
      </c>
      <c r="I33" s="183" t="s">
        <v>487</v>
      </c>
      <c r="J33" s="183" t="s">
        <v>499</v>
      </c>
      <c r="K33" s="183" t="s">
        <v>591</v>
      </c>
    </row>
    <row r="34" spans="4:11" x14ac:dyDescent="0.25">
      <c r="D34" s="183" t="s">
        <v>487</v>
      </c>
      <c r="E34" s="183" t="s">
        <v>499</v>
      </c>
      <c r="F34" s="183" t="s">
        <v>592</v>
      </c>
      <c r="H34" s="183" t="s">
        <v>480</v>
      </c>
      <c r="I34" s="183" t="s">
        <v>487</v>
      </c>
      <c r="J34" s="183" t="s">
        <v>503</v>
      </c>
      <c r="K34" s="183" t="s">
        <v>593</v>
      </c>
    </row>
    <row r="35" spans="4:11" x14ac:dyDescent="0.25">
      <c r="D35" s="183" t="s">
        <v>487</v>
      </c>
      <c r="E35" s="183" t="s">
        <v>503</v>
      </c>
      <c r="F35" s="183" t="s">
        <v>594</v>
      </c>
      <c r="H35" s="183" t="s">
        <v>480</v>
      </c>
      <c r="I35" s="183" t="s">
        <v>487</v>
      </c>
      <c r="J35" s="183" t="s">
        <v>507</v>
      </c>
      <c r="K35" s="183" t="s">
        <v>595</v>
      </c>
    </row>
    <row r="36" spans="4:11" x14ac:dyDescent="0.25">
      <c r="D36" s="183" t="s">
        <v>491</v>
      </c>
      <c r="E36" s="183" t="s">
        <v>480</v>
      </c>
      <c r="F36" s="183" t="s">
        <v>492</v>
      </c>
      <c r="H36" s="183" t="s">
        <v>480</v>
      </c>
      <c r="I36" s="183" t="s">
        <v>487</v>
      </c>
      <c r="J36" s="183" t="s">
        <v>511</v>
      </c>
      <c r="K36" s="183" t="s">
        <v>596</v>
      </c>
    </row>
    <row r="37" spans="4:11" x14ac:dyDescent="0.25">
      <c r="D37" s="183" t="s">
        <v>491</v>
      </c>
      <c r="E37" s="183" t="s">
        <v>483</v>
      </c>
      <c r="F37" s="183" t="s">
        <v>597</v>
      </c>
      <c r="H37" s="183" t="s">
        <v>480</v>
      </c>
      <c r="I37" s="183" t="s">
        <v>487</v>
      </c>
      <c r="J37" s="183" t="s">
        <v>515</v>
      </c>
      <c r="K37" s="183" t="s">
        <v>598</v>
      </c>
    </row>
    <row r="38" spans="4:11" x14ac:dyDescent="0.25">
      <c r="D38" s="183" t="s">
        <v>491</v>
      </c>
      <c r="E38" s="183" t="s">
        <v>487</v>
      </c>
      <c r="F38" s="183" t="s">
        <v>599</v>
      </c>
      <c r="H38" s="183" t="s">
        <v>480</v>
      </c>
      <c r="I38" s="183" t="s">
        <v>487</v>
      </c>
      <c r="J38" s="183" t="s">
        <v>519</v>
      </c>
      <c r="K38" s="183" t="s">
        <v>600</v>
      </c>
    </row>
    <row r="39" spans="4:11" x14ac:dyDescent="0.25">
      <c r="D39" s="183" t="s">
        <v>491</v>
      </c>
      <c r="E39" s="183" t="s">
        <v>491</v>
      </c>
      <c r="F39" s="183" t="s">
        <v>601</v>
      </c>
      <c r="H39" s="183" t="s">
        <v>480</v>
      </c>
      <c r="I39" s="183" t="s">
        <v>487</v>
      </c>
      <c r="J39" s="183" t="s">
        <v>522</v>
      </c>
      <c r="K39" s="183" t="s">
        <v>602</v>
      </c>
    </row>
    <row r="40" spans="4:11" x14ac:dyDescent="0.25">
      <c r="D40" s="183" t="s">
        <v>491</v>
      </c>
      <c r="E40" s="183" t="s">
        <v>495</v>
      </c>
      <c r="F40" s="183" t="s">
        <v>603</v>
      </c>
      <c r="H40" s="183" t="s">
        <v>480</v>
      </c>
      <c r="I40" s="183" t="s">
        <v>491</v>
      </c>
      <c r="J40" s="183" t="s">
        <v>480</v>
      </c>
      <c r="K40" s="183" t="s">
        <v>604</v>
      </c>
    </row>
    <row r="41" spans="4:11" x14ac:dyDescent="0.25">
      <c r="D41" s="183" t="s">
        <v>491</v>
      </c>
      <c r="E41" s="183" t="s">
        <v>499</v>
      </c>
      <c r="F41" s="183" t="s">
        <v>605</v>
      </c>
      <c r="H41" s="183" t="s">
        <v>480</v>
      </c>
      <c r="I41" s="183" t="s">
        <v>491</v>
      </c>
      <c r="J41" s="183" t="s">
        <v>483</v>
      </c>
      <c r="K41" s="183" t="s">
        <v>606</v>
      </c>
    </row>
    <row r="42" spans="4:11" x14ac:dyDescent="0.25">
      <c r="D42" s="183" t="s">
        <v>491</v>
      </c>
      <c r="E42" s="183" t="s">
        <v>503</v>
      </c>
      <c r="F42" s="183" t="s">
        <v>607</v>
      </c>
      <c r="H42" s="183" t="s">
        <v>480</v>
      </c>
      <c r="I42" s="183" t="s">
        <v>491</v>
      </c>
      <c r="J42" s="183" t="s">
        <v>487</v>
      </c>
      <c r="K42" s="183" t="s">
        <v>608</v>
      </c>
    </row>
    <row r="43" spans="4:11" x14ac:dyDescent="0.25">
      <c r="D43" s="183" t="s">
        <v>491</v>
      </c>
      <c r="E43" s="183" t="s">
        <v>507</v>
      </c>
      <c r="F43" s="183" t="s">
        <v>609</v>
      </c>
      <c r="H43" s="183" t="s">
        <v>480</v>
      </c>
      <c r="I43" s="183" t="s">
        <v>495</v>
      </c>
      <c r="J43" s="183" t="s">
        <v>480</v>
      </c>
      <c r="K43" s="183" t="s">
        <v>610</v>
      </c>
    </row>
    <row r="44" spans="4:11" x14ac:dyDescent="0.25">
      <c r="D44" s="183" t="s">
        <v>495</v>
      </c>
      <c r="E44" s="183" t="s">
        <v>480</v>
      </c>
      <c r="F44" s="183" t="s">
        <v>611</v>
      </c>
      <c r="H44" s="183" t="s">
        <v>480</v>
      </c>
      <c r="I44" s="183" t="s">
        <v>495</v>
      </c>
      <c r="J44" s="183" t="s">
        <v>483</v>
      </c>
      <c r="K44" s="183" t="s">
        <v>612</v>
      </c>
    </row>
    <row r="45" spans="4:11" x14ac:dyDescent="0.25">
      <c r="D45" s="183" t="s">
        <v>495</v>
      </c>
      <c r="E45" s="183" t="s">
        <v>483</v>
      </c>
      <c r="F45" s="183" t="s">
        <v>613</v>
      </c>
      <c r="H45" s="183" t="s">
        <v>480</v>
      </c>
      <c r="I45" s="183" t="s">
        <v>495</v>
      </c>
      <c r="J45" s="183" t="s">
        <v>487</v>
      </c>
      <c r="K45" s="183" t="s">
        <v>614</v>
      </c>
    </row>
    <row r="46" spans="4:11" x14ac:dyDescent="0.25">
      <c r="D46" s="183" t="s">
        <v>495</v>
      </c>
      <c r="E46" s="183" t="s">
        <v>487</v>
      </c>
      <c r="F46" s="183" t="s">
        <v>615</v>
      </c>
      <c r="H46" s="183" t="s">
        <v>480</v>
      </c>
      <c r="I46" s="183" t="s">
        <v>495</v>
      </c>
      <c r="J46" s="183" t="s">
        <v>491</v>
      </c>
      <c r="K46" s="183" t="s">
        <v>616</v>
      </c>
    </row>
    <row r="47" spans="4:11" x14ac:dyDescent="0.25">
      <c r="D47" s="183" t="s">
        <v>495</v>
      </c>
      <c r="E47" s="183" t="s">
        <v>491</v>
      </c>
      <c r="F47" s="183" t="s">
        <v>617</v>
      </c>
      <c r="H47" s="183" t="s">
        <v>480</v>
      </c>
      <c r="I47" s="183" t="s">
        <v>495</v>
      </c>
      <c r="J47" s="183" t="s">
        <v>495</v>
      </c>
      <c r="K47" s="183" t="s">
        <v>618</v>
      </c>
    </row>
    <row r="48" spans="4:11" x14ac:dyDescent="0.25">
      <c r="D48" s="183" t="s">
        <v>495</v>
      </c>
      <c r="E48" s="183" t="s">
        <v>495</v>
      </c>
      <c r="F48" s="183" t="s">
        <v>619</v>
      </c>
      <c r="H48" s="183" t="s">
        <v>480</v>
      </c>
      <c r="I48" s="183" t="s">
        <v>495</v>
      </c>
      <c r="J48" s="183" t="s">
        <v>499</v>
      </c>
      <c r="K48" s="183" t="s">
        <v>620</v>
      </c>
    </row>
    <row r="49" spans="4:11" x14ac:dyDescent="0.25">
      <c r="D49" s="183" t="s">
        <v>495</v>
      </c>
      <c r="E49" s="183" t="s">
        <v>499</v>
      </c>
      <c r="F49" s="183" t="s">
        <v>621</v>
      </c>
      <c r="H49" s="183" t="s">
        <v>480</v>
      </c>
      <c r="I49" s="183" t="s">
        <v>495</v>
      </c>
      <c r="J49" s="183" t="s">
        <v>503</v>
      </c>
      <c r="K49" s="183" t="s">
        <v>622</v>
      </c>
    </row>
    <row r="50" spans="4:11" x14ac:dyDescent="0.25">
      <c r="D50" s="183" t="s">
        <v>495</v>
      </c>
      <c r="E50" s="183" t="s">
        <v>503</v>
      </c>
      <c r="F50" s="183" t="s">
        <v>623</v>
      </c>
      <c r="H50" s="183" t="s">
        <v>480</v>
      </c>
      <c r="I50" s="183" t="s">
        <v>495</v>
      </c>
      <c r="J50" s="183" t="s">
        <v>507</v>
      </c>
      <c r="K50" s="183" t="s">
        <v>624</v>
      </c>
    </row>
    <row r="51" spans="4:11" x14ac:dyDescent="0.25">
      <c r="D51" s="183" t="s">
        <v>495</v>
      </c>
      <c r="E51" s="183" t="s">
        <v>507</v>
      </c>
      <c r="F51" s="183" t="s">
        <v>625</v>
      </c>
      <c r="H51" s="183" t="s">
        <v>480</v>
      </c>
      <c r="I51" s="183" t="s">
        <v>495</v>
      </c>
      <c r="J51" s="183" t="s">
        <v>511</v>
      </c>
      <c r="K51" s="183" t="s">
        <v>497</v>
      </c>
    </row>
    <row r="52" spans="4:11" x14ac:dyDescent="0.25">
      <c r="D52" s="183" t="s">
        <v>495</v>
      </c>
      <c r="E52" s="183" t="s">
        <v>511</v>
      </c>
      <c r="F52" s="183" t="s">
        <v>626</v>
      </c>
      <c r="H52" s="183" t="s">
        <v>480</v>
      </c>
      <c r="I52" s="183" t="s">
        <v>495</v>
      </c>
      <c r="J52" s="183" t="s">
        <v>515</v>
      </c>
      <c r="K52" s="183" t="s">
        <v>627</v>
      </c>
    </row>
    <row r="53" spans="4:11" x14ac:dyDescent="0.25">
      <c r="D53" s="183" t="s">
        <v>495</v>
      </c>
      <c r="E53" s="183" t="s">
        <v>515</v>
      </c>
      <c r="F53" s="183" t="s">
        <v>628</v>
      </c>
      <c r="H53" s="183" t="s">
        <v>480</v>
      </c>
      <c r="I53" s="183" t="s">
        <v>495</v>
      </c>
      <c r="J53" s="183" t="s">
        <v>519</v>
      </c>
      <c r="K53" s="183" t="s">
        <v>629</v>
      </c>
    </row>
    <row r="54" spans="4:11" x14ac:dyDescent="0.25">
      <c r="D54" s="183" t="s">
        <v>495</v>
      </c>
      <c r="E54" s="183" t="s">
        <v>519</v>
      </c>
      <c r="F54" s="183" t="s">
        <v>630</v>
      </c>
      <c r="H54" s="183" t="s">
        <v>480</v>
      </c>
      <c r="I54" s="183" t="s">
        <v>495</v>
      </c>
      <c r="J54" s="183" t="s">
        <v>522</v>
      </c>
      <c r="K54" s="183" t="s">
        <v>631</v>
      </c>
    </row>
    <row r="55" spans="4:11" x14ac:dyDescent="0.25">
      <c r="D55" s="183" t="s">
        <v>499</v>
      </c>
      <c r="E55" s="183" t="s">
        <v>480</v>
      </c>
      <c r="F55" s="183" t="s">
        <v>500</v>
      </c>
      <c r="H55" s="183" t="s">
        <v>480</v>
      </c>
      <c r="I55" s="183" t="s">
        <v>495</v>
      </c>
      <c r="J55" s="183" t="s">
        <v>526</v>
      </c>
      <c r="K55" s="183" t="s">
        <v>632</v>
      </c>
    </row>
    <row r="56" spans="4:11" x14ac:dyDescent="0.25">
      <c r="D56" s="183" t="s">
        <v>499</v>
      </c>
      <c r="E56" s="183" t="s">
        <v>483</v>
      </c>
      <c r="F56" s="183" t="s">
        <v>633</v>
      </c>
      <c r="H56" s="183" t="s">
        <v>480</v>
      </c>
      <c r="I56" s="183" t="s">
        <v>495</v>
      </c>
      <c r="J56" s="183" t="s">
        <v>530</v>
      </c>
      <c r="K56" s="183" t="s">
        <v>634</v>
      </c>
    </row>
    <row r="57" spans="4:11" x14ac:dyDescent="0.25">
      <c r="D57" s="183" t="s">
        <v>499</v>
      </c>
      <c r="E57" s="183" t="s">
        <v>487</v>
      </c>
      <c r="F57" s="183" t="s">
        <v>635</v>
      </c>
      <c r="H57" s="183" t="s">
        <v>480</v>
      </c>
      <c r="I57" s="183" t="s">
        <v>495</v>
      </c>
      <c r="J57" s="183" t="s">
        <v>534</v>
      </c>
      <c r="K57" s="183" t="s">
        <v>636</v>
      </c>
    </row>
    <row r="58" spans="4:11" x14ac:dyDescent="0.25">
      <c r="D58" s="183" t="s">
        <v>499</v>
      </c>
      <c r="E58" s="183" t="s">
        <v>491</v>
      </c>
      <c r="F58" s="183" t="s">
        <v>637</v>
      </c>
      <c r="H58" s="183" t="s">
        <v>480</v>
      </c>
      <c r="I58" s="183" t="s">
        <v>495</v>
      </c>
      <c r="J58" s="183" t="s">
        <v>538</v>
      </c>
      <c r="K58" s="183" t="s">
        <v>638</v>
      </c>
    </row>
    <row r="59" spans="4:11" x14ac:dyDescent="0.25">
      <c r="D59" s="183" t="s">
        <v>499</v>
      </c>
      <c r="E59" s="183" t="s">
        <v>495</v>
      </c>
      <c r="F59" s="183" t="s">
        <v>639</v>
      </c>
      <c r="H59" s="183" t="s">
        <v>480</v>
      </c>
      <c r="I59" s="183" t="s">
        <v>495</v>
      </c>
      <c r="J59" s="183" t="s">
        <v>542</v>
      </c>
      <c r="K59" s="183" t="s">
        <v>640</v>
      </c>
    </row>
    <row r="60" spans="4:11" x14ac:dyDescent="0.25">
      <c r="D60" s="183" t="s">
        <v>499</v>
      </c>
      <c r="E60" s="183" t="s">
        <v>499</v>
      </c>
      <c r="F60" s="183" t="s">
        <v>641</v>
      </c>
      <c r="H60" s="183" t="s">
        <v>480</v>
      </c>
      <c r="I60" s="183" t="s">
        <v>495</v>
      </c>
      <c r="J60" s="183" t="s">
        <v>546</v>
      </c>
      <c r="K60" s="183" t="s">
        <v>642</v>
      </c>
    </row>
    <row r="61" spans="4:11" x14ac:dyDescent="0.25">
      <c r="D61" s="183" t="s">
        <v>499</v>
      </c>
      <c r="E61" s="183" t="s">
        <v>503</v>
      </c>
      <c r="F61" s="183" t="s">
        <v>643</v>
      </c>
      <c r="H61" s="183" t="s">
        <v>480</v>
      </c>
      <c r="I61" s="183" t="s">
        <v>495</v>
      </c>
      <c r="J61" s="183" t="s">
        <v>550</v>
      </c>
      <c r="K61" s="183" t="s">
        <v>644</v>
      </c>
    </row>
    <row r="62" spans="4:11" x14ac:dyDescent="0.25">
      <c r="D62" s="183" t="s">
        <v>499</v>
      </c>
      <c r="E62" s="183" t="s">
        <v>507</v>
      </c>
      <c r="F62" s="183" t="s">
        <v>645</v>
      </c>
      <c r="H62" s="183" t="s">
        <v>480</v>
      </c>
      <c r="I62" s="183" t="s">
        <v>495</v>
      </c>
      <c r="J62" s="183" t="s">
        <v>554</v>
      </c>
      <c r="K62" s="183" t="s">
        <v>646</v>
      </c>
    </row>
    <row r="63" spans="4:11" x14ac:dyDescent="0.25">
      <c r="D63" s="183" t="s">
        <v>499</v>
      </c>
      <c r="E63" s="183" t="s">
        <v>511</v>
      </c>
      <c r="F63" s="183" t="s">
        <v>647</v>
      </c>
      <c r="H63" s="183" t="s">
        <v>480</v>
      </c>
      <c r="I63" s="183" t="s">
        <v>495</v>
      </c>
      <c r="J63" s="183" t="s">
        <v>558</v>
      </c>
      <c r="K63" s="183" t="s">
        <v>648</v>
      </c>
    </row>
    <row r="64" spans="4:11" x14ac:dyDescent="0.25">
      <c r="D64" s="183" t="s">
        <v>499</v>
      </c>
      <c r="E64" s="183" t="s">
        <v>515</v>
      </c>
      <c r="F64" s="183" t="s">
        <v>649</v>
      </c>
      <c r="H64" s="183" t="s">
        <v>480</v>
      </c>
      <c r="I64" s="183" t="s">
        <v>495</v>
      </c>
      <c r="J64" s="183" t="s">
        <v>562</v>
      </c>
      <c r="K64" s="183" t="s">
        <v>650</v>
      </c>
    </row>
    <row r="65" spans="4:11" x14ac:dyDescent="0.25">
      <c r="D65" s="183" t="s">
        <v>499</v>
      </c>
      <c r="E65" s="183" t="s">
        <v>519</v>
      </c>
      <c r="F65" s="183" t="s">
        <v>651</v>
      </c>
      <c r="H65" s="183" t="s">
        <v>480</v>
      </c>
      <c r="I65" s="183" t="s">
        <v>495</v>
      </c>
      <c r="J65" s="183" t="s">
        <v>566</v>
      </c>
      <c r="K65" s="183" t="s">
        <v>652</v>
      </c>
    </row>
    <row r="66" spans="4:11" x14ac:dyDescent="0.25">
      <c r="D66" s="183" t="s">
        <v>499</v>
      </c>
      <c r="E66" s="183" t="s">
        <v>522</v>
      </c>
      <c r="F66" s="183" t="s">
        <v>653</v>
      </c>
      <c r="H66" s="183" t="s">
        <v>480</v>
      </c>
      <c r="I66" s="183" t="s">
        <v>499</v>
      </c>
      <c r="J66" s="183" t="s">
        <v>480</v>
      </c>
      <c r="K66" s="183" t="s">
        <v>654</v>
      </c>
    </row>
    <row r="67" spans="4:11" x14ac:dyDescent="0.25">
      <c r="D67" s="183" t="s">
        <v>499</v>
      </c>
      <c r="E67" s="183" t="s">
        <v>526</v>
      </c>
      <c r="F67" s="183" t="s">
        <v>655</v>
      </c>
      <c r="H67" s="183" t="s">
        <v>480</v>
      </c>
      <c r="I67" s="183" t="s">
        <v>499</v>
      </c>
      <c r="J67" s="183" t="s">
        <v>483</v>
      </c>
      <c r="K67" s="183" t="s">
        <v>656</v>
      </c>
    </row>
    <row r="68" spans="4:11" x14ac:dyDescent="0.25">
      <c r="D68" s="183" t="s">
        <v>503</v>
      </c>
      <c r="E68" s="183" t="s">
        <v>480</v>
      </c>
      <c r="F68" s="183" t="s">
        <v>504</v>
      </c>
      <c r="H68" s="183" t="s">
        <v>480</v>
      </c>
      <c r="I68" s="183" t="s">
        <v>499</v>
      </c>
      <c r="J68" s="183" t="s">
        <v>487</v>
      </c>
      <c r="K68" s="183" t="s">
        <v>657</v>
      </c>
    </row>
    <row r="69" spans="4:11" x14ac:dyDescent="0.25">
      <c r="D69" s="183" t="s">
        <v>507</v>
      </c>
      <c r="E69" s="183" t="s">
        <v>480</v>
      </c>
      <c r="F69" s="183" t="s">
        <v>508</v>
      </c>
      <c r="H69" s="183" t="s">
        <v>480</v>
      </c>
      <c r="I69" s="183" t="s">
        <v>499</v>
      </c>
      <c r="J69" s="183" t="s">
        <v>491</v>
      </c>
      <c r="K69" s="183" t="s">
        <v>658</v>
      </c>
    </row>
    <row r="70" spans="4:11" x14ac:dyDescent="0.25">
      <c r="D70" s="183" t="s">
        <v>507</v>
      </c>
      <c r="E70" s="183" t="s">
        <v>483</v>
      </c>
      <c r="F70" s="183" t="s">
        <v>659</v>
      </c>
      <c r="H70" s="183" t="s">
        <v>480</v>
      </c>
      <c r="I70" s="183" t="s">
        <v>499</v>
      </c>
      <c r="J70" s="183" t="s">
        <v>495</v>
      </c>
      <c r="K70" s="183" t="s">
        <v>660</v>
      </c>
    </row>
    <row r="71" spans="4:11" x14ac:dyDescent="0.25">
      <c r="D71" s="183" t="s">
        <v>507</v>
      </c>
      <c r="E71" s="183" t="s">
        <v>487</v>
      </c>
      <c r="F71" s="183" t="s">
        <v>661</v>
      </c>
      <c r="H71" s="183" t="s">
        <v>480</v>
      </c>
      <c r="I71" s="183" t="s">
        <v>499</v>
      </c>
      <c r="J71" s="183" t="s">
        <v>499</v>
      </c>
      <c r="K71" s="183" t="s">
        <v>662</v>
      </c>
    </row>
    <row r="72" spans="4:11" x14ac:dyDescent="0.25">
      <c r="D72" s="183" t="s">
        <v>507</v>
      </c>
      <c r="E72" s="183" t="s">
        <v>491</v>
      </c>
      <c r="F72" s="183" t="s">
        <v>663</v>
      </c>
      <c r="H72" s="183" t="s">
        <v>480</v>
      </c>
      <c r="I72" s="183" t="s">
        <v>499</v>
      </c>
      <c r="J72" s="183" t="s">
        <v>503</v>
      </c>
      <c r="K72" s="183" t="s">
        <v>664</v>
      </c>
    </row>
    <row r="73" spans="4:11" x14ac:dyDescent="0.25">
      <c r="D73" s="183" t="s">
        <v>507</v>
      </c>
      <c r="E73" s="183" t="s">
        <v>495</v>
      </c>
      <c r="F73" s="183" t="s">
        <v>665</v>
      </c>
      <c r="H73" s="183" t="s">
        <v>480</v>
      </c>
      <c r="I73" s="183" t="s">
        <v>499</v>
      </c>
      <c r="J73" s="183" t="s">
        <v>507</v>
      </c>
      <c r="K73" s="183" t="s">
        <v>666</v>
      </c>
    </row>
    <row r="74" spans="4:11" x14ac:dyDescent="0.25">
      <c r="D74" s="183" t="s">
        <v>507</v>
      </c>
      <c r="E74" s="183" t="s">
        <v>499</v>
      </c>
      <c r="F74" s="183" t="s">
        <v>667</v>
      </c>
      <c r="H74" s="183" t="s">
        <v>480</v>
      </c>
      <c r="I74" s="183" t="s">
        <v>499</v>
      </c>
      <c r="J74" s="183" t="s">
        <v>511</v>
      </c>
      <c r="K74" s="183" t="s">
        <v>668</v>
      </c>
    </row>
    <row r="75" spans="4:11" x14ac:dyDescent="0.25">
      <c r="D75" s="183" t="s">
        <v>507</v>
      </c>
      <c r="E75" s="183" t="s">
        <v>503</v>
      </c>
      <c r="F75" s="183" t="s">
        <v>669</v>
      </c>
      <c r="H75" s="183" t="s">
        <v>480</v>
      </c>
      <c r="I75" s="183" t="s">
        <v>499</v>
      </c>
      <c r="J75" s="183" t="s">
        <v>515</v>
      </c>
      <c r="K75" s="183" t="s">
        <v>670</v>
      </c>
    </row>
    <row r="76" spans="4:11" x14ac:dyDescent="0.25">
      <c r="D76" s="183" t="s">
        <v>507</v>
      </c>
      <c r="E76" s="183" t="s">
        <v>507</v>
      </c>
      <c r="F76" s="183" t="s">
        <v>671</v>
      </c>
      <c r="H76" s="183" t="s">
        <v>480</v>
      </c>
      <c r="I76" s="183" t="s">
        <v>499</v>
      </c>
      <c r="J76" s="183" t="s">
        <v>519</v>
      </c>
      <c r="K76" s="183" t="s">
        <v>672</v>
      </c>
    </row>
    <row r="77" spans="4:11" x14ac:dyDescent="0.25">
      <c r="D77" s="183" t="s">
        <v>507</v>
      </c>
      <c r="E77" s="183" t="s">
        <v>511</v>
      </c>
      <c r="F77" s="183" t="s">
        <v>673</v>
      </c>
      <c r="H77" s="183" t="s">
        <v>480</v>
      </c>
      <c r="I77" s="183" t="s">
        <v>499</v>
      </c>
      <c r="J77" s="183" t="s">
        <v>522</v>
      </c>
      <c r="K77" s="183" t="s">
        <v>674</v>
      </c>
    </row>
    <row r="78" spans="4:11" x14ac:dyDescent="0.25">
      <c r="D78" s="183" t="s">
        <v>507</v>
      </c>
      <c r="E78" s="183" t="s">
        <v>515</v>
      </c>
      <c r="F78" s="183" t="s">
        <v>675</v>
      </c>
      <c r="H78" s="183" t="s">
        <v>480</v>
      </c>
      <c r="I78" s="183" t="s">
        <v>503</v>
      </c>
      <c r="J78" s="183" t="s">
        <v>480</v>
      </c>
      <c r="K78" s="183" t="s">
        <v>676</v>
      </c>
    </row>
    <row r="79" spans="4:11" x14ac:dyDescent="0.25">
      <c r="D79" s="183" t="s">
        <v>507</v>
      </c>
      <c r="E79" s="183" t="s">
        <v>519</v>
      </c>
      <c r="F79" s="183" t="s">
        <v>677</v>
      </c>
      <c r="H79" s="183" t="s">
        <v>480</v>
      </c>
      <c r="I79" s="183" t="s">
        <v>503</v>
      </c>
      <c r="J79" s="183" t="s">
        <v>483</v>
      </c>
      <c r="K79" s="183" t="s">
        <v>678</v>
      </c>
    </row>
    <row r="80" spans="4:11" x14ac:dyDescent="0.25">
      <c r="D80" s="183" t="s">
        <v>507</v>
      </c>
      <c r="E80" s="183" t="s">
        <v>522</v>
      </c>
      <c r="F80" s="183" t="s">
        <v>679</v>
      </c>
      <c r="H80" s="183" t="s">
        <v>480</v>
      </c>
      <c r="I80" s="183" t="s">
        <v>503</v>
      </c>
      <c r="J80" s="183" t="s">
        <v>487</v>
      </c>
      <c r="K80" s="183" t="s">
        <v>680</v>
      </c>
    </row>
    <row r="81" spans="4:11" x14ac:dyDescent="0.25">
      <c r="D81" s="183" t="s">
        <v>507</v>
      </c>
      <c r="E81" s="183" t="s">
        <v>526</v>
      </c>
      <c r="F81" s="183" t="s">
        <v>681</v>
      </c>
      <c r="H81" s="183" t="s">
        <v>480</v>
      </c>
      <c r="I81" s="183" t="s">
        <v>503</v>
      </c>
      <c r="J81" s="183" t="s">
        <v>491</v>
      </c>
      <c r="K81" s="183" t="s">
        <v>682</v>
      </c>
    </row>
    <row r="82" spans="4:11" x14ac:dyDescent="0.25">
      <c r="D82" s="183" t="s">
        <v>511</v>
      </c>
      <c r="E82" s="183" t="s">
        <v>480</v>
      </c>
      <c r="F82" s="183" t="s">
        <v>512</v>
      </c>
      <c r="H82" s="183" t="s">
        <v>480</v>
      </c>
      <c r="I82" s="183" t="s">
        <v>503</v>
      </c>
      <c r="J82" s="183" t="s">
        <v>495</v>
      </c>
      <c r="K82" s="183" t="s">
        <v>683</v>
      </c>
    </row>
    <row r="83" spans="4:11" x14ac:dyDescent="0.25">
      <c r="D83" s="183" t="s">
        <v>511</v>
      </c>
      <c r="E83" s="183" t="s">
        <v>483</v>
      </c>
      <c r="F83" s="183" t="s">
        <v>684</v>
      </c>
      <c r="H83" s="183" t="s">
        <v>480</v>
      </c>
      <c r="I83" s="183" t="s">
        <v>503</v>
      </c>
      <c r="J83" s="183" t="s">
        <v>499</v>
      </c>
      <c r="K83" s="183" t="s">
        <v>685</v>
      </c>
    </row>
    <row r="84" spans="4:11" x14ac:dyDescent="0.25">
      <c r="D84" s="183" t="s">
        <v>511</v>
      </c>
      <c r="E84" s="183" t="s">
        <v>487</v>
      </c>
      <c r="F84" s="183" t="s">
        <v>686</v>
      </c>
      <c r="H84" s="183" t="s">
        <v>480</v>
      </c>
      <c r="I84" s="183" t="s">
        <v>503</v>
      </c>
      <c r="J84" s="183" t="s">
        <v>503</v>
      </c>
      <c r="K84" s="183" t="s">
        <v>687</v>
      </c>
    </row>
    <row r="85" spans="4:11" x14ac:dyDescent="0.25">
      <c r="D85" s="183" t="s">
        <v>511</v>
      </c>
      <c r="E85" s="183" t="s">
        <v>491</v>
      </c>
      <c r="F85" s="183" t="s">
        <v>688</v>
      </c>
      <c r="H85" s="183" t="s">
        <v>483</v>
      </c>
      <c r="I85" s="183" t="s">
        <v>480</v>
      </c>
      <c r="J85" s="183" t="s">
        <v>480</v>
      </c>
      <c r="K85" s="183" t="s">
        <v>509</v>
      </c>
    </row>
    <row r="86" spans="4:11" x14ac:dyDescent="0.25">
      <c r="D86" s="183" t="s">
        <v>511</v>
      </c>
      <c r="E86" s="183" t="s">
        <v>495</v>
      </c>
      <c r="F86" s="183" t="s">
        <v>689</v>
      </c>
      <c r="H86" s="183" t="s">
        <v>483</v>
      </c>
      <c r="I86" s="183" t="s">
        <v>480</v>
      </c>
      <c r="J86" s="183" t="s">
        <v>483</v>
      </c>
      <c r="K86" s="183" t="s">
        <v>690</v>
      </c>
    </row>
    <row r="87" spans="4:11" x14ac:dyDescent="0.25">
      <c r="D87" s="183" t="s">
        <v>511</v>
      </c>
      <c r="E87" s="183" t="s">
        <v>499</v>
      </c>
      <c r="F87" s="183" t="s">
        <v>691</v>
      </c>
      <c r="H87" s="183" t="s">
        <v>483</v>
      </c>
      <c r="I87" s="183" t="s">
        <v>480</v>
      </c>
      <c r="J87" s="183" t="s">
        <v>487</v>
      </c>
      <c r="K87" s="183" t="s">
        <v>692</v>
      </c>
    </row>
    <row r="88" spans="4:11" x14ac:dyDescent="0.25">
      <c r="D88" s="183" t="s">
        <v>511</v>
      </c>
      <c r="E88" s="183" t="s">
        <v>503</v>
      </c>
      <c r="F88" s="183" t="s">
        <v>693</v>
      </c>
      <c r="H88" s="183" t="s">
        <v>483</v>
      </c>
      <c r="I88" s="183" t="s">
        <v>480</v>
      </c>
      <c r="J88" s="183" t="s">
        <v>491</v>
      </c>
      <c r="K88" s="183" t="s">
        <v>694</v>
      </c>
    </row>
    <row r="89" spans="4:11" x14ac:dyDescent="0.25">
      <c r="D89" s="183" t="s">
        <v>515</v>
      </c>
      <c r="E89" s="183" t="s">
        <v>480</v>
      </c>
      <c r="F89" s="183" t="s">
        <v>516</v>
      </c>
      <c r="H89" s="183" t="s">
        <v>483</v>
      </c>
      <c r="I89" s="183" t="s">
        <v>480</v>
      </c>
      <c r="J89" s="183" t="s">
        <v>495</v>
      </c>
      <c r="K89" s="183" t="s">
        <v>695</v>
      </c>
    </row>
    <row r="90" spans="4:11" x14ac:dyDescent="0.25">
      <c r="D90" s="183" t="s">
        <v>515</v>
      </c>
      <c r="E90" s="183" t="s">
        <v>483</v>
      </c>
      <c r="F90" s="183" t="s">
        <v>696</v>
      </c>
      <c r="H90" s="183" t="s">
        <v>483</v>
      </c>
      <c r="I90" s="183" t="s">
        <v>480</v>
      </c>
      <c r="J90" s="183" t="s">
        <v>499</v>
      </c>
      <c r="K90" s="183" t="s">
        <v>697</v>
      </c>
    </row>
    <row r="91" spans="4:11" x14ac:dyDescent="0.25">
      <c r="D91" s="183" t="s">
        <v>515</v>
      </c>
      <c r="E91" s="183" t="s">
        <v>487</v>
      </c>
      <c r="F91" s="183" t="s">
        <v>698</v>
      </c>
      <c r="H91" s="183" t="s">
        <v>483</v>
      </c>
      <c r="I91" s="183" t="s">
        <v>480</v>
      </c>
      <c r="J91" s="183" t="s">
        <v>503</v>
      </c>
      <c r="K91" s="183" t="s">
        <v>527</v>
      </c>
    </row>
    <row r="92" spans="4:11" x14ac:dyDescent="0.25">
      <c r="D92" s="183" t="s">
        <v>515</v>
      </c>
      <c r="E92" s="183" t="s">
        <v>491</v>
      </c>
      <c r="F92" s="183" t="s">
        <v>699</v>
      </c>
      <c r="H92" s="183" t="s">
        <v>483</v>
      </c>
      <c r="I92" s="183" t="s">
        <v>480</v>
      </c>
      <c r="J92" s="183" t="s">
        <v>507</v>
      </c>
      <c r="K92" s="183" t="s">
        <v>541</v>
      </c>
    </row>
    <row r="93" spans="4:11" x14ac:dyDescent="0.25">
      <c r="D93" s="183" t="s">
        <v>515</v>
      </c>
      <c r="E93" s="183" t="s">
        <v>495</v>
      </c>
      <c r="F93" s="183" t="s">
        <v>700</v>
      </c>
      <c r="H93" s="183" t="s">
        <v>483</v>
      </c>
      <c r="I93" s="183" t="s">
        <v>480</v>
      </c>
      <c r="J93" s="183" t="s">
        <v>511</v>
      </c>
      <c r="K93" s="183" t="s">
        <v>701</v>
      </c>
    </row>
    <row r="94" spans="4:11" x14ac:dyDescent="0.25">
      <c r="D94" s="183" t="s">
        <v>515</v>
      </c>
      <c r="E94" s="183" t="s">
        <v>499</v>
      </c>
      <c r="F94" s="183" t="s">
        <v>702</v>
      </c>
      <c r="H94" s="183" t="s">
        <v>483</v>
      </c>
      <c r="I94" s="183" t="s">
        <v>480</v>
      </c>
      <c r="J94" s="183" t="s">
        <v>515</v>
      </c>
      <c r="K94" s="183" t="s">
        <v>703</v>
      </c>
    </row>
    <row r="95" spans="4:11" x14ac:dyDescent="0.25">
      <c r="D95" s="183" t="s">
        <v>515</v>
      </c>
      <c r="E95" s="183" t="s">
        <v>503</v>
      </c>
      <c r="F95" s="183" t="s">
        <v>704</v>
      </c>
      <c r="H95" s="183" t="s">
        <v>483</v>
      </c>
      <c r="I95" s="183" t="s">
        <v>480</v>
      </c>
      <c r="J95" s="183" t="s">
        <v>519</v>
      </c>
      <c r="K95" s="183" t="s">
        <v>705</v>
      </c>
    </row>
    <row r="96" spans="4:11" x14ac:dyDescent="0.25">
      <c r="D96" s="183" t="s">
        <v>515</v>
      </c>
      <c r="E96" s="183" t="s">
        <v>507</v>
      </c>
      <c r="F96" s="183" t="s">
        <v>706</v>
      </c>
      <c r="H96" s="183" t="s">
        <v>483</v>
      </c>
      <c r="I96" s="183" t="s">
        <v>480</v>
      </c>
      <c r="J96" s="183" t="s">
        <v>522</v>
      </c>
      <c r="K96" s="183" t="s">
        <v>707</v>
      </c>
    </row>
    <row r="97" spans="4:11" x14ac:dyDescent="0.25">
      <c r="D97" s="183" t="s">
        <v>515</v>
      </c>
      <c r="E97" s="183" t="s">
        <v>511</v>
      </c>
      <c r="F97" s="183" t="s">
        <v>708</v>
      </c>
      <c r="H97" s="183" t="s">
        <v>483</v>
      </c>
      <c r="I97" s="183" t="s">
        <v>483</v>
      </c>
      <c r="J97" s="183" t="s">
        <v>480</v>
      </c>
      <c r="K97" s="183" t="s">
        <v>513</v>
      </c>
    </row>
    <row r="98" spans="4:11" x14ac:dyDescent="0.25">
      <c r="D98" s="183" t="s">
        <v>515</v>
      </c>
      <c r="E98" s="183" t="s">
        <v>515</v>
      </c>
      <c r="F98" s="183" t="s">
        <v>709</v>
      </c>
      <c r="H98" s="183" t="s">
        <v>483</v>
      </c>
      <c r="I98" s="183" t="s">
        <v>483</v>
      </c>
      <c r="J98" s="183" t="s">
        <v>483</v>
      </c>
      <c r="K98" s="183" t="s">
        <v>710</v>
      </c>
    </row>
    <row r="99" spans="4:11" x14ac:dyDescent="0.25">
      <c r="D99" s="183" t="s">
        <v>515</v>
      </c>
      <c r="E99" s="183" t="s">
        <v>519</v>
      </c>
      <c r="F99" s="183" t="s">
        <v>711</v>
      </c>
      <c r="H99" s="183" t="s">
        <v>483</v>
      </c>
      <c r="I99" s="183" t="s">
        <v>483</v>
      </c>
      <c r="J99" s="183" t="s">
        <v>487</v>
      </c>
      <c r="K99" s="183" t="s">
        <v>712</v>
      </c>
    </row>
    <row r="100" spans="4:11" x14ac:dyDescent="0.25">
      <c r="D100" s="183" t="s">
        <v>519</v>
      </c>
      <c r="E100" s="183" t="s">
        <v>480</v>
      </c>
      <c r="F100" s="183" t="s">
        <v>520</v>
      </c>
      <c r="H100" s="183" t="s">
        <v>483</v>
      </c>
      <c r="I100" s="183" t="s">
        <v>483</v>
      </c>
      <c r="J100" s="183" t="s">
        <v>491</v>
      </c>
      <c r="K100" s="183" t="s">
        <v>713</v>
      </c>
    </row>
    <row r="101" spans="4:11" x14ac:dyDescent="0.25">
      <c r="D101" s="183" t="s">
        <v>519</v>
      </c>
      <c r="E101" s="183" t="s">
        <v>483</v>
      </c>
      <c r="F101" s="183" t="s">
        <v>714</v>
      </c>
      <c r="H101" s="183" t="s">
        <v>483</v>
      </c>
      <c r="I101" s="183" t="s">
        <v>483</v>
      </c>
      <c r="J101" s="183" t="s">
        <v>495</v>
      </c>
      <c r="K101" s="183" t="s">
        <v>715</v>
      </c>
    </row>
    <row r="102" spans="4:11" x14ac:dyDescent="0.25">
      <c r="D102" s="183" t="s">
        <v>519</v>
      </c>
      <c r="E102" s="183" t="s">
        <v>487</v>
      </c>
      <c r="F102" s="183" t="s">
        <v>716</v>
      </c>
      <c r="H102" s="183" t="s">
        <v>483</v>
      </c>
      <c r="I102" s="183" t="s">
        <v>487</v>
      </c>
      <c r="J102" s="183" t="s">
        <v>480</v>
      </c>
      <c r="K102" s="183" t="s">
        <v>717</v>
      </c>
    </row>
    <row r="103" spans="4:11" x14ac:dyDescent="0.25">
      <c r="D103" s="183" t="s">
        <v>519</v>
      </c>
      <c r="E103" s="183" t="s">
        <v>491</v>
      </c>
      <c r="F103" s="183" t="s">
        <v>718</v>
      </c>
      <c r="H103" s="183" t="s">
        <v>483</v>
      </c>
      <c r="I103" s="183" t="s">
        <v>487</v>
      </c>
      <c r="J103" s="183" t="s">
        <v>483</v>
      </c>
      <c r="K103" s="183" t="s">
        <v>719</v>
      </c>
    </row>
    <row r="104" spans="4:11" x14ac:dyDescent="0.25">
      <c r="D104" s="183" t="s">
        <v>519</v>
      </c>
      <c r="E104" s="183" t="s">
        <v>495</v>
      </c>
      <c r="F104" s="183" t="s">
        <v>720</v>
      </c>
      <c r="H104" s="183" t="s">
        <v>483</v>
      </c>
      <c r="I104" s="183" t="s">
        <v>487</v>
      </c>
      <c r="J104" s="183" t="s">
        <v>487</v>
      </c>
      <c r="K104" s="183" t="s">
        <v>721</v>
      </c>
    </row>
    <row r="105" spans="4:11" x14ac:dyDescent="0.25">
      <c r="D105" s="183" t="s">
        <v>522</v>
      </c>
      <c r="E105" s="183" t="s">
        <v>480</v>
      </c>
      <c r="F105" s="183" t="s">
        <v>722</v>
      </c>
      <c r="H105" s="183" t="s">
        <v>483</v>
      </c>
      <c r="I105" s="183" t="s">
        <v>487</v>
      </c>
      <c r="J105" s="183" t="s">
        <v>491</v>
      </c>
      <c r="K105" s="183" t="s">
        <v>723</v>
      </c>
    </row>
    <row r="106" spans="4:11" x14ac:dyDescent="0.25">
      <c r="D106" s="183" t="s">
        <v>522</v>
      </c>
      <c r="E106" s="183" t="s">
        <v>483</v>
      </c>
      <c r="F106" s="183" t="s">
        <v>724</v>
      </c>
      <c r="H106" s="183" t="s">
        <v>483</v>
      </c>
      <c r="I106" s="183" t="s">
        <v>487</v>
      </c>
      <c r="J106" s="183" t="s">
        <v>495</v>
      </c>
      <c r="K106" s="183" t="s">
        <v>725</v>
      </c>
    </row>
    <row r="107" spans="4:11" x14ac:dyDescent="0.25">
      <c r="D107" s="183" t="s">
        <v>522</v>
      </c>
      <c r="E107" s="183" t="s">
        <v>487</v>
      </c>
      <c r="F107" s="183" t="s">
        <v>726</v>
      </c>
      <c r="H107" s="183" t="s">
        <v>483</v>
      </c>
      <c r="I107" s="183" t="s">
        <v>487</v>
      </c>
      <c r="J107" s="183" t="s">
        <v>499</v>
      </c>
      <c r="K107" s="183" t="s">
        <v>727</v>
      </c>
    </row>
    <row r="108" spans="4:11" x14ac:dyDescent="0.25">
      <c r="D108" s="183" t="s">
        <v>522</v>
      </c>
      <c r="E108" s="183" t="s">
        <v>491</v>
      </c>
      <c r="F108" s="183" t="s">
        <v>728</v>
      </c>
      <c r="H108" s="183" t="s">
        <v>483</v>
      </c>
      <c r="I108" s="183" t="s">
        <v>491</v>
      </c>
      <c r="J108" s="183" t="s">
        <v>480</v>
      </c>
      <c r="K108" s="183" t="s">
        <v>729</v>
      </c>
    </row>
    <row r="109" spans="4:11" x14ac:dyDescent="0.25">
      <c r="D109" s="183" t="s">
        <v>522</v>
      </c>
      <c r="E109" s="183" t="s">
        <v>495</v>
      </c>
      <c r="F109" s="183" t="s">
        <v>523</v>
      </c>
      <c r="H109" s="183" t="s">
        <v>483</v>
      </c>
      <c r="I109" s="183" t="s">
        <v>491</v>
      </c>
      <c r="J109" s="183" t="s">
        <v>483</v>
      </c>
      <c r="K109" s="183" t="s">
        <v>730</v>
      </c>
    </row>
    <row r="110" spans="4:11" x14ac:dyDescent="0.25">
      <c r="D110" s="183" t="s">
        <v>522</v>
      </c>
      <c r="E110" s="183" t="s">
        <v>499</v>
      </c>
      <c r="F110" s="183" t="s">
        <v>731</v>
      </c>
      <c r="H110" s="183" t="s">
        <v>483</v>
      </c>
      <c r="I110" s="183" t="s">
        <v>495</v>
      </c>
      <c r="J110" s="183" t="s">
        <v>480</v>
      </c>
      <c r="K110" s="183" t="s">
        <v>732</v>
      </c>
    </row>
    <row r="111" spans="4:11" x14ac:dyDescent="0.25">
      <c r="D111" s="183" t="s">
        <v>522</v>
      </c>
      <c r="E111" s="183" t="s">
        <v>503</v>
      </c>
      <c r="F111" s="183" t="s">
        <v>733</v>
      </c>
      <c r="H111" s="183" t="s">
        <v>483</v>
      </c>
      <c r="I111" s="183" t="s">
        <v>495</v>
      </c>
      <c r="J111" s="183" t="s">
        <v>483</v>
      </c>
      <c r="K111" s="183" t="s">
        <v>734</v>
      </c>
    </row>
    <row r="112" spans="4:11" x14ac:dyDescent="0.25">
      <c r="D112" s="183" t="s">
        <v>522</v>
      </c>
      <c r="E112" s="183" t="s">
        <v>507</v>
      </c>
      <c r="F112" s="183" t="s">
        <v>735</v>
      </c>
      <c r="H112" s="183" t="s">
        <v>483</v>
      </c>
      <c r="I112" s="183" t="s">
        <v>495</v>
      </c>
      <c r="J112" s="183" t="s">
        <v>487</v>
      </c>
      <c r="K112" s="183" t="s">
        <v>517</v>
      </c>
    </row>
    <row r="113" spans="4:11" x14ac:dyDescent="0.25">
      <c r="D113" s="183" t="s">
        <v>522</v>
      </c>
      <c r="E113" s="183" t="s">
        <v>511</v>
      </c>
      <c r="F113" s="183" t="s">
        <v>736</v>
      </c>
      <c r="H113" s="183" t="s">
        <v>483</v>
      </c>
      <c r="I113" s="183" t="s">
        <v>495</v>
      </c>
      <c r="J113" s="183" t="s">
        <v>491</v>
      </c>
      <c r="K113" s="183" t="s">
        <v>737</v>
      </c>
    </row>
    <row r="114" spans="4:11" x14ac:dyDescent="0.25">
      <c r="D114" s="183" t="s">
        <v>526</v>
      </c>
      <c r="E114" s="183" t="s">
        <v>480</v>
      </c>
      <c r="F114" s="183" t="s">
        <v>738</v>
      </c>
      <c r="H114" s="183" t="s">
        <v>483</v>
      </c>
      <c r="I114" s="183" t="s">
        <v>495</v>
      </c>
      <c r="J114" s="183" t="s">
        <v>495</v>
      </c>
      <c r="K114" s="183" t="s">
        <v>739</v>
      </c>
    </row>
    <row r="115" spans="4:11" x14ac:dyDescent="0.25">
      <c r="D115" s="183" t="s">
        <v>526</v>
      </c>
      <c r="E115" s="183" t="s">
        <v>483</v>
      </c>
      <c r="F115" s="183" t="s">
        <v>740</v>
      </c>
      <c r="H115" s="183" t="s">
        <v>483</v>
      </c>
      <c r="I115" s="183" t="s">
        <v>495</v>
      </c>
      <c r="J115" s="183" t="s">
        <v>499</v>
      </c>
      <c r="K115" s="183" t="s">
        <v>741</v>
      </c>
    </row>
    <row r="116" spans="4:11" x14ac:dyDescent="0.25">
      <c r="D116" s="183" t="s">
        <v>526</v>
      </c>
      <c r="E116" s="183" t="s">
        <v>487</v>
      </c>
      <c r="F116" s="183" t="s">
        <v>742</v>
      </c>
      <c r="H116" s="183" t="s">
        <v>483</v>
      </c>
      <c r="I116" s="183" t="s">
        <v>495</v>
      </c>
      <c r="J116" s="183" t="s">
        <v>503</v>
      </c>
      <c r="K116" s="183" t="s">
        <v>743</v>
      </c>
    </row>
    <row r="117" spans="4:11" x14ac:dyDescent="0.25">
      <c r="D117" s="183" t="s">
        <v>526</v>
      </c>
      <c r="E117" s="183" t="s">
        <v>491</v>
      </c>
      <c r="F117" s="183" t="s">
        <v>744</v>
      </c>
      <c r="H117" s="183" t="s">
        <v>483</v>
      </c>
      <c r="I117" s="183" t="s">
        <v>495</v>
      </c>
      <c r="J117" s="183" t="s">
        <v>507</v>
      </c>
      <c r="K117" s="183" t="s">
        <v>745</v>
      </c>
    </row>
    <row r="118" spans="4:11" x14ac:dyDescent="0.25">
      <c r="D118" s="183" t="s">
        <v>526</v>
      </c>
      <c r="E118" s="183" t="s">
        <v>495</v>
      </c>
      <c r="F118" s="183" t="s">
        <v>746</v>
      </c>
      <c r="H118" s="183" t="s">
        <v>483</v>
      </c>
      <c r="I118" s="183" t="s">
        <v>495</v>
      </c>
      <c r="J118" s="183" t="s">
        <v>511</v>
      </c>
      <c r="K118" s="183" t="s">
        <v>747</v>
      </c>
    </row>
    <row r="119" spans="4:11" x14ac:dyDescent="0.25">
      <c r="D119" s="183" t="s">
        <v>526</v>
      </c>
      <c r="E119" s="183" t="s">
        <v>499</v>
      </c>
      <c r="F119" s="183" t="s">
        <v>748</v>
      </c>
      <c r="H119" s="183" t="s">
        <v>483</v>
      </c>
      <c r="I119" s="183" t="s">
        <v>495</v>
      </c>
      <c r="J119" s="183" t="s">
        <v>515</v>
      </c>
      <c r="K119" s="183" t="s">
        <v>749</v>
      </c>
    </row>
    <row r="120" spans="4:11" x14ac:dyDescent="0.25">
      <c r="D120" s="183" t="s">
        <v>526</v>
      </c>
      <c r="E120" s="183" t="s">
        <v>503</v>
      </c>
      <c r="F120" s="183" t="s">
        <v>750</v>
      </c>
      <c r="H120" s="183" t="s">
        <v>483</v>
      </c>
      <c r="I120" s="183" t="s">
        <v>495</v>
      </c>
      <c r="J120" s="183" t="s">
        <v>519</v>
      </c>
      <c r="K120" s="183" t="s">
        <v>751</v>
      </c>
    </row>
    <row r="121" spans="4:11" x14ac:dyDescent="0.25">
      <c r="D121" s="183" t="s">
        <v>526</v>
      </c>
      <c r="E121" s="183" t="s">
        <v>507</v>
      </c>
      <c r="F121" s="183" t="s">
        <v>752</v>
      </c>
      <c r="H121" s="183" t="s">
        <v>483</v>
      </c>
      <c r="I121" s="183" t="s">
        <v>495</v>
      </c>
      <c r="J121" s="183" t="s">
        <v>522</v>
      </c>
      <c r="K121" s="183" t="s">
        <v>753</v>
      </c>
    </row>
    <row r="122" spans="4:11" x14ac:dyDescent="0.25">
      <c r="D122" s="183" t="s">
        <v>526</v>
      </c>
      <c r="E122" s="183" t="s">
        <v>511</v>
      </c>
      <c r="F122" s="183" t="s">
        <v>754</v>
      </c>
      <c r="H122" s="183" t="s">
        <v>483</v>
      </c>
      <c r="I122" s="183" t="s">
        <v>495</v>
      </c>
      <c r="J122" s="183" t="s">
        <v>526</v>
      </c>
      <c r="K122" s="183" t="s">
        <v>755</v>
      </c>
    </row>
    <row r="123" spans="4:11" x14ac:dyDescent="0.25">
      <c r="D123" s="183" t="s">
        <v>526</v>
      </c>
      <c r="E123" s="183" t="s">
        <v>515</v>
      </c>
      <c r="F123" s="183" t="s">
        <v>756</v>
      </c>
      <c r="H123" s="183" t="s">
        <v>483</v>
      </c>
      <c r="I123" s="183" t="s">
        <v>495</v>
      </c>
      <c r="J123" s="183" t="s">
        <v>530</v>
      </c>
      <c r="K123" s="183" t="s">
        <v>757</v>
      </c>
    </row>
    <row r="124" spans="4:11" x14ac:dyDescent="0.25">
      <c r="D124" s="183" t="s">
        <v>526</v>
      </c>
      <c r="E124" s="183" t="s">
        <v>519</v>
      </c>
      <c r="F124" s="183" t="s">
        <v>758</v>
      </c>
      <c r="H124" s="183" t="s">
        <v>483</v>
      </c>
      <c r="I124" s="183" t="s">
        <v>495</v>
      </c>
      <c r="J124" s="183" t="s">
        <v>534</v>
      </c>
      <c r="K124" s="183" t="s">
        <v>759</v>
      </c>
    </row>
    <row r="125" spans="4:11" x14ac:dyDescent="0.25">
      <c r="D125" s="183" t="s">
        <v>526</v>
      </c>
      <c r="E125" s="183" t="s">
        <v>522</v>
      </c>
      <c r="F125" s="183" t="s">
        <v>760</v>
      </c>
      <c r="H125" s="183" t="s">
        <v>483</v>
      </c>
      <c r="I125" s="183" t="s">
        <v>499</v>
      </c>
      <c r="J125" s="183" t="s">
        <v>480</v>
      </c>
      <c r="K125" s="183" t="s">
        <v>528</v>
      </c>
    </row>
    <row r="126" spans="4:11" x14ac:dyDescent="0.25">
      <c r="D126" s="183" t="s">
        <v>530</v>
      </c>
      <c r="E126" s="183" t="s">
        <v>480</v>
      </c>
      <c r="F126" s="183" t="s">
        <v>761</v>
      </c>
      <c r="H126" s="183" t="s">
        <v>483</v>
      </c>
      <c r="I126" s="183" t="s">
        <v>499</v>
      </c>
      <c r="J126" s="183" t="s">
        <v>483</v>
      </c>
      <c r="K126" s="183" t="s">
        <v>762</v>
      </c>
    </row>
    <row r="127" spans="4:11" x14ac:dyDescent="0.25">
      <c r="D127" s="183" t="s">
        <v>530</v>
      </c>
      <c r="E127" s="183" t="s">
        <v>483</v>
      </c>
      <c r="F127" s="183" t="s">
        <v>763</v>
      </c>
      <c r="H127" s="183" t="s">
        <v>483</v>
      </c>
      <c r="I127" s="183" t="s">
        <v>499</v>
      </c>
      <c r="J127" s="183" t="s">
        <v>487</v>
      </c>
      <c r="K127" s="183" t="s">
        <v>764</v>
      </c>
    </row>
    <row r="128" spans="4:11" x14ac:dyDescent="0.25">
      <c r="D128" s="183" t="s">
        <v>530</v>
      </c>
      <c r="E128" s="183" t="s">
        <v>487</v>
      </c>
      <c r="F128" s="183" t="s">
        <v>531</v>
      </c>
      <c r="H128" s="183" t="s">
        <v>483</v>
      </c>
      <c r="I128" s="183" t="s">
        <v>499</v>
      </c>
      <c r="J128" s="183" t="s">
        <v>491</v>
      </c>
      <c r="K128" s="183" t="s">
        <v>661</v>
      </c>
    </row>
    <row r="129" spans="4:11" x14ac:dyDescent="0.25">
      <c r="D129" s="183" t="s">
        <v>534</v>
      </c>
      <c r="E129" s="183" t="s">
        <v>480</v>
      </c>
      <c r="F129" s="183" t="s">
        <v>535</v>
      </c>
      <c r="H129" s="183" t="s">
        <v>483</v>
      </c>
      <c r="I129" s="183" t="s">
        <v>499</v>
      </c>
      <c r="J129" s="183" t="s">
        <v>495</v>
      </c>
      <c r="K129" s="183" t="s">
        <v>765</v>
      </c>
    </row>
    <row r="130" spans="4:11" x14ac:dyDescent="0.25">
      <c r="D130" s="183" t="s">
        <v>534</v>
      </c>
      <c r="E130" s="183" t="s">
        <v>483</v>
      </c>
      <c r="F130" s="183" t="s">
        <v>766</v>
      </c>
      <c r="H130" s="183" t="s">
        <v>483</v>
      </c>
      <c r="I130" s="183" t="s">
        <v>499</v>
      </c>
      <c r="J130" s="183" t="s">
        <v>499</v>
      </c>
      <c r="K130" s="183" t="s">
        <v>767</v>
      </c>
    </row>
    <row r="131" spans="4:11" x14ac:dyDescent="0.25">
      <c r="D131" s="183" t="s">
        <v>534</v>
      </c>
      <c r="E131" s="183" t="s">
        <v>487</v>
      </c>
      <c r="F131" s="183" t="s">
        <v>768</v>
      </c>
      <c r="H131" s="183" t="s">
        <v>483</v>
      </c>
      <c r="I131" s="183" t="s">
        <v>499</v>
      </c>
      <c r="J131" s="183" t="s">
        <v>503</v>
      </c>
      <c r="K131" s="183" t="s">
        <v>769</v>
      </c>
    </row>
    <row r="132" spans="4:11" x14ac:dyDescent="0.25">
      <c r="D132" s="183" t="s">
        <v>534</v>
      </c>
      <c r="E132" s="183" t="s">
        <v>491</v>
      </c>
      <c r="F132" s="183" t="s">
        <v>770</v>
      </c>
      <c r="H132" s="183" t="s">
        <v>483</v>
      </c>
      <c r="I132" s="183" t="s">
        <v>499</v>
      </c>
      <c r="J132" s="183" t="s">
        <v>507</v>
      </c>
      <c r="K132" s="183" t="s">
        <v>771</v>
      </c>
    </row>
    <row r="133" spans="4:11" x14ac:dyDescent="0.25">
      <c r="D133" s="183" t="s">
        <v>534</v>
      </c>
      <c r="E133" s="183" t="s">
        <v>495</v>
      </c>
      <c r="F133" s="183" t="s">
        <v>772</v>
      </c>
      <c r="H133" s="183" t="s">
        <v>483</v>
      </c>
      <c r="I133" s="183" t="s">
        <v>499</v>
      </c>
      <c r="J133" s="183" t="s">
        <v>511</v>
      </c>
      <c r="K133" s="183" t="s">
        <v>773</v>
      </c>
    </row>
    <row r="134" spans="4:11" x14ac:dyDescent="0.25">
      <c r="D134" s="183" t="s">
        <v>534</v>
      </c>
      <c r="E134" s="183" t="s">
        <v>499</v>
      </c>
      <c r="F134" s="183" t="s">
        <v>774</v>
      </c>
      <c r="H134" s="183" t="s">
        <v>483</v>
      </c>
      <c r="I134" s="183" t="s">
        <v>499</v>
      </c>
      <c r="J134" s="183" t="s">
        <v>515</v>
      </c>
      <c r="K134" s="183" t="s">
        <v>775</v>
      </c>
    </row>
    <row r="135" spans="4:11" x14ac:dyDescent="0.25">
      <c r="D135" s="183" t="s">
        <v>534</v>
      </c>
      <c r="E135" s="183" t="s">
        <v>503</v>
      </c>
      <c r="F135" s="183" t="s">
        <v>776</v>
      </c>
      <c r="H135" s="183" t="s">
        <v>483</v>
      </c>
      <c r="I135" s="183" t="s">
        <v>499</v>
      </c>
      <c r="J135" s="183" t="s">
        <v>519</v>
      </c>
      <c r="K135" s="183" t="s">
        <v>777</v>
      </c>
    </row>
    <row r="136" spans="4:11" x14ac:dyDescent="0.25">
      <c r="D136" s="183" t="s">
        <v>534</v>
      </c>
      <c r="E136" s="183" t="s">
        <v>507</v>
      </c>
      <c r="F136" s="183" t="s">
        <v>778</v>
      </c>
      <c r="H136" s="183" t="s">
        <v>483</v>
      </c>
      <c r="I136" s="183" t="s">
        <v>503</v>
      </c>
      <c r="J136" s="183" t="s">
        <v>480</v>
      </c>
      <c r="K136" s="183" t="s">
        <v>779</v>
      </c>
    </row>
    <row r="137" spans="4:11" x14ac:dyDescent="0.25">
      <c r="D137" s="183" t="s">
        <v>534</v>
      </c>
      <c r="E137" s="183" t="s">
        <v>511</v>
      </c>
      <c r="F137" s="183" t="s">
        <v>780</v>
      </c>
      <c r="H137" s="183" t="s">
        <v>483</v>
      </c>
      <c r="I137" s="183" t="s">
        <v>503</v>
      </c>
      <c r="J137" s="183" t="s">
        <v>483</v>
      </c>
      <c r="K137" s="183" t="s">
        <v>654</v>
      </c>
    </row>
    <row r="138" spans="4:11" x14ac:dyDescent="0.25">
      <c r="D138" s="183" t="s">
        <v>534</v>
      </c>
      <c r="E138" s="183" t="s">
        <v>515</v>
      </c>
      <c r="F138" s="183" t="s">
        <v>781</v>
      </c>
      <c r="H138" s="183" t="s">
        <v>483</v>
      </c>
      <c r="I138" s="183" t="s">
        <v>503</v>
      </c>
      <c r="J138" s="183" t="s">
        <v>487</v>
      </c>
      <c r="K138" s="183" t="s">
        <v>782</v>
      </c>
    </row>
    <row r="139" spans="4:11" x14ac:dyDescent="0.25">
      <c r="D139" s="183" t="s">
        <v>538</v>
      </c>
      <c r="E139" s="183" t="s">
        <v>480</v>
      </c>
      <c r="F139" s="183" t="s">
        <v>783</v>
      </c>
      <c r="H139" s="183" t="s">
        <v>483</v>
      </c>
      <c r="I139" s="183" t="s">
        <v>507</v>
      </c>
      <c r="J139" s="183" t="s">
        <v>480</v>
      </c>
      <c r="K139" s="183" t="s">
        <v>536</v>
      </c>
    </row>
    <row r="140" spans="4:11" x14ac:dyDescent="0.25">
      <c r="D140" s="183" t="s">
        <v>538</v>
      </c>
      <c r="E140" s="183" t="s">
        <v>483</v>
      </c>
      <c r="F140" s="183" t="s">
        <v>784</v>
      </c>
      <c r="H140" s="183" t="s">
        <v>483</v>
      </c>
      <c r="I140" s="183" t="s">
        <v>507</v>
      </c>
      <c r="J140" s="183" t="s">
        <v>483</v>
      </c>
      <c r="K140" s="183" t="s">
        <v>785</v>
      </c>
    </row>
    <row r="141" spans="4:11" x14ac:dyDescent="0.25">
      <c r="D141" s="183" t="s">
        <v>538</v>
      </c>
      <c r="E141" s="183" t="s">
        <v>487</v>
      </c>
      <c r="F141" s="183" t="s">
        <v>539</v>
      </c>
      <c r="H141" s="183" t="s">
        <v>483</v>
      </c>
      <c r="I141" s="183" t="s">
        <v>507</v>
      </c>
      <c r="J141" s="183" t="s">
        <v>487</v>
      </c>
      <c r="K141" s="183" t="s">
        <v>786</v>
      </c>
    </row>
    <row r="142" spans="4:11" x14ac:dyDescent="0.25">
      <c r="D142" s="183" t="s">
        <v>538</v>
      </c>
      <c r="E142" s="183" t="s">
        <v>491</v>
      </c>
      <c r="F142" s="183" t="s">
        <v>787</v>
      </c>
      <c r="H142" s="183" t="s">
        <v>483</v>
      </c>
      <c r="I142" s="183" t="s">
        <v>507</v>
      </c>
      <c r="J142" s="183" t="s">
        <v>491</v>
      </c>
      <c r="K142" s="183" t="s">
        <v>788</v>
      </c>
    </row>
    <row r="143" spans="4:11" x14ac:dyDescent="0.25">
      <c r="D143" s="183" t="s">
        <v>538</v>
      </c>
      <c r="E143" s="183" t="s">
        <v>495</v>
      </c>
      <c r="F143" s="183" t="s">
        <v>789</v>
      </c>
      <c r="H143" s="183" t="s">
        <v>483</v>
      </c>
      <c r="I143" s="183" t="s">
        <v>511</v>
      </c>
      <c r="J143" s="183" t="s">
        <v>480</v>
      </c>
      <c r="K143" s="183" t="s">
        <v>540</v>
      </c>
    </row>
    <row r="144" spans="4:11" x14ac:dyDescent="0.25">
      <c r="D144" s="183" t="s">
        <v>538</v>
      </c>
      <c r="E144" s="183" t="s">
        <v>499</v>
      </c>
      <c r="F144" s="183" t="s">
        <v>575</v>
      </c>
      <c r="H144" s="183" t="s">
        <v>483</v>
      </c>
      <c r="I144" s="183" t="s">
        <v>511</v>
      </c>
      <c r="J144" s="183" t="s">
        <v>483</v>
      </c>
      <c r="K144" s="183" t="s">
        <v>790</v>
      </c>
    </row>
    <row r="145" spans="4:11" x14ac:dyDescent="0.25">
      <c r="D145" s="183" t="s">
        <v>538</v>
      </c>
      <c r="E145" s="183" t="s">
        <v>503</v>
      </c>
      <c r="F145" s="183" t="s">
        <v>791</v>
      </c>
      <c r="H145" s="183" t="s">
        <v>483</v>
      </c>
      <c r="I145" s="183" t="s">
        <v>511</v>
      </c>
      <c r="J145" s="183" t="s">
        <v>487</v>
      </c>
      <c r="K145" s="183" t="s">
        <v>792</v>
      </c>
    </row>
    <row r="146" spans="4:11" x14ac:dyDescent="0.25">
      <c r="D146" s="183" t="s">
        <v>542</v>
      </c>
      <c r="E146" s="183" t="s">
        <v>480</v>
      </c>
      <c r="F146" s="183" t="s">
        <v>793</v>
      </c>
      <c r="H146" s="183" t="s">
        <v>483</v>
      </c>
      <c r="I146" s="183" t="s">
        <v>511</v>
      </c>
      <c r="J146" s="183" t="s">
        <v>491</v>
      </c>
      <c r="K146" s="183" t="s">
        <v>794</v>
      </c>
    </row>
    <row r="147" spans="4:11" x14ac:dyDescent="0.25">
      <c r="D147" s="183" t="s">
        <v>542</v>
      </c>
      <c r="E147" s="183" t="s">
        <v>483</v>
      </c>
      <c r="F147" s="183" t="s">
        <v>795</v>
      </c>
      <c r="H147" s="183" t="s">
        <v>483</v>
      </c>
      <c r="I147" s="183" t="s">
        <v>511</v>
      </c>
      <c r="J147" s="183" t="s">
        <v>495</v>
      </c>
      <c r="K147" s="183" t="s">
        <v>796</v>
      </c>
    </row>
    <row r="148" spans="4:11" x14ac:dyDescent="0.25">
      <c r="D148" s="183" t="s">
        <v>542</v>
      </c>
      <c r="E148" s="183" t="s">
        <v>487</v>
      </c>
      <c r="F148" s="183" t="s">
        <v>797</v>
      </c>
      <c r="H148" s="183" t="s">
        <v>483</v>
      </c>
      <c r="I148" s="183" t="s">
        <v>511</v>
      </c>
      <c r="J148" s="183" t="s">
        <v>499</v>
      </c>
      <c r="K148" s="183" t="s">
        <v>798</v>
      </c>
    </row>
    <row r="149" spans="4:11" x14ac:dyDescent="0.25">
      <c r="D149" s="183" t="s">
        <v>546</v>
      </c>
      <c r="E149" s="183" t="s">
        <v>480</v>
      </c>
      <c r="F149" s="183" t="s">
        <v>799</v>
      </c>
      <c r="H149" s="183" t="s">
        <v>483</v>
      </c>
      <c r="I149" s="183" t="s">
        <v>511</v>
      </c>
      <c r="J149" s="183" t="s">
        <v>503</v>
      </c>
      <c r="K149" s="183" t="s">
        <v>800</v>
      </c>
    </row>
    <row r="150" spans="4:11" x14ac:dyDescent="0.25">
      <c r="D150" s="183" t="s">
        <v>546</v>
      </c>
      <c r="E150" s="183" t="s">
        <v>483</v>
      </c>
      <c r="F150" s="183" t="s">
        <v>801</v>
      </c>
      <c r="H150" s="183" t="s">
        <v>483</v>
      </c>
      <c r="I150" s="183" t="s">
        <v>515</v>
      </c>
      <c r="J150" s="183" t="s">
        <v>480</v>
      </c>
      <c r="K150" s="183" t="s">
        <v>544</v>
      </c>
    </row>
    <row r="151" spans="4:11" x14ac:dyDescent="0.25">
      <c r="D151" s="183" t="s">
        <v>546</v>
      </c>
      <c r="E151" s="183" t="s">
        <v>487</v>
      </c>
      <c r="F151" s="183" t="s">
        <v>802</v>
      </c>
      <c r="H151" s="183" t="s">
        <v>483</v>
      </c>
      <c r="I151" s="183" t="s">
        <v>515</v>
      </c>
      <c r="J151" s="183" t="s">
        <v>483</v>
      </c>
      <c r="K151" s="183" t="s">
        <v>803</v>
      </c>
    </row>
    <row r="152" spans="4:11" x14ac:dyDescent="0.25">
      <c r="D152" s="183" t="s">
        <v>550</v>
      </c>
      <c r="E152" s="183" t="s">
        <v>480</v>
      </c>
      <c r="F152" s="183" t="s">
        <v>551</v>
      </c>
      <c r="H152" s="183" t="s">
        <v>483</v>
      </c>
      <c r="I152" s="183" t="s">
        <v>515</v>
      </c>
      <c r="J152" s="183" t="s">
        <v>487</v>
      </c>
      <c r="K152" s="183" t="s">
        <v>804</v>
      </c>
    </row>
    <row r="153" spans="4:11" x14ac:dyDescent="0.25">
      <c r="D153" s="183" t="s">
        <v>550</v>
      </c>
      <c r="E153" s="183" t="s">
        <v>483</v>
      </c>
      <c r="F153" s="183" t="s">
        <v>805</v>
      </c>
      <c r="H153" s="183" t="s">
        <v>483</v>
      </c>
      <c r="I153" s="183" t="s">
        <v>515</v>
      </c>
      <c r="J153" s="183" t="s">
        <v>491</v>
      </c>
      <c r="K153" s="183" t="s">
        <v>806</v>
      </c>
    </row>
    <row r="154" spans="4:11" x14ac:dyDescent="0.25">
      <c r="D154" s="183" t="s">
        <v>550</v>
      </c>
      <c r="E154" s="183" t="s">
        <v>487</v>
      </c>
      <c r="F154" s="183" t="s">
        <v>807</v>
      </c>
      <c r="H154" s="183" t="s">
        <v>483</v>
      </c>
      <c r="I154" s="183" t="s">
        <v>515</v>
      </c>
      <c r="J154" s="183" t="s">
        <v>495</v>
      </c>
      <c r="K154" s="183" t="s">
        <v>808</v>
      </c>
    </row>
    <row r="155" spans="4:11" x14ac:dyDescent="0.25">
      <c r="D155" s="183" t="s">
        <v>554</v>
      </c>
      <c r="E155" s="183" t="s">
        <v>480</v>
      </c>
      <c r="F155" s="183" t="s">
        <v>555</v>
      </c>
      <c r="H155" s="183" t="s">
        <v>483</v>
      </c>
      <c r="I155" s="183" t="s">
        <v>515</v>
      </c>
      <c r="J155" s="183" t="s">
        <v>499</v>
      </c>
      <c r="K155" s="183" t="s">
        <v>809</v>
      </c>
    </row>
    <row r="156" spans="4:11" x14ac:dyDescent="0.25">
      <c r="D156" s="183" t="s">
        <v>554</v>
      </c>
      <c r="E156" s="183" t="s">
        <v>483</v>
      </c>
      <c r="F156" s="183" t="s">
        <v>810</v>
      </c>
      <c r="H156" s="183" t="s">
        <v>483</v>
      </c>
      <c r="I156" s="183" t="s">
        <v>515</v>
      </c>
      <c r="J156" s="183" t="s">
        <v>503</v>
      </c>
      <c r="K156" s="183" t="s">
        <v>811</v>
      </c>
    </row>
    <row r="157" spans="4:11" x14ac:dyDescent="0.25">
      <c r="D157" s="183" t="s">
        <v>554</v>
      </c>
      <c r="E157" s="183" t="s">
        <v>487</v>
      </c>
      <c r="F157" s="183" t="s">
        <v>812</v>
      </c>
      <c r="H157" s="183" t="s">
        <v>483</v>
      </c>
      <c r="I157" s="183" t="s">
        <v>515</v>
      </c>
      <c r="J157" s="183" t="s">
        <v>507</v>
      </c>
      <c r="K157" s="183" t="s">
        <v>813</v>
      </c>
    </row>
    <row r="158" spans="4:11" x14ac:dyDescent="0.25">
      <c r="D158" s="183" t="s">
        <v>554</v>
      </c>
      <c r="E158" s="183" t="s">
        <v>491</v>
      </c>
      <c r="F158" s="183" t="s">
        <v>814</v>
      </c>
      <c r="H158" s="183" t="s">
        <v>483</v>
      </c>
      <c r="I158" s="183" t="s">
        <v>515</v>
      </c>
      <c r="J158" s="183" t="s">
        <v>511</v>
      </c>
      <c r="K158" s="183" t="s">
        <v>815</v>
      </c>
    </row>
    <row r="159" spans="4:11" x14ac:dyDescent="0.25">
      <c r="D159" s="183" t="s">
        <v>554</v>
      </c>
      <c r="E159" s="183" t="s">
        <v>495</v>
      </c>
      <c r="F159" s="183" t="s">
        <v>816</v>
      </c>
      <c r="H159" s="183" t="s">
        <v>483</v>
      </c>
      <c r="I159" s="183" t="s">
        <v>515</v>
      </c>
      <c r="J159" s="183" t="s">
        <v>515</v>
      </c>
      <c r="K159" s="183" t="s">
        <v>817</v>
      </c>
    </row>
    <row r="160" spans="4:11" x14ac:dyDescent="0.25">
      <c r="D160" s="183" t="s">
        <v>554</v>
      </c>
      <c r="E160" s="183" t="s">
        <v>499</v>
      </c>
      <c r="F160" s="183" t="s">
        <v>818</v>
      </c>
      <c r="H160" s="183" t="s">
        <v>483</v>
      </c>
      <c r="I160" s="183" t="s">
        <v>515</v>
      </c>
      <c r="J160" s="183" t="s">
        <v>519</v>
      </c>
      <c r="K160" s="183" t="s">
        <v>819</v>
      </c>
    </row>
    <row r="161" spans="4:11" x14ac:dyDescent="0.25">
      <c r="D161" s="183" t="s">
        <v>554</v>
      </c>
      <c r="E161" s="183" t="s">
        <v>503</v>
      </c>
      <c r="F161" s="183" t="s">
        <v>820</v>
      </c>
      <c r="H161" s="183" t="s">
        <v>483</v>
      </c>
      <c r="I161" s="183" t="s">
        <v>515</v>
      </c>
      <c r="J161" s="183" t="s">
        <v>522</v>
      </c>
      <c r="K161" s="183" t="s">
        <v>821</v>
      </c>
    </row>
    <row r="162" spans="4:11" x14ac:dyDescent="0.25">
      <c r="D162" s="183" t="s">
        <v>554</v>
      </c>
      <c r="E162" s="183" t="s">
        <v>507</v>
      </c>
      <c r="F162" s="183" t="s">
        <v>822</v>
      </c>
      <c r="H162" s="183" t="s">
        <v>483</v>
      </c>
      <c r="I162" s="183" t="s">
        <v>515</v>
      </c>
      <c r="J162" s="183" t="s">
        <v>526</v>
      </c>
      <c r="K162" s="183" t="s">
        <v>823</v>
      </c>
    </row>
    <row r="163" spans="4:11" x14ac:dyDescent="0.25">
      <c r="D163" s="183" t="s">
        <v>558</v>
      </c>
      <c r="E163" s="183" t="s">
        <v>480</v>
      </c>
      <c r="F163" s="183" t="s">
        <v>559</v>
      </c>
      <c r="H163" s="183" t="s">
        <v>483</v>
      </c>
      <c r="I163" s="183" t="s">
        <v>515</v>
      </c>
      <c r="J163" s="183" t="s">
        <v>530</v>
      </c>
      <c r="K163" s="183" t="s">
        <v>649</v>
      </c>
    </row>
    <row r="164" spans="4:11" x14ac:dyDescent="0.25">
      <c r="D164" s="183" t="s">
        <v>558</v>
      </c>
      <c r="E164" s="183" t="s">
        <v>483</v>
      </c>
      <c r="F164" s="183" t="s">
        <v>824</v>
      </c>
      <c r="H164" s="183" t="s">
        <v>483</v>
      </c>
      <c r="I164" s="183" t="s">
        <v>515</v>
      </c>
      <c r="J164" s="183" t="s">
        <v>534</v>
      </c>
      <c r="K164" s="183" t="s">
        <v>825</v>
      </c>
    </row>
    <row r="165" spans="4:11" x14ac:dyDescent="0.25">
      <c r="D165" s="183" t="s">
        <v>558</v>
      </c>
      <c r="E165" s="183" t="s">
        <v>487</v>
      </c>
      <c r="F165" s="183" t="s">
        <v>826</v>
      </c>
      <c r="H165" s="183" t="s">
        <v>483</v>
      </c>
      <c r="I165" s="183" t="s">
        <v>515</v>
      </c>
      <c r="J165" s="183" t="s">
        <v>538</v>
      </c>
      <c r="K165" s="183" t="s">
        <v>827</v>
      </c>
    </row>
    <row r="166" spans="4:11" x14ac:dyDescent="0.25">
      <c r="D166" s="183" t="s">
        <v>558</v>
      </c>
      <c r="E166" s="183" t="s">
        <v>491</v>
      </c>
      <c r="F166" s="183" t="s">
        <v>828</v>
      </c>
      <c r="H166" s="183" t="s">
        <v>483</v>
      </c>
      <c r="I166" s="183" t="s">
        <v>519</v>
      </c>
      <c r="J166" s="183" t="s">
        <v>480</v>
      </c>
      <c r="K166" s="183" t="s">
        <v>548</v>
      </c>
    </row>
    <row r="167" spans="4:11" x14ac:dyDescent="0.25">
      <c r="D167" s="183" t="s">
        <v>558</v>
      </c>
      <c r="E167" s="183" t="s">
        <v>495</v>
      </c>
      <c r="F167" s="183" t="s">
        <v>829</v>
      </c>
      <c r="H167" s="183" t="s">
        <v>483</v>
      </c>
      <c r="I167" s="183" t="s">
        <v>519</v>
      </c>
      <c r="J167" s="183" t="s">
        <v>483</v>
      </c>
      <c r="K167" s="183" t="s">
        <v>830</v>
      </c>
    </row>
    <row r="168" spans="4:11" x14ac:dyDescent="0.25">
      <c r="D168" s="183" t="s">
        <v>558</v>
      </c>
      <c r="E168" s="183" t="s">
        <v>499</v>
      </c>
      <c r="F168" s="183" t="s">
        <v>831</v>
      </c>
      <c r="H168" s="183" t="s">
        <v>483</v>
      </c>
      <c r="I168" s="183" t="s">
        <v>519</v>
      </c>
      <c r="J168" s="183" t="s">
        <v>487</v>
      </c>
      <c r="K168" s="183" t="s">
        <v>832</v>
      </c>
    </row>
    <row r="169" spans="4:11" x14ac:dyDescent="0.25">
      <c r="D169" s="183" t="s">
        <v>558</v>
      </c>
      <c r="E169" s="183" t="s">
        <v>503</v>
      </c>
      <c r="F169" s="183" t="s">
        <v>833</v>
      </c>
      <c r="H169" s="183" t="s">
        <v>483</v>
      </c>
      <c r="I169" s="183" t="s">
        <v>519</v>
      </c>
      <c r="J169" s="183" t="s">
        <v>491</v>
      </c>
      <c r="K169" s="183" t="s">
        <v>834</v>
      </c>
    </row>
    <row r="170" spans="4:11" x14ac:dyDescent="0.25">
      <c r="D170" s="183" t="s">
        <v>558</v>
      </c>
      <c r="E170" s="183" t="s">
        <v>507</v>
      </c>
      <c r="F170" s="183" t="s">
        <v>835</v>
      </c>
      <c r="H170" s="183" t="s">
        <v>483</v>
      </c>
      <c r="I170" s="183" t="s">
        <v>519</v>
      </c>
      <c r="J170" s="183" t="s">
        <v>495</v>
      </c>
      <c r="K170" s="183" t="s">
        <v>836</v>
      </c>
    </row>
    <row r="171" spans="4:11" x14ac:dyDescent="0.25">
      <c r="D171" s="183" t="s">
        <v>558</v>
      </c>
      <c r="E171" s="183" t="s">
        <v>511</v>
      </c>
      <c r="F171" s="183" t="s">
        <v>837</v>
      </c>
      <c r="H171" s="183" t="s">
        <v>483</v>
      </c>
      <c r="I171" s="183" t="s">
        <v>522</v>
      </c>
      <c r="J171" s="183" t="s">
        <v>480</v>
      </c>
      <c r="K171" s="183" t="s">
        <v>838</v>
      </c>
    </row>
    <row r="172" spans="4:11" x14ac:dyDescent="0.25">
      <c r="D172" s="183" t="s">
        <v>558</v>
      </c>
      <c r="E172" s="183" t="s">
        <v>515</v>
      </c>
      <c r="F172" s="183" t="s">
        <v>839</v>
      </c>
      <c r="H172" s="183" t="s">
        <v>483</v>
      </c>
      <c r="I172" s="183" t="s">
        <v>522</v>
      </c>
      <c r="J172" s="183" t="s">
        <v>483</v>
      </c>
      <c r="K172" s="183" t="s">
        <v>745</v>
      </c>
    </row>
    <row r="173" spans="4:11" x14ac:dyDescent="0.25">
      <c r="D173" s="183" t="s">
        <v>558</v>
      </c>
      <c r="E173" s="183" t="s">
        <v>519</v>
      </c>
      <c r="F173" s="183" t="s">
        <v>840</v>
      </c>
      <c r="H173" s="183" t="s">
        <v>483</v>
      </c>
      <c r="I173" s="183" t="s">
        <v>522</v>
      </c>
      <c r="J173" s="183" t="s">
        <v>487</v>
      </c>
      <c r="K173" s="183" t="s">
        <v>841</v>
      </c>
    </row>
    <row r="174" spans="4:11" x14ac:dyDescent="0.25">
      <c r="D174" s="183" t="s">
        <v>558</v>
      </c>
      <c r="E174" s="183" t="s">
        <v>522</v>
      </c>
      <c r="F174" s="183" t="s">
        <v>842</v>
      </c>
      <c r="H174" s="183" t="s">
        <v>483</v>
      </c>
      <c r="I174" s="183" t="s">
        <v>522</v>
      </c>
      <c r="J174" s="183" t="s">
        <v>491</v>
      </c>
      <c r="K174" s="183" t="s">
        <v>552</v>
      </c>
    </row>
    <row r="175" spans="4:11" x14ac:dyDescent="0.25">
      <c r="D175" s="183" t="s">
        <v>558</v>
      </c>
      <c r="E175" s="183" t="s">
        <v>526</v>
      </c>
      <c r="F175" s="183" t="s">
        <v>843</v>
      </c>
      <c r="H175" s="183" t="s">
        <v>483</v>
      </c>
      <c r="I175" s="183" t="s">
        <v>522</v>
      </c>
      <c r="J175" s="183" t="s">
        <v>495</v>
      </c>
      <c r="K175" s="183" t="s">
        <v>844</v>
      </c>
    </row>
    <row r="176" spans="4:11" x14ac:dyDescent="0.25">
      <c r="D176" s="183" t="s">
        <v>562</v>
      </c>
      <c r="E176" s="183" t="s">
        <v>480</v>
      </c>
      <c r="F176" s="183" t="s">
        <v>845</v>
      </c>
      <c r="H176" s="183" t="s">
        <v>483</v>
      </c>
      <c r="I176" s="183" t="s">
        <v>522</v>
      </c>
      <c r="J176" s="183" t="s">
        <v>499</v>
      </c>
      <c r="K176" s="183" t="s">
        <v>846</v>
      </c>
    </row>
    <row r="177" spans="4:11" x14ac:dyDescent="0.25">
      <c r="D177" s="183" t="s">
        <v>562</v>
      </c>
      <c r="E177" s="183" t="s">
        <v>483</v>
      </c>
      <c r="F177" s="183" t="s">
        <v>847</v>
      </c>
      <c r="H177" s="183" t="s">
        <v>483</v>
      </c>
      <c r="I177" s="183" t="s">
        <v>522</v>
      </c>
      <c r="J177" s="183" t="s">
        <v>503</v>
      </c>
      <c r="K177" s="183" t="s">
        <v>848</v>
      </c>
    </row>
    <row r="178" spans="4:11" x14ac:dyDescent="0.25">
      <c r="D178" s="183" t="s">
        <v>562</v>
      </c>
      <c r="E178" s="183" t="s">
        <v>487</v>
      </c>
      <c r="F178" s="183" t="s">
        <v>849</v>
      </c>
      <c r="H178" s="183" t="s">
        <v>483</v>
      </c>
      <c r="I178" s="183" t="s">
        <v>522</v>
      </c>
      <c r="J178" s="183" t="s">
        <v>507</v>
      </c>
      <c r="K178" s="183" t="s">
        <v>655</v>
      </c>
    </row>
    <row r="179" spans="4:11" x14ac:dyDescent="0.25">
      <c r="D179" s="183" t="s">
        <v>562</v>
      </c>
      <c r="E179" s="183" t="s">
        <v>491</v>
      </c>
      <c r="F179" s="183" t="s">
        <v>850</v>
      </c>
      <c r="H179" s="183" t="s">
        <v>483</v>
      </c>
      <c r="I179" s="183" t="s">
        <v>522</v>
      </c>
      <c r="J179" s="183" t="s">
        <v>511</v>
      </c>
      <c r="K179" s="183" t="s">
        <v>851</v>
      </c>
    </row>
    <row r="180" spans="4:11" x14ac:dyDescent="0.25">
      <c r="D180" s="183" t="s">
        <v>562</v>
      </c>
      <c r="E180" s="183" t="s">
        <v>495</v>
      </c>
      <c r="F180" s="183" t="s">
        <v>852</v>
      </c>
      <c r="H180" s="183" t="s">
        <v>483</v>
      </c>
      <c r="I180" s="183" t="s">
        <v>522</v>
      </c>
      <c r="J180" s="183" t="s">
        <v>515</v>
      </c>
      <c r="K180" s="183" t="s">
        <v>853</v>
      </c>
    </row>
    <row r="181" spans="4:11" x14ac:dyDescent="0.25">
      <c r="D181" s="183" t="s">
        <v>562</v>
      </c>
      <c r="E181" s="183" t="s">
        <v>499</v>
      </c>
      <c r="F181" s="183" t="s">
        <v>854</v>
      </c>
      <c r="H181" s="183" t="s">
        <v>483</v>
      </c>
      <c r="I181" s="183" t="s">
        <v>526</v>
      </c>
      <c r="J181" s="183" t="s">
        <v>480</v>
      </c>
      <c r="K181" s="183" t="s">
        <v>855</v>
      </c>
    </row>
    <row r="182" spans="4:11" x14ac:dyDescent="0.25">
      <c r="D182" s="183" t="s">
        <v>562</v>
      </c>
      <c r="E182" s="183" t="s">
        <v>503</v>
      </c>
      <c r="F182" s="183" t="s">
        <v>856</v>
      </c>
      <c r="H182" s="183" t="s">
        <v>483</v>
      </c>
      <c r="I182" s="183" t="s">
        <v>526</v>
      </c>
      <c r="J182" s="183" t="s">
        <v>483</v>
      </c>
      <c r="K182" s="183" t="s">
        <v>857</v>
      </c>
    </row>
    <row r="183" spans="4:11" x14ac:dyDescent="0.25">
      <c r="D183" s="183" t="s">
        <v>562</v>
      </c>
      <c r="E183" s="183" t="s">
        <v>507</v>
      </c>
      <c r="F183" s="183" t="s">
        <v>858</v>
      </c>
      <c r="H183" s="183" t="s">
        <v>483</v>
      </c>
      <c r="I183" s="183" t="s">
        <v>526</v>
      </c>
      <c r="J183" s="183" t="s">
        <v>487</v>
      </c>
      <c r="K183" s="183" t="s">
        <v>859</v>
      </c>
    </row>
    <row r="184" spans="4:11" x14ac:dyDescent="0.25">
      <c r="D184" s="183" t="s">
        <v>562</v>
      </c>
      <c r="E184" s="183" t="s">
        <v>511</v>
      </c>
      <c r="F184" s="183" t="s">
        <v>563</v>
      </c>
      <c r="H184" s="183" t="s">
        <v>483</v>
      </c>
      <c r="I184" s="183" t="s">
        <v>526</v>
      </c>
      <c r="J184" s="183" t="s">
        <v>491</v>
      </c>
      <c r="K184" s="183" t="s">
        <v>860</v>
      </c>
    </row>
    <row r="185" spans="4:11" x14ac:dyDescent="0.25">
      <c r="D185" s="183" t="s">
        <v>562</v>
      </c>
      <c r="E185" s="183" t="s">
        <v>515</v>
      </c>
      <c r="F185" s="183" t="s">
        <v>861</v>
      </c>
      <c r="H185" s="183" t="s">
        <v>483</v>
      </c>
      <c r="I185" s="183" t="s">
        <v>526</v>
      </c>
      <c r="J185" s="183" t="s">
        <v>495</v>
      </c>
      <c r="K185" s="183" t="s">
        <v>862</v>
      </c>
    </row>
    <row r="186" spans="4:11" x14ac:dyDescent="0.25">
      <c r="D186" s="183" t="s">
        <v>566</v>
      </c>
      <c r="E186" s="183" t="s">
        <v>480</v>
      </c>
      <c r="F186" s="183" t="s">
        <v>567</v>
      </c>
      <c r="H186" s="183" t="s">
        <v>483</v>
      </c>
      <c r="I186" s="183" t="s">
        <v>526</v>
      </c>
      <c r="J186" s="183" t="s">
        <v>499</v>
      </c>
      <c r="K186" s="183" t="s">
        <v>863</v>
      </c>
    </row>
    <row r="187" spans="4:11" x14ac:dyDescent="0.25">
      <c r="D187" s="183" t="s">
        <v>566</v>
      </c>
      <c r="E187" s="183" t="s">
        <v>483</v>
      </c>
      <c r="F187" s="183" t="s">
        <v>864</v>
      </c>
      <c r="H187" s="183" t="s">
        <v>483</v>
      </c>
      <c r="I187" s="183" t="s">
        <v>526</v>
      </c>
      <c r="J187" s="183" t="s">
        <v>503</v>
      </c>
      <c r="K187" s="183" t="s">
        <v>865</v>
      </c>
    </row>
    <row r="188" spans="4:11" x14ac:dyDescent="0.25">
      <c r="D188" s="183" t="s">
        <v>566</v>
      </c>
      <c r="E188" s="183" t="s">
        <v>487</v>
      </c>
      <c r="F188" s="183" t="s">
        <v>866</v>
      </c>
      <c r="H188" s="183" t="s">
        <v>483</v>
      </c>
      <c r="I188" s="183" t="s">
        <v>526</v>
      </c>
      <c r="J188" s="183" t="s">
        <v>507</v>
      </c>
      <c r="K188" s="183" t="s">
        <v>867</v>
      </c>
    </row>
    <row r="189" spans="4:11" x14ac:dyDescent="0.25">
      <c r="D189" s="183" t="s">
        <v>566</v>
      </c>
      <c r="E189" s="183" t="s">
        <v>491</v>
      </c>
      <c r="F189" s="183" t="s">
        <v>868</v>
      </c>
      <c r="H189" s="183" t="s">
        <v>483</v>
      </c>
      <c r="I189" s="183" t="s">
        <v>530</v>
      </c>
      <c r="J189" s="183" t="s">
        <v>480</v>
      </c>
      <c r="K189" s="183" t="s">
        <v>560</v>
      </c>
    </row>
    <row r="190" spans="4:11" x14ac:dyDescent="0.25">
      <c r="D190" s="183" t="s">
        <v>570</v>
      </c>
      <c r="E190" s="183" t="s">
        <v>480</v>
      </c>
      <c r="F190" s="183" t="s">
        <v>571</v>
      </c>
      <c r="H190" s="183" t="s">
        <v>483</v>
      </c>
      <c r="I190" s="183" t="s">
        <v>530</v>
      </c>
      <c r="J190" s="183" t="s">
        <v>483</v>
      </c>
      <c r="K190" s="183" t="s">
        <v>869</v>
      </c>
    </row>
    <row r="191" spans="4:11" x14ac:dyDescent="0.25">
      <c r="D191" s="183" t="s">
        <v>570</v>
      </c>
      <c r="E191" s="183" t="s">
        <v>483</v>
      </c>
      <c r="F191" s="183" t="s">
        <v>870</v>
      </c>
      <c r="H191" s="183" t="s">
        <v>483</v>
      </c>
      <c r="I191" s="183" t="s">
        <v>530</v>
      </c>
      <c r="J191" s="183" t="s">
        <v>487</v>
      </c>
      <c r="K191" s="183" t="s">
        <v>871</v>
      </c>
    </row>
    <row r="192" spans="4:11" x14ac:dyDescent="0.25">
      <c r="D192" s="183" t="s">
        <v>570</v>
      </c>
      <c r="E192" s="183" t="s">
        <v>487</v>
      </c>
      <c r="F192" s="183" t="s">
        <v>872</v>
      </c>
      <c r="H192" s="183" t="s">
        <v>483</v>
      </c>
      <c r="I192" s="183" t="s">
        <v>530</v>
      </c>
      <c r="J192" s="183" t="s">
        <v>491</v>
      </c>
      <c r="K192" s="183" t="s">
        <v>873</v>
      </c>
    </row>
    <row r="193" spans="4:11" x14ac:dyDescent="0.25">
      <c r="D193" s="183" t="s">
        <v>574</v>
      </c>
      <c r="E193" s="183" t="s">
        <v>480</v>
      </c>
      <c r="F193" s="183" t="s">
        <v>874</v>
      </c>
      <c r="H193" s="183" t="s">
        <v>483</v>
      </c>
      <c r="I193" s="183" t="s">
        <v>530</v>
      </c>
      <c r="J193" s="183" t="s">
        <v>495</v>
      </c>
      <c r="K193" s="183" t="s">
        <v>875</v>
      </c>
    </row>
    <row r="194" spans="4:11" x14ac:dyDescent="0.25">
      <c r="D194" s="183" t="s">
        <v>574</v>
      </c>
      <c r="E194" s="183" t="s">
        <v>483</v>
      </c>
      <c r="F194" s="183" t="s">
        <v>876</v>
      </c>
      <c r="H194" s="183" t="s">
        <v>483</v>
      </c>
      <c r="I194" s="183" t="s">
        <v>530</v>
      </c>
      <c r="J194" s="183" t="s">
        <v>499</v>
      </c>
      <c r="K194" s="183" t="s">
        <v>877</v>
      </c>
    </row>
    <row r="195" spans="4:11" x14ac:dyDescent="0.25">
      <c r="D195" s="183" t="s">
        <v>574</v>
      </c>
      <c r="E195" s="183" t="s">
        <v>487</v>
      </c>
      <c r="F195" s="183" t="s">
        <v>878</v>
      </c>
      <c r="H195" s="183" t="s">
        <v>483</v>
      </c>
      <c r="I195" s="183" t="s">
        <v>530</v>
      </c>
      <c r="J195" s="183" t="s">
        <v>503</v>
      </c>
      <c r="K195" s="183" t="s">
        <v>879</v>
      </c>
    </row>
    <row r="196" spans="4:11" x14ac:dyDescent="0.25">
      <c r="D196" s="183" t="s">
        <v>574</v>
      </c>
      <c r="E196" s="183" t="s">
        <v>491</v>
      </c>
      <c r="F196" s="183" t="s">
        <v>880</v>
      </c>
      <c r="H196" s="183" t="s">
        <v>483</v>
      </c>
      <c r="I196" s="183" t="s">
        <v>530</v>
      </c>
      <c r="J196" s="183" t="s">
        <v>507</v>
      </c>
      <c r="K196" s="183" t="s">
        <v>881</v>
      </c>
    </row>
    <row r="197" spans="4:11" x14ac:dyDescent="0.25">
      <c r="H197" s="183" t="s">
        <v>483</v>
      </c>
      <c r="I197" s="183" t="s">
        <v>530</v>
      </c>
      <c r="J197" s="183" t="s">
        <v>511</v>
      </c>
      <c r="K197" s="183" t="s">
        <v>882</v>
      </c>
    </row>
    <row r="198" spans="4:11" x14ac:dyDescent="0.25">
      <c r="H198" s="183" t="s">
        <v>483</v>
      </c>
      <c r="I198" s="183" t="s">
        <v>530</v>
      </c>
      <c r="J198" s="183" t="s">
        <v>515</v>
      </c>
      <c r="K198" s="183" t="s">
        <v>883</v>
      </c>
    </row>
    <row r="199" spans="4:11" x14ac:dyDescent="0.25">
      <c r="H199" s="183" t="s">
        <v>483</v>
      </c>
      <c r="I199" s="183" t="s">
        <v>534</v>
      </c>
      <c r="J199" s="183" t="s">
        <v>480</v>
      </c>
      <c r="K199" s="183" t="s">
        <v>884</v>
      </c>
    </row>
    <row r="200" spans="4:11" x14ac:dyDescent="0.25">
      <c r="H200" s="183" t="s">
        <v>483</v>
      </c>
      <c r="I200" s="183" t="s">
        <v>534</v>
      </c>
      <c r="J200" s="183" t="s">
        <v>483</v>
      </c>
      <c r="K200" s="183" t="s">
        <v>524</v>
      </c>
    </row>
    <row r="201" spans="4:11" x14ac:dyDescent="0.25">
      <c r="H201" s="183" t="s">
        <v>483</v>
      </c>
      <c r="I201" s="183" t="s">
        <v>534</v>
      </c>
      <c r="J201" s="183" t="s">
        <v>487</v>
      </c>
      <c r="K201" s="183" t="s">
        <v>885</v>
      </c>
    </row>
    <row r="202" spans="4:11" x14ac:dyDescent="0.25">
      <c r="H202" s="183" t="s">
        <v>483</v>
      </c>
      <c r="I202" s="183" t="s">
        <v>534</v>
      </c>
      <c r="J202" s="183" t="s">
        <v>491</v>
      </c>
      <c r="K202" s="183" t="s">
        <v>886</v>
      </c>
    </row>
    <row r="203" spans="4:11" x14ac:dyDescent="0.25">
      <c r="H203" s="183" t="s">
        <v>483</v>
      </c>
      <c r="I203" s="183" t="s">
        <v>534</v>
      </c>
      <c r="J203" s="183" t="s">
        <v>495</v>
      </c>
      <c r="K203" s="183" t="s">
        <v>887</v>
      </c>
    </row>
    <row r="204" spans="4:11" x14ac:dyDescent="0.25">
      <c r="H204" s="183" t="s">
        <v>483</v>
      </c>
      <c r="I204" s="183" t="s">
        <v>534</v>
      </c>
      <c r="J204" s="183" t="s">
        <v>499</v>
      </c>
      <c r="K204" s="183" t="s">
        <v>888</v>
      </c>
    </row>
    <row r="205" spans="4:11" x14ac:dyDescent="0.25">
      <c r="H205" s="183" t="s">
        <v>483</v>
      </c>
      <c r="I205" s="183" t="s">
        <v>534</v>
      </c>
      <c r="J205" s="183" t="s">
        <v>503</v>
      </c>
      <c r="K205" s="183" t="s">
        <v>889</v>
      </c>
    </row>
    <row r="206" spans="4:11" x14ac:dyDescent="0.25">
      <c r="H206" s="183" t="s">
        <v>483</v>
      </c>
      <c r="I206" s="183" t="s">
        <v>534</v>
      </c>
      <c r="J206" s="183" t="s">
        <v>507</v>
      </c>
      <c r="K206" s="183" t="s">
        <v>564</v>
      </c>
    </row>
    <row r="207" spans="4:11" x14ac:dyDescent="0.25">
      <c r="H207" s="183" t="s">
        <v>483</v>
      </c>
      <c r="I207" s="183" t="s">
        <v>534</v>
      </c>
      <c r="J207" s="183" t="s">
        <v>511</v>
      </c>
      <c r="K207" s="183" t="s">
        <v>701</v>
      </c>
    </row>
    <row r="208" spans="4:11" x14ac:dyDescent="0.25">
      <c r="H208" s="183" t="s">
        <v>483</v>
      </c>
      <c r="I208" s="183" t="s">
        <v>534</v>
      </c>
      <c r="J208" s="183" t="s">
        <v>515</v>
      </c>
      <c r="K208" s="183" t="s">
        <v>670</v>
      </c>
    </row>
    <row r="209" spans="8:11" x14ac:dyDescent="0.25">
      <c r="H209" s="183" t="s">
        <v>483</v>
      </c>
      <c r="I209" s="183" t="s">
        <v>534</v>
      </c>
      <c r="J209" s="183" t="s">
        <v>519</v>
      </c>
      <c r="K209" s="183" t="s">
        <v>890</v>
      </c>
    </row>
    <row r="210" spans="8:11" x14ac:dyDescent="0.25">
      <c r="H210" s="183" t="s">
        <v>483</v>
      </c>
      <c r="I210" s="183" t="s">
        <v>538</v>
      </c>
      <c r="J210" s="183" t="s">
        <v>480</v>
      </c>
      <c r="K210" s="183" t="s">
        <v>568</v>
      </c>
    </row>
    <row r="211" spans="8:11" x14ac:dyDescent="0.25">
      <c r="H211" s="183" t="s">
        <v>483</v>
      </c>
      <c r="I211" s="183" t="s">
        <v>538</v>
      </c>
      <c r="J211" s="183" t="s">
        <v>483</v>
      </c>
      <c r="K211" s="183" t="s">
        <v>891</v>
      </c>
    </row>
    <row r="212" spans="8:11" x14ac:dyDescent="0.25">
      <c r="H212" s="183" t="s">
        <v>483</v>
      </c>
      <c r="I212" s="183" t="s">
        <v>538</v>
      </c>
      <c r="J212" s="183" t="s">
        <v>487</v>
      </c>
      <c r="K212" s="183" t="s">
        <v>892</v>
      </c>
    </row>
    <row r="213" spans="8:11" x14ac:dyDescent="0.25">
      <c r="H213" s="183" t="s">
        <v>483</v>
      </c>
      <c r="I213" s="183" t="s">
        <v>538</v>
      </c>
      <c r="J213" s="183" t="s">
        <v>491</v>
      </c>
      <c r="K213" s="183" t="s">
        <v>893</v>
      </c>
    </row>
    <row r="214" spans="8:11" x14ac:dyDescent="0.25">
      <c r="H214" s="183" t="s">
        <v>483</v>
      </c>
      <c r="I214" s="183" t="s">
        <v>542</v>
      </c>
      <c r="J214" s="183" t="s">
        <v>480</v>
      </c>
      <c r="K214" s="183" t="s">
        <v>572</v>
      </c>
    </row>
    <row r="215" spans="8:11" x14ac:dyDescent="0.25">
      <c r="H215" s="183" t="s">
        <v>483</v>
      </c>
      <c r="I215" s="183" t="s">
        <v>542</v>
      </c>
      <c r="J215" s="183" t="s">
        <v>483</v>
      </c>
      <c r="K215" s="183" t="s">
        <v>894</v>
      </c>
    </row>
    <row r="216" spans="8:11" x14ac:dyDescent="0.25">
      <c r="H216" s="183" t="s">
        <v>483</v>
      </c>
      <c r="I216" s="183" t="s">
        <v>542</v>
      </c>
      <c r="J216" s="183" t="s">
        <v>487</v>
      </c>
      <c r="K216" s="183" t="s">
        <v>895</v>
      </c>
    </row>
    <row r="217" spans="8:11" x14ac:dyDescent="0.25">
      <c r="H217" s="183" t="s">
        <v>483</v>
      </c>
      <c r="I217" s="183" t="s">
        <v>542</v>
      </c>
      <c r="J217" s="183" t="s">
        <v>491</v>
      </c>
      <c r="K217" s="183" t="s">
        <v>896</v>
      </c>
    </row>
    <row r="218" spans="8:11" x14ac:dyDescent="0.25">
      <c r="H218" s="183" t="s">
        <v>483</v>
      </c>
      <c r="I218" s="183" t="s">
        <v>542</v>
      </c>
      <c r="J218" s="183" t="s">
        <v>495</v>
      </c>
      <c r="K218" s="183" t="s">
        <v>897</v>
      </c>
    </row>
    <row r="219" spans="8:11" x14ac:dyDescent="0.25">
      <c r="H219" s="183" t="s">
        <v>483</v>
      </c>
      <c r="I219" s="183" t="s">
        <v>542</v>
      </c>
      <c r="J219" s="183" t="s">
        <v>499</v>
      </c>
      <c r="K219" s="183" t="s">
        <v>898</v>
      </c>
    </row>
    <row r="220" spans="8:11" x14ac:dyDescent="0.25">
      <c r="H220" s="183" t="s">
        <v>483</v>
      </c>
      <c r="I220" s="183" t="s">
        <v>542</v>
      </c>
      <c r="J220" s="183" t="s">
        <v>503</v>
      </c>
      <c r="K220" s="183" t="s">
        <v>899</v>
      </c>
    </row>
    <row r="221" spans="8:11" x14ac:dyDescent="0.25">
      <c r="H221" s="183" t="s">
        <v>483</v>
      </c>
      <c r="I221" s="183" t="s">
        <v>542</v>
      </c>
      <c r="J221" s="183" t="s">
        <v>507</v>
      </c>
      <c r="K221" s="183" t="s">
        <v>900</v>
      </c>
    </row>
    <row r="222" spans="8:11" x14ac:dyDescent="0.25">
      <c r="H222" s="183" t="s">
        <v>483</v>
      </c>
      <c r="I222" s="183" t="s">
        <v>542</v>
      </c>
      <c r="J222" s="183" t="s">
        <v>511</v>
      </c>
      <c r="K222" s="183" t="s">
        <v>901</v>
      </c>
    </row>
    <row r="223" spans="8:11" x14ac:dyDescent="0.25">
      <c r="H223" s="183" t="s">
        <v>483</v>
      </c>
      <c r="I223" s="183" t="s">
        <v>542</v>
      </c>
      <c r="J223" s="183" t="s">
        <v>515</v>
      </c>
      <c r="K223" s="183" t="s">
        <v>902</v>
      </c>
    </row>
    <row r="224" spans="8:11" x14ac:dyDescent="0.25">
      <c r="H224" s="183" t="s">
        <v>483</v>
      </c>
      <c r="I224" s="183" t="s">
        <v>546</v>
      </c>
      <c r="J224" s="183" t="s">
        <v>480</v>
      </c>
      <c r="K224" s="183" t="s">
        <v>903</v>
      </c>
    </row>
    <row r="225" spans="8:11" x14ac:dyDescent="0.25">
      <c r="H225" s="183" t="s">
        <v>483</v>
      </c>
      <c r="I225" s="183" t="s">
        <v>546</v>
      </c>
      <c r="J225" s="183" t="s">
        <v>483</v>
      </c>
      <c r="K225" s="183" t="s">
        <v>904</v>
      </c>
    </row>
    <row r="226" spans="8:11" x14ac:dyDescent="0.25">
      <c r="H226" s="183" t="s">
        <v>483</v>
      </c>
      <c r="I226" s="183" t="s">
        <v>546</v>
      </c>
      <c r="J226" s="183" t="s">
        <v>487</v>
      </c>
      <c r="K226" s="183" t="s">
        <v>905</v>
      </c>
    </row>
    <row r="227" spans="8:11" x14ac:dyDescent="0.25">
      <c r="H227" s="183" t="s">
        <v>483</v>
      </c>
      <c r="I227" s="183" t="s">
        <v>546</v>
      </c>
      <c r="J227" s="183" t="s">
        <v>491</v>
      </c>
      <c r="K227" s="183" t="s">
        <v>906</v>
      </c>
    </row>
    <row r="228" spans="8:11" x14ac:dyDescent="0.25">
      <c r="H228" s="183" t="s">
        <v>483</v>
      </c>
      <c r="I228" s="183" t="s">
        <v>546</v>
      </c>
      <c r="J228" s="183" t="s">
        <v>495</v>
      </c>
      <c r="K228" s="183" t="s">
        <v>907</v>
      </c>
    </row>
    <row r="229" spans="8:11" x14ac:dyDescent="0.25">
      <c r="H229" s="183" t="s">
        <v>483</v>
      </c>
      <c r="I229" s="183" t="s">
        <v>546</v>
      </c>
      <c r="J229" s="183" t="s">
        <v>499</v>
      </c>
      <c r="K229" s="183" t="s">
        <v>908</v>
      </c>
    </row>
    <row r="230" spans="8:11" x14ac:dyDescent="0.25">
      <c r="H230" s="183" t="s">
        <v>483</v>
      </c>
      <c r="I230" s="183" t="s">
        <v>546</v>
      </c>
      <c r="J230" s="183" t="s">
        <v>503</v>
      </c>
      <c r="K230" s="183" t="s">
        <v>909</v>
      </c>
    </row>
    <row r="231" spans="8:11" x14ac:dyDescent="0.25">
      <c r="H231" s="183" t="s">
        <v>483</v>
      </c>
      <c r="I231" s="183" t="s">
        <v>546</v>
      </c>
      <c r="J231" s="183" t="s">
        <v>507</v>
      </c>
      <c r="K231" s="183" t="s">
        <v>576</v>
      </c>
    </row>
    <row r="232" spans="8:11" x14ac:dyDescent="0.25">
      <c r="H232" s="183" t="s">
        <v>483</v>
      </c>
      <c r="I232" s="183" t="s">
        <v>546</v>
      </c>
      <c r="J232" s="183" t="s">
        <v>511</v>
      </c>
      <c r="K232" s="183" t="s">
        <v>910</v>
      </c>
    </row>
    <row r="233" spans="8:11" x14ac:dyDescent="0.25">
      <c r="H233" s="183" t="s">
        <v>483</v>
      </c>
      <c r="I233" s="183" t="s">
        <v>550</v>
      </c>
      <c r="J233" s="183" t="s">
        <v>480</v>
      </c>
      <c r="K233" s="183" t="s">
        <v>578</v>
      </c>
    </row>
    <row r="234" spans="8:11" x14ac:dyDescent="0.25">
      <c r="H234" s="183" t="s">
        <v>483</v>
      </c>
      <c r="I234" s="183" t="s">
        <v>550</v>
      </c>
      <c r="J234" s="183" t="s">
        <v>483</v>
      </c>
      <c r="K234" s="183" t="s">
        <v>684</v>
      </c>
    </row>
    <row r="235" spans="8:11" x14ac:dyDescent="0.25">
      <c r="H235" s="183" t="s">
        <v>483</v>
      </c>
      <c r="I235" s="183" t="s">
        <v>550</v>
      </c>
      <c r="J235" s="183" t="s">
        <v>487</v>
      </c>
      <c r="K235" s="183" t="s">
        <v>911</v>
      </c>
    </row>
    <row r="236" spans="8:11" x14ac:dyDescent="0.25">
      <c r="H236" s="183" t="s">
        <v>483</v>
      </c>
      <c r="I236" s="183" t="s">
        <v>550</v>
      </c>
      <c r="J236" s="183" t="s">
        <v>491</v>
      </c>
      <c r="K236" s="183" t="s">
        <v>912</v>
      </c>
    </row>
    <row r="237" spans="8:11" x14ac:dyDescent="0.25">
      <c r="H237" s="183" t="s">
        <v>483</v>
      </c>
      <c r="I237" s="183" t="s">
        <v>550</v>
      </c>
      <c r="J237" s="183" t="s">
        <v>495</v>
      </c>
      <c r="K237" s="183" t="s">
        <v>913</v>
      </c>
    </row>
    <row r="238" spans="8:11" x14ac:dyDescent="0.25">
      <c r="H238" s="183" t="s">
        <v>483</v>
      </c>
      <c r="I238" s="183" t="s">
        <v>550</v>
      </c>
      <c r="J238" s="183" t="s">
        <v>499</v>
      </c>
      <c r="K238" s="183" t="s">
        <v>914</v>
      </c>
    </row>
    <row r="239" spans="8:11" x14ac:dyDescent="0.25">
      <c r="H239" s="183" t="s">
        <v>483</v>
      </c>
      <c r="I239" s="183" t="s">
        <v>550</v>
      </c>
      <c r="J239" s="183" t="s">
        <v>503</v>
      </c>
      <c r="K239" s="183" t="s">
        <v>915</v>
      </c>
    </row>
    <row r="240" spans="8:11" x14ac:dyDescent="0.25">
      <c r="H240" s="183" t="s">
        <v>483</v>
      </c>
      <c r="I240" s="183" t="s">
        <v>550</v>
      </c>
      <c r="J240" s="183" t="s">
        <v>507</v>
      </c>
      <c r="K240" s="183" t="s">
        <v>916</v>
      </c>
    </row>
    <row r="241" spans="8:11" x14ac:dyDescent="0.25">
      <c r="H241" s="183" t="s">
        <v>483</v>
      </c>
      <c r="I241" s="183" t="s">
        <v>550</v>
      </c>
      <c r="J241" s="183" t="s">
        <v>511</v>
      </c>
      <c r="K241" s="183" t="s">
        <v>917</v>
      </c>
    </row>
    <row r="242" spans="8:11" x14ac:dyDescent="0.25">
      <c r="H242" s="183" t="s">
        <v>483</v>
      </c>
      <c r="I242" s="183" t="s">
        <v>550</v>
      </c>
      <c r="J242" s="183" t="s">
        <v>515</v>
      </c>
      <c r="K242" s="183" t="s">
        <v>918</v>
      </c>
    </row>
    <row r="243" spans="8:11" x14ac:dyDescent="0.25">
      <c r="H243" s="183" t="s">
        <v>483</v>
      </c>
      <c r="I243" s="183" t="s">
        <v>554</v>
      </c>
      <c r="J243" s="183" t="s">
        <v>480</v>
      </c>
      <c r="K243" s="183" t="s">
        <v>580</v>
      </c>
    </row>
    <row r="244" spans="8:11" x14ac:dyDescent="0.25">
      <c r="H244" s="183" t="s">
        <v>483</v>
      </c>
      <c r="I244" s="183" t="s">
        <v>554</v>
      </c>
      <c r="J244" s="183" t="s">
        <v>483</v>
      </c>
      <c r="K244" s="183" t="s">
        <v>919</v>
      </c>
    </row>
    <row r="245" spans="8:11" x14ac:dyDescent="0.25">
      <c r="H245" s="183" t="s">
        <v>483</v>
      </c>
      <c r="I245" s="183" t="s">
        <v>554</v>
      </c>
      <c r="J245" s="183" t="s">
        <v>487</v>
      </c>
      <c r="K245" s="183" t="s">
        <v>920</v>
      </c>
    </row>
    <row r="246" spans="8:11" x14ac:dyDescent="0.25">
      <c r="H246" s="183" t="s">
        <v>483</v>
      </c>
      <c r="I246" s="183" t="s">
        <v>554</v>
      </c>
      <c r="J246" s="183" t="s">
        <v>491</v>
      </c>
      <c r="K246" s="183" t="s">
        <v>921</v>
      </c>
    </row>
    <row r="247" spans="8:11" x14ac:dyDescent="0.25">
      <c r="H247" s="183" t="s">
        <v>483</v>
      </c>
      <c r="I247" s="183" t="s">
        <v>554</v>
      </c>
      <c r="J247" s="183" t="s">
        <v>495</v>
      </c>
      <c r="K247" s="183" t="s">
        <v>922</v>
      </c>
    </row>
    <row r="248" spans="8:11" x14ac:dyDescent="0.25">
      <c r="H248" s="183" t="s">
        <v>483</v>
      </c>
      <c r="I248" s="183" t="s">
        <v>554</v>
      </c>
      <c r="J248" s="183" t="s">
        <v>499</v>
      </c>
      <c r="K248" s="183" t="s">
        <v>923</v>
      </c>
    </row>
    <row r="249" spans="8:11" x14ac:dyDescent="0.25">
      <c r="H249" s="183" t="s">
        <v>483</v>
      </c>
      <c r="I249" s="183" t="s">
        <v>554</v>
      </c>
      <c r="J249" s="183" t="s">
        <v>503</v>
      </c>
      <c r="K249" s="183" t="s">
        <v>924</v>
      </c>
    </row>
    <row r="250" spans="8:11" x14ac:dyDescent="0.25">
      <c r="H250" s="183" t="s">
        <v>483</v>
      </c>
      <c r="I250" s="183" t="s">
        <v>554</v>
      </c>
      <c r="J250" s="183" t="s">
        <v>507</v>
      </c>
      <c r="K250" s="183" t="s">
        <v>925</v>
      </c>
    </row>
    <row r="251" spans="8:11" x14ac:dyDescent="0.25">
      <c r="H251" s="183" t="s">
        <v>487</v>
      </c>
      <c r="I251" s="183" t="s">
        <v>480</v>
      </c>
      <c r="J251" s="183" t="s">
        <v>480</v>
      </c>
      <c r="K251" s="183" t="s">
        <v>582</v>
      </c>
    </row>
    <row r="252" spans="8:11" x14ac:dyDescent="0.25">
      <c r="H252" s="183" t="s">
        <v>487</v>
      </c>
      <c r="I252" s="183" t="s">
        <v>480</v>
      </c>
      <c r="J252" s="183" t="s">
        <v>483</v>
      </c>
      <c r="K252" s="183" t="s">
        <v>926</v>
      </c>
    </row>
    <row r="253" spans="8:11" x14ac:dyDescent="0.25">
      <c r="H253" s="183" t="s">
        <v>487</v>
      </c>
      <c r="I253" s="183" t="s">
        <v>480</v>
      </c>
      <c r="J253" s="183" t="s">
        <v>487</v>
      </c>
      <c r="K253" s="183" t="s">
        <v>927</v>
      </c>
    </row>
    <row r="254" spans="8:11" x14ac:dyDescent="0.25">
      <c r="H254" s="183" t="s">
        <v>487</v>
      </c>
      <c r="I254" s="183" t="s">
        <v>480</v>
      </c>
      <c r="J254" s="183" t="s">
        <v>491</v>
      </c>
      <c r="K254" s="183" t="s">
        <v>928</v>
      </c>
    </row>
    <row r="255" spans="8:11" x14ac:dyDescent="0.25">
      <c r="H255" s="183" t="s">
        <v>487</v>
      </c>
      <c r="I255" s="183" t="s">
        <v>480</v>
      </c>
      <c r="J255" s="183" t="s">
        <v>495</v>
      </c>
      <c r="K255" s="183" t="s">
        <v>929</v>
      </c>
    </row>
    <row r="256" spans="8:11" x14ac:dyDescent="0.25">
      <c r="H256" s="183" t="s">
        <v>487</v>
      </c>
      <c r="I256" s="183" t="s">
        <v>480</v>
      </c>
      <c r="J256" s="183" t="s">
        <v>499</v>
      </c>
      <c r="K256" s="183" t="s">
        <v>930</v>
      </c>
    </row>
    <row r="257" spans="8:11" x14ac:dyDescent="0.25">
      <c r="H257" s="183" t="s">
        <v>487</v>
      </c>
      <c r="I257" s="183" t="s">
        <v>480</v>
      </c>
      <c r="J257" s="183" t="s">
        <v>503</v>
      </c>
      <c r="K257" s="183" t="s">
        <v>931</v>
      </c>
    </row>
    <row r="258" spans="8:11" x14ac:dyDescent="0.25">
      <c r="H258" s="183" t="s">
        <v>487</v>
      </c>
      <c r="I258" s="183" t="s">
        <v>480</v>
      </c>
      <c r="J258" s="183" t="s">
        <v>507</v>
      </c>
      <c r="K258" s="183" t="s">
        <v>932</v>
      </c>
    </row>
    <row r="259" spans="8:11" x14ac:dyDescent="0.25">
      <c r="H259" s="183" t="s">
        <v>487</v>
      </c>
      <c r="I259" s="183" t="s">
        <v>480</v>
      </c>
      <c r="J259" s="183" t="s">
        <v>511</v>
      </c>
      <c r="K259" s="183" t="s">
        <v>933</v>
      </c>
    </row>
    <row r="260" spans="8:11" x14ac:dyDescent="0.25">
      <c r="H260" s="183" t="s">
        <v>487</v>
      </c>
      <c r="I260" s="183" t="s">
        <v>483</v>
      </c>
      <c r="J260" s="183" t="s">
        <v>480</v>
      </c>
      <c r="K260" s="183" t="s">
        <v>584</v>
      </c>
    </row>
    <row r="261" spans="8:11" x14ac:dyDescent="0.25">
      <c r="H261" s="183" t="s">
        <v>487</v>
      </c>
      <c r="I261" s="183" t="s">
        <v>483</v>
      </c>
      <c r="J261" s="183" t="s">
        <v>483</v>
      </c>
      <c r="K261" s="183" t="s">
        <v>934</v>
      </c>
    </row>
    <row r="262" spans="8:11" x14ac:dyDescent="0.25">
      <c r="H262" s="183" t="s">
        <v>487</v>
      </c>
      <c r="I262" s="183" t="s">
        <v>483</v>
      </c>
      <c r="J262" s="183" t="s">
        <v>487</v>
      </c>
      <c r="K262" s="183" t="s">
        <v>935</v>
      </c>
    </row>
    <row r="263" spans="8:11" x14ac:dyDescent="0.25">
      <c r="H263" s="183" t="s">
        <v>487</v>
      </c>
      <c r="I263" s="183" t="s">
        <v>483</v>
      </c>
      <c r="J263" s="183" t="s">
        <v>491</v>
      </c>
      <c r="K263" s="183" t="s">
        <v>936</v>
      </c>
    </row>
    <row r="264" spans="8:11" x14ac:dyDescent="0.25">
      <c r="H264" s="183" t="s">
        <v>487</v>
      </c>
      <c r="I264" s="183" t="s">
        <v>483</v>
      </c>
      <c r="J264" s="183" t="s">
        <v>495</v>
      </c>
      <c r="K264" s="183" t="s">
        <v>937</v>
      </c>
    </row>
    <row r="265" spans="8:11" x14ac:dyDescent="0.25">
      <c r="H265" s="183" t="s">
        <v>487</v>
      </c>
      <c r="I265" s="183" t="s">
        <v>483</v>
      </c>
      <c r="J265" s="183" t="s">
        <v>499</v>
      </c>
      <c r="K265" s="183" t="s">
        <v>938</v>
      </c>
    </row>
    <row r="266" spans="8:11" x14ac:dyDescent="0.25">
      <c r="H266" s="183" t="s">
        <v>487</v>
      </c>
      <c r="I266" s="183" t="s">
        <v>483</v>
      </c>
      <c r="J266" s="183" t="s">
        <v>503</v>
      </c>
      <c r="K266" s="183" t="s">
        <v>939</v>
      </c>
    </row>
    <row r="267" spans="8:11" x14ac:dyDescent="0.25">
      <c r="H267" s="183" t="s">
        <v>487</v>
      </c>
      <c r="I267" s="183" t="s">
        <v>483</v>
      </c>
      <c r="J267" s="183" t="s">
        <v>507</v>
      </c>
      <c r="K267" s="183" t="s">
        <v>940</v>
      </c>
    </row>
    <row r="268" spans="8:11" x14ac:dyDescent="0.25">
      <c r="H268" s="183" t="s">
        <v>487</v>
      </c>
      <c r="I268" s="183" t="s">
        <v>483</v>
      </c>
      <c r="J268" s="183" t="s">
        <v>511</v>
      </c>
      <c r="K268" s="183" t="s">
        <v>941</v>
      </c>
    </row>
    <row r="269" spans="8:11" x14ac:dyDescent="0.25">
      <c r="H269" s="183" t="s">
        <v>487</v>
      </c>
      <c r="I269" s="183" t="s">
        <v>483</v>
      </c>
      <c r="J269" s="183" t="s">
        <v>515</v>
      </c>
      <c r="K269" s="183" t="s">
        <v>942</v>
      </c>
    </row>
    <row r="270" spans="8:11" x14ac:dyDescent="0.25">
      <c r="H270" s="183" t="s">
        <v>487</v>
      </c>
      <c r="I270" s="183" t="s">
        <v>483</v>
      </c>
      <c r="J270" s="183" t="s">
        <v>519</v>
      </c>
      <c r="K270" s="183" t="s">
        <v>943</v>
      </c>
    </row>
    <row r="271" spans="8:11" x14ac:dyDescent="0.25">
      <c r="H271" s="183" t="s">
        <v>487</v>
      </c>
      <c r="I271" s="183" t="s">
        <v>483</v>
      </c>
      <c r="J271" s="183" t="s">
        <v>522</v>
      </c>
      <c r="K271" s="183" t="s">
        <v>944</v>
      </c>
    </row>
    <row r="272" spans="8:11" x14ac:dyDescent="0.25">
      <c r="H272" s="183" t="s">
        <v>487</v>
      </c>
      <c r="I272" s="183" t="s">
        <v>483</v>
      </c>
      <c r="J272" s="183" t="s">
        <v>526</v>
      </c>
      <c r="K272" s="183" t="s">
        <v>642</v>
      </c>
    </row>
    <row r="273" spans="8:11" x14ac:dyDescent="0.25">
      <c r="H273" s="183" t="s">
        <v>487</v>
      </c>
      <c r="I273" s="183" t="s">
        <v>483</v>
      </c>
      <c r="J273" s="183" t="s">
        <v>530</v>
      </c>
      <c r="K273" s="183" t="s">
        <v>945</v>
      </c>
    </row>
    <row r="274" spans="8:11" x14ac:dyDescent="0.25">
      <c r="H274" s="183" t="s">
        <v>487</v>
      </c>
      <c r="I274" s="183" t="s">
        <v>483</v>
      </c>
      <c r="J274" s="183" t="s">
        <v>534</v>
      </c>
      <c r="K274" s="183" t="s">
        <v>946</v>
      </c>
    </row>
    <row r="275" spans="8:11" x14ac:dyDescent="0.25">
      <c r="H275" s="183" t="s">
        <v>487</v>
      </c>
      <c r="I275" s="183" t="s">
        <v>483</v>
      </c>
      <c r="J275" s="183" t="s">
        <v>538</v>
      </c>
      <c r="K275" s="183" t="s">
        <v>947</v>
      </c>
    </row>
    <row r="276" spans="8:11" x14ac:dyDescent="0.25">
      <c r="H276" s="183" t="s">
        <v>487</v>
      </c>
      <c r="I276" s="183" t="s">
        <v>483</v>
      </c>
      <c r="J276" s="183" t="s">
        <v>542</v>
      </c>
      <c r="K276" s="183" t="s">
        <v>948</v>
      </c>
    </row>
    <row r="277" spans="8:11" x14ac:dyDescent="0.25">
      <c r="H277" s="183" t="s">
        <v>487</v>
      </c>
      <c r="I277" s="183" t="s">
        <v>483</v>
      </c>
      <c r="J277" s="183" t="s">
        <v>546</v>
      </c>
      <c r="K277" s="183" t="s">
        <v>949</v>
      </c>
    </row>
    <row r="278" spans="8:11" x14ac:dyDescent="0.25">
      <c r="H278" s="183" t="s">
        <v>487</v>
      </c>
      <c r="I278" s="183" t="s">
        <v>483</v>
      </c>
      <c r="J278" s="183" t="s">
        <v>550</v>
      </c>
      <c r="K278" s="183" t="s">
        <v>950</v>
      </c>
    </row>
    <row r="279" spans="8:11" x14ac:dyDescent="0.25">
      <c r="H279" s="183" t="s">
        <v>487</v>
      </c>
      <c r="I279" s="183" t="s">
        <v>487</v>
      </c>
      <c r="J279" s="183" t="s">
        <v>480</v>
      </c>
      <c r="K279" s="183" t="s">
        <v>586</v>
      </c>
    </row>
    <row r="280" spans="8:11" x14ac:dyDescent="0.25">
      <c r="H280" s="183" t="s">
        <v>487</v>
      </c>
      <c r="I280" s="183" t="s">
        <v>487</v>
      </c>
      <c r="J280" s="183" t="s">
        <v>483</v>
      </c>
      <c r="K280" s="183" t="s">
        <v>951</v>
      </c>
    </row>
    <row r="281" spans="8:11" x14ac:dyDescent="0.25">
      <c r="H281" s="183" t="s">
        <v>487</v>
      </c>
      <c r="I281" s="183" t="s">
        <v>487</v>
      </c>
      <c r="J281" s="183" t="s">
        <v>487</v>
      </c>
      <c r="K281" s="183" t="s">
        <v>952</v>
      </c>
    </row>
    <row r="282" spans="8:11" x14ac:dyDescent="0.25">
      <c r="H282" s="183" t="s">
        <v>487</v>
      </c>
      <c r="I282" s="183" t="s">
        <v>487</v>
      </c>
      <c r="J282" s="183" t="s">
        <v>491</v>
      </c>
      <c r="K282" s="183" t="s">
        <v>953</v>
      </c>
    </row>
    <row r="283" spans="8:11" x14ac:dyDescent="0.25">
      <c r="H283" s="183" t="s">
        <v>487</v>
      </c>
      <c r="I283" s="183" t="s">
        <v>487</v>
      </c>
      <c r="J283" s="183" t="s">
        <v>495</v>
      </c>
      <c r="K283" s="183" t="s">
        <v>954</v>
      </c>
    </row>
    <row r="284" spans="8:11" x14ac:dyDescent="0.25">
      <c r="H284" s="183" t="s">
        <v>487</v>
      </c>
      <c r="I284" s="183" t="s">
        <v>487</v>
      </c>
      <c r="J284" s="183" t="s">
        <v>499</v>
      </c>
      <c r="K284" s="183" t="s">
        <v>955</v>
      </c>
    </row>
    <row r="285" spans="8:11" x14ac:dyDescent="0.25">
      <c r="H285" s="183" t="s">
        <v>487</v>
      </c>
      <c r="I285" s="183" t="s">
        <v>487</v>
      </c>
      <c r="J285" s="183" t="s">
        <v>503</v>
      </c>
      <c r="K285" s="183" t="s">
        <v>956</v>
      </c>
    </row>
    <row r="286" spans="8:11" x14ac:dyDescent="0.25">
      <c r="H286" s="183" t="s">
        <v>487</v>
      </c>
      <c r="I286" s="183" t="s">
        <v>491</v>
      </c>
      <c r="J286" s="183" t="s">
        <v>480</v>
      </c>
      <c r="K286" s="183" t="s">
        <v>957</v>
      </c>
    </row>
    <row r="287" spans="8:11" x14ac:dyDescent="0.25">
      <c r="H287" s="183" t="s">
        <v>487</v>
      </c>
      <c r="I287" s="183" t="s">
        <v>491</v>
      </c>
      <c r="J287" s="183" t="s">
        <v>483</v>
      </c>
      <c r="K287" s="183" t="s">
        <v>958</v>
      </c>
    </row>
    <row r="288" spans="8:11" x14ac:dyDescent="0.25">
      <c r="H288" s="183" t="s">
        <v>487</v>
      </c>
      <c r="I288" s="183" t="s">
        <v>491</v>
      </c>
      <c r="J288" s="183" t="s">
        <v>487</v>
      </c>
      <c r="K288" s="183" t="s">
        <v>959</v>
      </c>
    </row>
    <row r="289" spans="8:11" x14ac:dyDescent="0.25">
      <c r="H289" s="183" t="s">
        <v>487</v>
      </c>
      <c r="I289" s="183" t="s">
        <v>491</v>
      </c>
      <c r="J289" s="183" t="s">
        <v>491</v>
      </c>
      <c r="K289" s="183" t="s">
        <v>960</v>
      </c>
    </row>
    <row r="290" spans="8:11" x14ac:dyDescent="0.25">
      <c r="H290" s="183" t="s">
        <v>487</v>
      </c>
      <c r="I290" s="183" t="s">
        <v>491</v>
      </c>
      <c r="J290" s="183" t="s">
        <v>495</v>
      </c>
      <c r="K290" s="183" t="s">
        <v>692</v>
      </c>
    </row>
    <row r="291" spans="8:11" x14ac:dyDescent="0.25">
      <c r="H291" s="183" t="s">
        <v>487</v>
      </c>
      <c r="I291" s="183" t="s">
        <v>491</v>
      </c>
      <c r="J291" s="183" t="s">
        <v>499</v>
      </c>
      <c r="K291" s="183" t="s">
        <v>961</v>
      </c>
    </row>
    <row r="292" spans="8:11" x14ac:dyDescent="0.25">
      <c r="H292" s="183" t="s">
        <v>487</v>
      </c>
      <c r="I292" s="183" t="s">
        <v>491</v>
      </c>
      <c r="J292" s="183" t="s">
        <v>503</v>
      </c>
      <c r="K292" s="183" t="s">
        <v>962</v>
      </c>
    </row>
    <row r="293" spans="8:11" x14ac:dyDescent="0.25">
      <c r="H293" s="183" t="s">
        <v>487</v>
      </c>
      <c r="I293" s="183" t="s">
        <v>491</v>
      </c>
      <c r="J293" s="183" t="s">
        <v>507</v>
      </c>
      <c r="K293" s="183" t="s">
        <v>963</v>
      </c>
    </row>
    <row r="294" spans="8:11" x14ac:dyDescent="0.25">
      <c r="H294" s="183" t="s">
        <v>487</v>
      </c>
      <c r="I294" s="183" t="s">
        <v>491</v>
      </c>
      <c r="J294" s="183" t="s">
        <v>511</v>
      </c>
      <c r="K294" s="183" t="s">
        <v>964</v>
      </c>
    </row>
    <row r="295" spans="8:11" x14ac:dyDescent="0.25">
      <c r="H295" s="183" t="s">
        <v>487</v>
      </c>
      <c r="I295" s="183" t="s">
        <v>491</v>
      </c>
      <c r="J295" s="183" t="s">
        <v>515</v>
      </c>
      <c r="K295" s="183" t="s">
        <v>965</v>
      </c>
    </row>
    <row r="296" spans="8:11" x14ac:dyDescent="0.25">
      <c r="H296" s="183" t="s">
        <v>487</v>
      </c>
      <c r="I296" s="183" t="s">
        <v>491</v>
      </c>
      <c r="J296" s="183" t="s">
        <v>519</v>
      </c>
      <c r="K296" s="183" t="s">
        <v>966</v>
      </c>
    </row>
    <row r="297" spans="8:11" x14ac:dyDescent="0.25">
      <c r="H297" s="183" t="s">
        <v>487</v>
      </c>
      <c r="I297" s="183" t="s">
        <v>491</v>
      </c>
      <c r="J297" s="183" t="s">
        <v>522</v>
      </c>
      <c r="K297" s="183" t="s">
        <v>967</v>
      </c>
    </row>
    <row r="298" spans="8:11" x14ac:dyDescent="0.25">
      <c r="H298" s="183" t="s">
        <v>487</v>
      </c>
      <c r="I298" s="183" t="s">
        <v>491</v>
      </c>
      <c r="J298" s="183" t="s">
        <v>526</v>
      </c>
      <c r="K298" s="183" t="s">
        <v>968</v>
      </c>
    </row>
    <row r="299" spans="8:11" x14ac:dyDescent="0.25">
      <c r="H299" s="183" t="s">
        <v>487</v>
      </c>
      <c r="I299" s="183" t="s">
        <v>491</v>
      </c>
      <c r="J299" s="183" t="s">
        <v>530</v>
      </c>
      <c r="K299" s="183" t="s">
        <v>969</v>
      </c>
    </row>
    <row r="300" spans="8:11" x14ac:dyDescent="0.25">
      <c r="H300" s="183" t="s">
        <v>487</v>
      </c>
      <c r="I300" s="183" t="s">
        <v>491</v>
      </c>
      <c r="J300" s="183" t="s">
        <v>534</v>
      </c>
      <c r="K300" s="183" t="s">
        <v>970</v>
      </c>
    </row>
    <row r="301" spans="8:11" x14ac:dyDescent="0.25">
      <c r="H301" s="183" t="s">
        <v>487</v>
      </c>
      <c r="I301" s="183" t="s">
        <v>491</v>
      </c>
      <c r="J301" s="183" t="s">
        <v>538</v>
      </c>
      <c r="K301" s="183" t="s">
        <v>971</v>
      </c>
    </row>
    <row r="302" spans="8:11" x14ac:dyDescent="0.25">
      <c r="H302" s="183" t="s">
        <v>487</v>
      </c>
      <c r="I302" s="183" t="s">
        <v>491</v>
      </c>
      <c r="J302" s="183" t="s">
        <v>542</v>
      </c>
      <c r="K302" s="183" t="s">
        <v>972</v>
      </c>
    </row>
    <row r="303" spans="8:11" x14ac:dyDescent="0.25">
      <c r="H303" s="183" t="s">
        <v>487</v>
      </c>
      <c r="I303" s="183" t="s">
        <v>495</v>
      </c>
      <c r="J303" s="183" t="s">
        <v>480</v>
      </c>
      <c r="K303" s="183" t="s">
        <v>973</v>
      </c>
    </row>
    <row r="304" spans="8:11" x14ac:dyDescent="0.25">
      <c r="H304" s="183" t="s">
        <v>487</v>
      </c>
      <c r="I304" s="183" t="s">
        <v>495</v>
      </c>
      <c r="J304" s="183" t="s">
        <v>483</v>
      </c>
      <c r="K304" s="183" t="s">
        <v>590</v>
      </c>
    </row>
    <row r="305" spans="8:11" x14ac:dyDescent="0.25">
      <c r="H305" s="183" t="s">
        <v>487</v>
      </c>
      <c r="I305" s="183" t="s">
        <v>495</v>
      </c>
      <c r="J305" s="183" t="s">
        <v>487</v>
      </c>
      <c r="K305" s="183" t="s">
        <v>974</v>
      </c>
    </row>
    <row r="306" spans="8:11" x14ac:dyDescent="0.25">
      <c r="H306" s="183" t="s">
        <v>487</v>
      </c>
      <c r="I306" s="183" t="s">
        <v>495</v>
      </c>
      <c r="J306" s="183" t="s">
        <v>491</v>
      </c>
      <c r="K306" s="183" t="s">
        <v>975</v>
      </c>
    </row>
    <row r="307" spans="8:11" x14ac:dyDescent="0.25">
      <c r="H307" s="183" t="s">
        <v>487</v>
      </c>
      <c r="I307" s="183" t="s">
        <v>495</v>
      </c>
      <c r="J307" s="183" t="s">
        <v>495</v>
      </c>
      <c r="K307" s="183" t="s">
        <v>976</v>
      </c>
    </row>
    <row r="308" spans="8:11" x14ac:dyDescent="0.25">
      <c r="H308" s="183" t="s">
        <v>487</v>
      </c>
      <c r="I308" s="183" t="s">
        <v>495</v>
      </c>
      <c r="J308" s="183" t="s">
        <v>499</v>
      </c>
      <c r="K308" s="183" t="s">
        <v>977</v>
      </c>
    </row>
    <row r="309" spans="8:11" x14ac:dyDescent="0.25">
      <c r="H309" s="183" t="s">
        <v>487</v>
      </c>
      <c r="I309" s="183" t="s">
        <v>499</v>
      </c>
      <c r="J309" s="183" t="s">
        <v>480</v>
      </c>
      <c r="K309" s="183" t="s">
        <v>592</v>
      </c>
    </row>
    <row r="310" spans="8:11" x14ac:dyDescent="0.25">
      <c r="H310" s="183" t="s">
        <v>487</v>
      </c>
      <c r="I310" s="183" t="s">
        <v>499</v>
      </c>
      <c r="J310" s="183" t="s">
        <v>483</v>
      </c>
      <c r="K310" s="183" t="s">
        <v>978</v>
      </c>
    </row>
    <row r="311" spans="8:11" x14ac:dyDescent="0.25">
      <c r="H311" s="183" t="s">
        <v>487</v>
      </c>
      <c r="I311" s="183" t="s">
        <v>499</v>
      </c>
      <c r="J311" s="183" t="s">
        <v>487</v>
      </c>
      <c r="K311" s="183" t="s">
        <v>979</v>
      </c>
    </row>
    <row r="312" spans="8:11" x14ac:dyDescent="0.25">
      <c r="H312" s="183" t="s">
        <v>487</v>
      </c>
      <c r="I312" s="183" t="s">
        <v>499</v>
      </c>
      <c r="J312" s="183" t="s">
        <v>491</v>
      </c>
      <c r="K312" s="183" t="s">
        <v>980</v>
      </c>
    </row>
    <row r="313" spans="8:11" x14ac:dyDescent="0.25">
      <c r="H313" s="183" t="s">
        <v>487</v>
      </c>
      <c r="I313" s="183" t="s">
        <v>499</v>
      </c>
      <c r="J313" s="183" t="s">
        <v>495</v>
      </c>
      <c r="K313" s="183" t="s">
        <v>981</v>
      </c>
    </row>
    <row r="314" spans="8:11" x14ac:dyDescent="0.25">
      <c r="H314" s="183" t="s">
        <v>487</v>
      </c>
      <c r="I314" s="183" t="s">
        <v>499</v>
      </c>
      <c r="J314" s="183" t="s">
        <v>499</v>
      </c>
      <c r="K314" s="183" t="s">
        <v>982</v>
      </c>
    </row>
    <row r="315" spans="8:11" x14ac:dyDescent="0.25">
      <c r="H315" s="183" t="s">
        <v>487</v>
      </c>
      <c r="I315" s="183" t="s">
        <v>499</v>
      </c>
      <c r="J315" s="183" t="s">
        <v>503</v>
      </c>
      <c r="K315" s="183" t="s">
        <v>983</v>
      </c>
    </row>
    <row r="316" spans="8:11" x14ac:dyDescent="0.25">
      <c r="H316" s="183" t="s">
        <v>487</v>
      </c>
      <c r="I316" s="183" t="s">
        <v>499</v>
      </c>
      <c r="J316" s="183" t="s">
        <v>507</v>
      </c>
      <c r="K316" s="183" t="s">
        <v>984</v>
      </c>
    </row>
    <row r="317" spans="8:11" x14ac:dyDescent="0.25">
      <c r="H317" s="183" t="s">
        <v>487</v>
      </c>
      <c r="I317" s="183" t="s">
        <v>503</v>
      </c>
      <c r="J317" s="183" t="s">
        <v>480</v>
      </c>
      <c r="K317" s="183" t="s">
        <v>985</v>
      </c>
    </row>
    <row r="318" spans="8:11" x14ac:dyDescent="0.25">
      <c r="H318" s="183" t="s">
        <v>487</v>
      </c>
      <c r="I318" s="183" t="s">
        <v>503</v>
      </c>
      <c r="J318" s="183" t="s">
        <v>483</v>
      </c>
      <c r="K318" s="183" t="s">
        <v>986</v>
      </c>
    </row>
    <row r="319" spans="8:11" x14ac:dyDescent="0.25">
      <c r="H319" s="183" t="s">
        <v>487</v>
      </c>
      <c r="I319" s="183" t="s">
        <v>503</v>
      </c>
      <c r="J319" s="183" t="s">
        <v>487</v>
      </c>
      <c r="K319" s="183" t="s">
        <v>987</v>
      </c>
    </row>
    <row r="320" spans="8:11" x14ac:dyDescent="0.25">
      <c r="H320" s="183" t="s">
        <v>487</v>
      </c>
      <c r="I320" s="183" t="s">
        <v>503</v>
      </c>
      <c r="J320" s="183" t="s">
        <v>491</v>
      </c>
      <c r="K320" s="183" t="s">
        <v>988</v>
      </c>
    </row>
    <row r="321" spans="8:11" x14ac:dyDescent="0.25">
      <c r="H321" s="183" t="s">
        <v>487</v>
      </c>
      <c r="I321" s="183" t="s">
        <v>503</v>
      </c>
      <c r="J321" s="183" t="s">
        <v>495</v>
      </c>
      <c r="K321" s="183" t="s">
        <v>989</v>
      </c>
    </row>
    <row r="322" spans="8:11" x14ac:dyDescent="0.25">
      <c r="H322" s="183" t="s">
        <v>487</v>
      </c>
      <c r="I322" s="183" t="s">
        <v>503</v>
      </c>
      <c r="J322" s="183" t="s">
        <v>499</v>
      </c>
      <c r="K322" s="183" t="s">
        <v>990</v>
      </c>
    </row>
    <row r="323" spans="8:11" x14ac:dyDescent="0.25">
      <c r="H323" s="183" t="s">
        <v>487</v>
      </c>
      <c r="I323" s="183" t="s">
        <v>503</v>
      </c>
      <c r="J323" s="183" t="s">
        <v>503</v>
      </c>
      <c r="K323" s="183" t="s">
        <v>991</v>
      </c>
    </row>
    <row r="324" spans="8:11" x14ac:dyDescent="0.25">
      <c r="H324" s="183" t="s">
        <v>487</v>
      </c>
      <c r="I324" s="183" t="s">
        <v>503</v>
      </c>
      <c r="J324" s="183" t="s">
        <v>507</v>
      </c>
      <c r="K324" s="183" t="s">
        <v>992</v>
      </c>
    </row>
    <row r="325" spans="8:11" x14ac:dyDescent="0.25">
      <c r="H325" s="183" t="s">
        <v>487</v>
      </c>
      <c r="I325" s="183" t="s">
        <v>503</v>
      </c>
      <c r="J325" s="183" t="s">
        <v>511</v>
      </c>
      <c r="K325" s="183" t="s">
        <v>993</v>
      </c>
    </row>
    <row r="326" spans="8:11" x14ac:dyDescent="0.25">
      <c r="H326" s="183" t="s">
        <v>487</v>
      </c>
      <c r="I326" s="183" t="s">
        <v>503</v>
      </c>
      <c r="J326" s="183" t="s">
        <v>515</v>
      </c>
      <c r="K326" s="183" t="s">
        <v>670</v>
      </c>
    </row>
    <row r="327" spans="8:11" x14ac:dyDescent="0.25">
      <c r="H327" s="183" t="s">
        <v>487</v>
      </c>
      <c r="I327" s="183" t="s">
        <v>503</v>
      </c>
      <c r="J327" s="183" t="s">
        <v>519</v>
      </c>
      <c r="K327" s="183" t="s">
        <v>994</v>
      </c>
    </row>
    <row r="328" spans="8:11" x14ac:dyDescent="0.25">
      <c r="H328" s="183" t="s">
        <v>487</v>
      </c>
      <c r="I328" s="183" t="s">
        <v>503</v>
      </c>
      <c r="J328" s="183" t="s">
        <v>522</v>
      </c>
      <c r="K328" s="183" t="s">
        <v>995</v>
      </c>
    </row>
    <row r="329" spans="8:11" x14ac:dyDescent="0.25">
      <c r="H329" s="183" t="s">
        <v>487</v>
      </c>
      <c r="I329" s="183" t="s">
        <v>503</v>
      </c>
      <c r="J329" s="183" t="s">
        <v>526</v>
      </c>
      <c r="K329" s="183" t="s">
        <v>996</v>
      </c>
    </row>
    <row r="330" spans="8:11" x14ac:dyDescent="0.25">
      <c r="H330" s="183" t="s">
        <v>487</v>
      </c>
      <c r="I330" s="183" t="s">
        <v>503</v>
      </c>
      <c r="J330" s="183" t="s">
        <v>530</v>
      </c>
      <c r="K330" s="183" t="s">
        <v>997</v>
      </c>
    </row>
    <row r="331" spans="8:11" x14ac:dyDescent="0.25">
      <c r="H331" s="183" t="s">
        <v>491</v>
      </c>
      <c r="I331" s="183" t="s">
        <v>480</v>
      </c>
      <c r="J331" s="183" t="s">
        <v>480</v>
      </c>
      <c r="K331" s="183" t="s">
        <v>492</v>
      </c>
    </row>
    <row r="332" spans="8:11" x14ac:dyDescent="0.25">
      <c r="H332" s="183" t="s">
        <v>491</v>
      </c>
      <c r="I332" s="183" t="s">
        <v>480</v>
      </c>
      <c r="J332" s="183" t="s">
        <v>483</v>
      </c>
      <c r="K332" s="183" t="s">
        <v>998</v>
      </c>
    </row>
    <row r="333" spans="8:11" x14ac:dyDescent="0.25">
      <c r="H333" s="183" t="s">
        <v>491</v>
      </c>
      <c r="I333" s="183" t="s">
        <v>480</v>
      </c>
      <c r="J333" s="183" t="s">
        <v>487</v>
      </c>
      <c r="K333" s="183" t="s">
        <v>999</v>
      </c>
    </row>
    <row r="334" spans="8:11" x14ac:dyDescent="0.25">
      <c r="H334" s="183" t="s">
        <v>491</v>
      </c>
      <c r="I334" s="183" t="s">
        <v>480</v>
      </c>
      <c r="J334" s="183" t="s">
        <v>491</v>
      </c>
      <c r="K334" s="183" t="s">
        <v>1000</v>
      </c>
    </row>
    <row r="335" spans="8:11" x14ac:dyDescent="0.25">
      <c r="H335" s="183" t="s">
        <v>491</v>
      </c>
      <c r="I335" s="183" t="s">
        <v>480</v>
      </c>
      <c r="J335" s="183" t="s">
        <v>495</v>
      </c>
      <c r="K335" s="183" t="s">
        <v>1001</v>
      </c>
    </row>
    <row r="336" spans="8:11" x14ac:dyDescent="0.25">
      <c r="H336" s="183" t="s">
        <v>491</v>
      </c>
      <c r="I336" s="183" t="s">
        <v>480</v>
      </c>
      <c r="J336" s="183" t="s">
        <v>499</v>
      </c>
      <c r="K336" s="183" t="s">
        <v>1002</v>
      </c>
    </row>
    <row r="337" spans="8:11" x14ac:dyDescent="0.25">
      <c r="H337" s="183" t="s">
        <v>491</v>
      </c>
      <c r="I337" s="183" t="s">
        <v>480</v>
      </c>
      <c r="J337" s="183" t="s">
        <v>503</v>
      </c>
      <c r="K337" s="183" t="s">
        <v>1003</v>
      </c>
    </row>
    <row r="338" spans="8:11" x14ac:dyDescent="0.25">
      <c r="H338" s="183" t="s">
        <v>491</v>
      </c>
      <c r="I338" s="183" t="s">
        <v>480</v>
      </c>
      <c r="J338" s="183" t="s">
        <v>507</v>
      </c>
      <c r="K338" s="183" t="s">
        <v>1004</v>
      </c>
    </row>
    <row r="339" spans="8:11" x14ac:dyDescent="0.25">
      <c r="H339" s="183" t="s">
        <v>491</v>
      </c>
      <c r="I339" s="183" t="s">
        <v>480</v>
      </c>
      <c r="J339" s="183" t="s">
        <v>511</v>
      </c>
      <c r="K339" s="183" t="s">
        <v>1005</v>
      </c>
    </row>
    <row r="340" spans="8:11" x14ac:dyDescent="0.25">
      <c r="H340" s="183" t="s">
        <v>491</v>
      </c>
      <c r="I340" s="183" t="s">
        <v>480</v>
      </c>
      <c r="J340" s="183" t="s">
        <v>515</v>
      </c>
      <c r="K340" s="183" t="s">
        <v>1006</v>
      </c>
    </row>
    <row r="341" spans="8:11" x14ac:dyDescent="0.25">
      <c r="H341" s="183" t="s">
        <v>491</v>
      </c>
      <c r="I341" s="183" t="s">
        <v>480</v>
      </c>
      <c r="J341" s="183" t="s">
        <v>519</v>
      </c>
      <c r="K341" s="183" t="s">
        <v>1007</v>
      </c>
    </row>
    <row r="342" spans="8:11" x14ac:dyDescent="0.25">
      <c r="H342" s="183" t="s">
        <v>491</v>
      </c>
      <c r="I342" s="183" t="s">
        <v>480</v>
      </c>
      <c r="J342" s="183" t="s">
        <v>522</v>
      </c>
      <c r="K342" s="183" t="s">
        <v>1008</v>
      </c>
    </row>
    <row r="343" spans="8:11" x14ac:dyDescent="0.25">
      <c r="H343" s="183" t="s">
        <v>491</v>
      </c>
      <c r="I343" s="183" t="s">
        <v>480</v>
      </c>
      <c r="J343" s="183" t="s">
        <v>526</v>
      </c>
      <c r="K343" s="183" t="s">
        <v>1009</v>
      </c>
    </row>
    <row r="344" spans="8:11" x14ac:dyDescent="0.25">
      <c r="H344" s="183" t="s">
        <v>491</v>
      </c>
      <c r="I344" s="183" t="s">
        <v>480</v>
      </c>
      <c r="J344" s="183" t="s">
        <v>530</v>
      </c>
      <c r="K344" s="183" t="s">
        <v>1010</v>
      </c>
    </row>
    <row r="345" spans="8:11" x14ac:dyDescent="0.25">
      <c r="H345" s="183" t="s">
        <v>491</v>
      </c>
      <c r="I345" s="183" t="s">
        <v>480</v>
      </c>
      <c r="J345" s="183" t="s">
        <v>534</v>
      </c>
      <c r="K345" s="183" t="s">
        <v>1011</v>
      </c>
    </row>
    <row r="346" spans="8:11" x14ac:dyDescent="0.25">
      <c r="H346" s="183" t="s">
        <v>491</v>
      </c>
      <c r="I346" s="183" t="s">
        <v>480</v>
      </c>
      <c r="J346" s="183" t="s">
        <v>538</v>
      </c>
      <c r="K346" s="183" t="s">
        <v>1012</v>
      </c>
    </row>
    <row r="347" spans="8:11" x14ac:dyDescent="0.25">
      <c r="H347" s="183" t="s">
        <v>491</v>
      </c>
      <c r="I347" s="183" t="s">
        <v>480</v>
      </c>
      <c r="J347" s="183" t="s">
        <v>542</v>
      </c>
      <c r="K347" s="183" t="s">
        <v>1013</v>
      </c>
    </row>
    <row r="348" spans="8:11" x14ac:dyDescent="0.25">
      <c r="H348" s="183" t="s">
        <v>491</v>
      </c>
      <c r="I348" s="183" t="s">
        <v>480</v>
      </c>
      <c r="J348" s="183" t="s">
        <v>546</v>
      </c>
      <c r="K348" s="183" t="s">
        <v>1014</v>
      </c>
    </row>
    <row r="349" spans="8:11" x14ac:dyDescent="0.25">
      <c r="H349" s="183" t="s">
        <v>491</v>
      </c>
      <c r="I349" s="183" t="s">
        <v>480</v>
      </c>
      <c r="J349" s="183" t="s">
        <v>550</v>
      </c>
      <c r="K349" s="183" t="s">
        <v>1015</v>
      </c>
    </row>
    <row r="350" spans="8:11" x14ac:dyDescent="0.25">
      <c r="H350" s="183" t="s">
        <v>491</v>
      </c>
      <c r="I350" s="183" t="s">
        <v>480</v>
      </c>
      <c r="J350" s="183" t="s">
        <v>554</v>
      </c>
      <c r="K350" s="183" t="s">
        <v>1016</v>
      </c>
    </row>
    <row r="351" spans="8:11" x14ac:dyDescent="0.25">
      <c r="H351" s="183" t="s">
        <v>491</v>
      </c>
      <c r="I351" s="183" t="s">
        <v>480</v>
      </c>
      <c r="J351" s="183" t="s">
        <v>558</v>
      </c>
      <c r="K351" s="183" t="s">
        <v>1017</v>
      </c>
    </row>
    <row r="352" spans="8:11" x14ac:dyDescent="0.25">
      <c r="H352" s="183" t="s">
        <v>491</v>
      </c>
      <c r="I352" s="183" t="s">
        <v>480</v>
      </c>
      <c r="J352" s="183" t="s">
        <v>562</v>
      </c>
      <c r="K352" s="183" t="s">
        <v>1018</v>
      </c>
    </row>
    <row r="353" spans="8:11" x14ac:dyDescent="0.25">
      <c r="H353" s="183" t="s">
        <v>491</v>
      </c>
      <c r="I353" s="183" t="s">
        <v>480</v>
      </c>
      <c r="J353" s="183" t="s">
        <v>566</v>
      </c>
      <c r="K353" s="183" t="s">
        <v>1019</v>
      </c>
    </row>
    <row r="354" spans="8:11" x14ac:dyDescent="0.25">
      <c r="H354" s="183" t="s">
        <v>491</v>
      </c>
      <c r="I354" s="183" t="s">
        <v>480</v>
      </c>
      <c r="J354" s="183" t="s">
        <v>570</v>
      </c>
      <c r="K354" s="183" t="s">
        <v>1020</v>
      </c>
    </row>
    <row r="355" spans="8:11" x14ac:dyDescent="0.25">
      <c r="H355" s="183" t="s">
        <v>491</v>
      </c>
      <c r="I355" s="183" t="s">
        <v>480</v>
      </c>
      <c r="J355" s="183" t="s">
        <v>574</v>
      </c>
      <c r="K355" s="183" t="s">
        <v>1021</v>
      </c>
    </row>
    <row r="356" spans="8:11" x14ac:dyDescent="0.25">
      <c r="H356" s="183" t="s">
        <v>491</v>
      </c>
      <c r="I356" s="183" t="s">
        <v>480</v>
      </c>
      <c r="J356" s="183" t="s">
        <v>1022</v>
      </c>
      <c r="K356" s="183" t="s">
        <v>1023</v>
      </c>
    </row>
    <row r="357" spans="8:11" x14ac:dyDescent="0.25">
      <c r="H357" s="183" t="s">
        <v>491</v>
      </c>
      <c r="I357" s="183" t="s">
        <v>480</v>
      </c>
      <c r="J357" s="183" t="s">
        <v>1024</v>
      </c>
      <c r="K357" s="183" t="s">
        <v>1025</v>
      </c>
    </row>
    <row r="358" spans="8:11" x14ac:dyDescent="0.25">
      <c r="H358" s="183" t="s">
        <v>491</v>
      </c>
      <c r="I358" s="183" t="s">
        <v>480</v>
      </c>
      <c r="J358" s="183" t="s">
        <v>1026</v>
      </c>
      <c r="K358" s="183" t="s">
        <v>1027</v>
      </c>
    </row>
    <row r="359" spans="8:11" x14ac:dyDescent="0.25">
      <c r="H359" s="183" t="s">
        <v>491</v>
      </c>
      <c r="I359" s="183" t="s">
        <v>480</v>
      </c>
      <c r="J359" s="183" t="s">
        <v>1028</v>
      </c>
      <c r="K359" s="183" t="s">
        <v>1029</v>
      </c>
    </row>
    <row r="360" spans="8:11" x14ac:dyDescent="0.25">
      <c r="H360" s="183" t="s">
        <v>491</v>
      </c>
      <c r="I360" s="183" t="s">
        <v>483</v>
      </c>
      <c r="J360" s="183" t="s">
        <v>480</v>
      </c>
      <c r="K360" s="183" t="s">
        <v>597</v>
      </c>
    </row>
    <row r="361" spans="8:11" x14ac:dyDescent="0.25">
      <c r="H361" s="183" t="s">
        <v>491</v>
      </c>
      <c r="I361" s="183" t="s">
        <v>483</v>
      </c>
      <c r="J361" s="183" t="s">
        <v>483</v>
      </c>
      <c r="K361" s="183" t="s">
        <v>1030</v>
      </c>
    </row>
    <row r="362" spans="8:11" x14ac:dyDescent="0.25">
      <c r="H362" s="183" t="s">
        <v>491</v>
      </c>
      <c r="I362" s="183" t="s">
        <v>483</v>
      </c>
      <c r="J362" s="183" t="s">
        <v>487</v>
      </c>
      <c r="K362" s="183" t="s">
        <v>1031</v>
      </c>
    </row>
    <row r="363" spans="8:11" x14ac:dyDescent="0.25">
      <c r="H363" s="183" t="s">
        <v>491</v>
      </c>
      <c r="I363" s="183" t="s">
        <v>483</v>
      </c>
      <c r="J363" s="183" t="s">
        <v>491</v>
      </c>
      <c r="K363" s="183" t="s">
        <v>854</v>
      </c>
    </row>
    <row r="364" spans="8:11" x14ac:dyDescent="0.25">
      <c r="H364" s="183" t="s">
        <v>491</v>
      </c>
      <c r="I364" s="183" t="s">
        <v>483</v>
      </c>
      <c r="J364" s="183" t="s">
        <v>495</v>
      </c>
      <c r="K364" s="183" t="s">
        <v>1032</v>
      </c>
    </row>
    <row r="365" spans="8:11" x14ac:dyDescent="0.25">
      <c r="H365" s="183" t="s">
        <v>491</v>
      </c>
      <c r="I365" s="183" t="s">
        <v>483</v>
      </c>
      <c r="J365" s="183" t="s">
        <v>499</v>
      </c>
      <c r="K365" s="183" t="s">
        <v>1033</v>
      </c>
    </row>
    <row r="366" spans="8:11" x14ac:dyDescent="0.25">
      <c r="H366" s="183" t="s">
        <v>491</v>
      </c>
      <c r="I366" s="183" t="s">
        <v>483</v>
      </c>
      <c r="J366" s="183" t="s">
        <v>503</v>
      </c>
      <c r="K366" s="183" t="s">
        <v>1034</v>
      </c>
    </row>
    <row r="367" spans="8:11" x14ac:dyDescent="0.25">
      <c r="H367" s="183" t="s">
        <v>491</v>
      </c>
      <c r="I367" s="183" t="s">
        <v>483</v>
      </c>
      <c r="J367" s="183" t="s">
        <v>507</v>
      </c>
      <c r="K367" s="183" t="s">
        <v>1035</v>
      </c>
    </row>
    <row r="368" spans="8:11" x14ac:dyDescent="0.25">
      <c r="H368" s="183" t="s">
        <v>491</v>
      </c>
      <c r="I368" s="183" t="s">
        <v>487</v>
      </c>
      <c r="J368" s="183" t="s">
        <v>480</v>
      </c>
      <c r="K368" s="183" t="s">
        <v>599</v>
      </c>
    </row>
    <row r="369" spans="8:11" x14ac:dyDescent="0.25">
      <c r="H369" s="183" t="s">
        <v>491</v>
      </c>
      <c r="I369" s="183" t="s">
        <v>487</v>
      </c>
      <c r="J369" s="183" t="s">
        <v>483</v>
      </c>
      <c r="K369" s="183" t="s">
        <v>1036</v>
      </c>
    </row>
    <row r="370" spans="8:11" x14ac:dyDescent="0.25">
      <c r="H370" s="183" t="s">
        <v>491</v>
      </c>
      <c r="I370" s="183" t="s">
        <v>487</v>
      </c>
      <c r="J370" s="183" t="s">
        <v>487</v>
      </c>
      <c r="K370" s="183" t="s">
        <v>1037</v>
      </c>
    </row>
    <row r="371" spans="8:11" x14ac:dyDescent="0.25">
      <c r="H371" s="183" t="s">
        <v>491</v>
      </c>
      <c r="I371" s="183" t="s">
        <v>487</v>
      </c>
      <c r="J371" s="183" t="s">
        <v>491</v>
      </c>
      <c r="K371" s="183" t="s">
        <v>1038</v>
      </c>
    </row>
    <row r="372" spans="8:11" x14ac:dyDescent="0.25">
      <c r="H372" s="183" t="s">
        <v>491</v>
      </c>
      <c r="I372" s="183" t="s">
        <v>487</v>
      </c>
      <c r="J372" s="183" t="s">
        <v>495</v>
      </c>
      <c r="K372" s="183" t="s">
        <v>1039</v>
      </c>
    </row>
    <row r="373" spans="8:11" x14ac:dyDescent="0.25">
      <c r="H373" s="183" t="s">
        <v>491</v>
      </c>
      <c r="I373" s="183" t="s">
        <v>487</v>
      </c>
      <c r="J373" s="183" t="s">
        <v>499</v>
      </c>
      <c r="K373" s="183" t="s">
        <v>1040</v>
      </c>
    </row>
    <row r="374" spans="8:11" x14ac:dyDescent="0.25">
      <c r="H374" s="183" t="s">
        <v>491</v>
      </c>
      <c r="I374" s="183" t="s">
        <v>487</v>
      </c>
      <c r="J374" s="183" t="s">
        <v>503</v>
      </c>
      <c r="K374" s="183" t="s">
        <v>1041</v>
      </c>
    </row>
    <row r="375" spans="8:11" x14ac:dyDescent="0.25">
      <c r="H375" s="183" t="s">
        <v>491</v>
      </c>
      <c r="I375" s="183" t="s">
        <v>487</v>
      </c>
      <c r="J375" s="183" t="s">
        <v>507</v>
      </c>
      <c r="K375" s="183" t="s">
        <v>1042</v>
      </c>
    </row>
    <row r="376" spans="8:11" x14ac:dyDescent="0.25">
      <c r="H376" s="183" t="s">
        <v>491</v>
      </c>
      <c r="I376" s="183" t="s">
        <v>487</v>
      </c>
      <c r="J376" s="183" t="s">
        <v>511</v>
      </c>
      <c r="K376" s="183" t="s">
        <v>1043</v>
      </c>
    </row>
    <row r="377" spans="8:11" x14ac:dyDescent="0.25">
      <c r="H377" s="183" t="s">
        <v>491</v>
      </c>
      <c r="I377" s="183" t="s">
        <v>487</v>
      </c>
      <c r="J377" s="183" t="s">
        <v>515</v>
      </c>
      <c r="K377" s="183" t="s">
        <v>1044</v>
      </c>
    </row>
    <row r="378" spans="8:11" x14ac:dyDescent="0.25">
      <c r="H378" s="183" t="s">
        <v>491</v>
      </c>
      <c r="I378" s="183" t="s">
        <v>487</v>
      </c>
      <c r="J378" s="183" t="s">
        <v>519</v>
      </c>
      <c r="K378" s="183" t="s">
        <v>1045</v>
      </c>
    </row>
    <row r="379" spans="8:11" x14ac:dyDescent="0.25">
      <c r="H379" s="183" t="s">
        <v>491</v>
      </c>
      <c r="I379" s="183" t="s">
        <v>487</v>
      </c>
      <c r="J379" s="183" t="s">
        <v>522</v>
      </c>
      <c r="K379" s="183" t="s">
        <v>1046</v>
      </c>
    </row>
    <row r="380" spans="8:11" x14ac:dyDescent="0.25">
      <c r="H380" s="183" t="s">
        <v>491</v>
      </c>
      <c r="I380" s="183" t="s">
        <v>487</v>
      </c>
      <c r="J380" s="183" t="s">
        <v>526</v>
      </c>
      <c r="K380" s="183" t="s">
        <v>1047</v>
      </c>
    </row>
    <row r="381" spans="8:11" x14ac:dyDescent="0.25">
      <c r="H381" s="183" t="s">
        <v>491</v>
      </c>
      <c r="I381" s="183" t="s">
        <v>491</v>
      </c>
      <c r="J381" s="183" t="s">
        <v>480</v>
      </c>
      <c r="K381" s="183" t="s">
        <v>1048</v>
      </c>
    </row>
    <row r="382" spans="8:11" x14ac:dyDescent="0.25">
      <c r="H382" s="183" t="s">
        <v>491</v>
      </c>
      <c r="I382" s="183" t="s">
        <v>491</v>
      </c>
      <c r="J382" s="183" t="s">
        <v>483</v>
      </c>
      <c r="K382" s="183" t="s">
        <v>1049</v>
      </c>
    </row>
    <row r="383" spans="8:11" x14ac:dyDescent="0.25">
      <c r="H383" s="183" t="s">
        <v>491</v>
      </c>
      <c r="I383" s="183" t="s">
        <v>491</v>
      </c>
      <c r="J383" s="183" t="s">
        <v>487</v>
      </c>
      <c r="K383" s="183" t="s">
        <v>1050</v>
      </c>
    </row>
    <row r="384" spans="8:11" x14ac:dyDescent="0.25">
      <c r="H384" s="183" t="s">
        <v>491</v>
      </c>
      <c r="I384" s="183" t="s">
        <v>491</v>
      </c>
      <c r="J384" s="183" t="s">
        <v>491</v>
      </c>
      <c r="K384" s="183" t="s">
        <v>1051</v>
      </c>
    </row>
    <row r="385" spans="8:11" x14ac:dyDescent="0.25">
      <c r="H385" s="183" t="s">
        <v>491</v>
      </c>
      <c r="I385" s="183" t="s">
        <v>491</v>
      </c>
      <c r="J385" s="183" t="s">
        <v>495</v>
      </c>
      <c r="K385" s="183" t="s">
        <v>1052</v>
      </c>
    </row>
    <row r="386" spans="8:11" x14ac:dyDescent="0.25">
      <c r="H386" s="183" t="s">
        <v>491</v>
      </c>
      <c r="I386" s="183" t="s">
        <v>491</v>
      </c>
      <c r="J386" s="183" t="s">
        <v>499</v>
      </c>
      <c r="K386" s="183" t="s">
        <v>1053</v>
      </c>
    </row>
    <row r="387" spans="8:11" x14ac:dyDescent="0.25">
      <c r="H387" s="183" t="s">
        <v>491</v>
      </c>
      <c r="I387" s="183" t="s">
        <v>491</v>
      </c>
      <c r="J387" s="183" t="s">
        <v>503</v>
      </c>
      <c r="K387" s="183" t="s">
        <v>1054</v>
      </c>
    </row>
    <row r="388" spans="8:11" x14ac:dyDescent="0.25">
      <c r="H388" s="183" t="s">
        <v>491</v>
      </c>
      <c r="I388" s="183" t="s">
        <v>491</v>
      </c>
      <c r="J388" s="183" t="s">
        <v>507</v>
      </c>
      <c r="K388" s="183" t="s">
        <v>1055</v>
      </c>
    </row>
    <row r="389" spans="8:11" x14ac:dyDescent="0.25">
      <c r="H389" s="183" t="s">
        <v>491</v>
      </c>
      <c r="I389" s="183" t="s">
        <v>491</v>
      </c>
      <c r="J389" s="183" t="s">
        <v>511</v>
      </c>
      <c r="K389" s="183" t="s">
        <v>1056</v>
      </c>
    </row>
    <row r="390" spans="8:11" x14ac:dyDescent="0.25">
      <c r="H390" s="183" t="s">
        <v>491</v>
      </c>
      <c r="I390" s="183" t="s">
        <v>491</v>
      </c>
      <c r="J390" s="183" t="s">
        <v>515</v>
      </c>
      <c r="K390" s="183" t="s">
        <v>1057</v>
      </c>
    </row>
    <row r="391" spans="8:11" x14ac:dyDescent="0.25">
      <c r="H391" s="183" t="s">
        <v>491</v>
      </c>
      <c r="I391" s="183" t="s">
        <v>491</v>
      </c>
      <c r="J391" s="183" t="s">
        <v>519</v>
      </c>
      <c r="K391" s="183" t="s">
        <v>1058</v>
      </c>
    </row>
    <row r="392" spans="8:11" x14ac:dyDescent="0.25">
      <c r="H392" s="183" t="s">
        <v>491</v>
      </c>
      <c r="I392" s="183" t="s">
        <v>491</v>
      </c>
      <c r="J392" s="183" t="s">
        <v>522</v>
      </c>
      <c r="K392" s="183" t="s">
        <v>1059</v>
      </c>
    </row>
    <row r="393" spans="8:11" x14ac:dyDescent="0.25">
      <c r="H393" s="183" t="s">
        <v>491</v>
      </c>
      <c r="I393" s="183" t="s">
        <v>491</v>
      </c>
      <c r="J393" s="183" t="s">
        <v>526</v>
      </c>
      <c r="K393" s="183" t="s">
        <v>1060</v>
      </c>
    </row>
    <row r="394" spans="8:11" x14ac:dyDescent="0.25">
      <c r="H394" s="183" t="s">
        <v>491</v>
      </c>
      <c r="I394" s="183" t="s">
        <v>491</v>
      </c>
      <c r="J394" s="183" t="s">
        <v>530</v>
      </c>
      <c r="K394" s="183" t="s">
        <v>1061</v>
      </c>
    </row>
    <row r="395" spans="8:11" x14ac:dyDescent="0.25">
      <c r="H395" s="183" t="s">
        <v>491</v>
      </c>
      <c r="I395" s="183" t="s">
        <v>495</v>
      </c>
      <c r="J395" s="183" t="s">
        <v>480</v>
      </c>
      <c r="K395" s="183" t="s">
        <v>1062</v>
      </c>
    </row>
    <row r="396" spans="8:11" x14ac:dyDescent="0.25">
      <c r="H396" s="183" t="s">
        <v>491</v>
      </c>
      <c r="I396" s="183" t="s">
        <v>495</v>
      </c>
      <c r="J396" s="183" t="s">
        <v>483</v>
      </c>
      <c r="K396" s="183" t="s">
        <v>1063</v>
      </c>
    </row>
    <row r="397" spans="8:11" x14ac:dyDescent="0.25">
      <c r="H397" s="183" t="s">
        <v>491</v>
      </c>
      <c r="I397" s="183" t="s">
        <v>495</v>
      </c>
      <c r="J397" s="183" t="s">
        <v>487</v>
      </c>
      <c r="K397" s="183" t="s">
        <v>1064</v>
      </c>
    </row>
    <row r="398" spans="8:11" x14ac:dyDescent="0.25">
      <c r="H398" s="183" t="s">
        <v>491</v>
      </c>
      <c r="I398" s="183" t="s">
        <v>495</v>
      </c>
      <c r="J398" s="183" t="s">
        <v>491</v>
      </c>
      <c r="K398" s="183" t="s">
        <v>1065</v>
      </c>
    </row>
    <row r="399" spans="8:11" x14ac:dyDescent="0.25">
      <c r="H399" s="183" t="s">
        <v>491</v>
      </c>
      <c r="I399" s="183" t="s">
        <v>495</v>
      </c>
      <c r="J399" s="183" t="s">
        <v>495</v>
      </c>
      <c r="K399" s="183" t="s">
        <v>603</v>
      </c>
    </row>
    <row r="400" spans="8:11" x14ac:dyDescent="0.25">
      <c r="H400" s="183" t="s">
        <v>491</v>
      </c>
      <c r="I400" s="183" t="s">
        <v>495</v>
      </c>
      <c r="J400" s="183" t="s">
        <v>499</v>
      </c>
      <c r="K400" s="183" t="s">
        <v>1066</v>
      </c>
    </row>
    <row r="401" spans="8:11" x14ac:dyDescent="0.25">
      <c r="H401" s="183" t="s">
        <v>491</v>
      </c>
      <c r="I401" s="183" t="s">
        <v>495</v>
      </c>
      <c r="J401" s="183" t="s">
        <v>503</v>
      </c>
      <c r="K401" s="183" t="s">
        <v>658</v>
      </c>
    </row>
    <row r="402" spans="8:11" x14ac:dyDescent="0.25">
      <c r="H402" s="183" t="s">
        <v>491</v>
      </c>
      <c r="I402" s="183" t="s">
        <v>495</v>
      </c>
      <c r="J402" s="183" t="s">
        <v>507</v>
      </c>
      <c r="K402" s="183" t="s">
        <v>1067</v>
      </c>
    </row>
    <row r="403" spans="8:11" x14ac:dyDescent="0.25">
      <c r="H403" s="183" t="s">
        <v>491</v>
      </c>
      <c r="I403" s="183" t="s">
        <v>495</v>
      </c>
      <c r="J403" s="183" t="s">
        <v>511</v>
      </c>
      <c r="K403" s="183" t="s">
        <v>1068</v>
      </c>
    </row>
    <row r="404" spans="8:11" x14ac:dyDescent="0.25">
      <c r="H404" s="183" t="s">
        <v>491</v>
      </c>
      <c r="I404" s="183" t="s">
        <v>495</v>
      </c>
      <c r="J404" s="183" t="s">
        <v>515</v>
      </c>
      <c r="K404" s="183" t="s">
        <v>1069</v>
      </c>
    </row>
    <row r="405" spans="8:11" x14ac:dyDescent="0.25">
      <c r="H405" s="183" t="s">
        <v>491</v>
      </c>
      <c r="I405" s="183" t="s">
        <v>495</v>
      </c>
      <c r="J405" s="183" t="s">
        <v>519</v>
      </c>
      <c r="K405" s="183" t="s">
        <v>1070</v>
      </c>
    </row>
    <row r="406" spans="8:11" x14ac:dyDescent="0.25">
      <c r="H406" s="183" t="s">
        <v>491</v>
      </c>
      <c r="I406" s="183" t="s">
        <v>495</v>
      </c>
      <c r="J406" s="183" t="s">
        <v>522</v>
      </c>
      <c r="K406" s="183" t="s">
        <v>1071</v>
      </c>
    </row>
    <row r="407" spans="8:11" x14ac:dyDescent="0.25">
      <c r="H407" s="183" t="s">
        <v>491</v>
      </c>
      <c r="I407" s="183" t="s">
        <v>495</v>
      </c>
      <c r="J407" s="183" t="s">
        <v>526</v>
      </c>
      <c r="K407" s="183" t="s">
        <v>1072</v>
      </c>
    </row>
    <row r="408" spans="8:11" x14ac:dyDescent="0.25">
      <c r="H408" s="183" t="s">
        <v>491</v>
      </c>
      <c r="I408" s="183" t="s">
        <v>495</v>
      </c>
      <c r="J408" s="183" t="s">
        <v>530</v>
      </c>
      <c r="K408" s="183" t="s">
        <v>1073</v>
      </c>
    </row>
    <row r="409" spans="8:11" x14ac:dyDescent="0.25">
      <c r="H409" s="183" t="s">
        <v>491</v>
      </c>
      <c r="I409" s="183" t="s">
        <v>495</v>
      </c>
      <c r="J409" s="183" t="s">
        <v>534</v>
      </c>
      <c r="K409" s="183" t="s">
        <v>1074</v>
      </c>
    </row>
    <row r="410" spans="8:11" x14ac:dyDescent="0.25">
      <c r="H410" s="183" t="s">
        <v>491</v>
      </c>
      <c r="I410" s="183" t="s">
        <v>495</v>
      </c>
      <c r="J410" s="183" t="s">
        <v>538</v>
      </c>
      <c r="K410" s="183" t="s">
        <v>1075</v>
      </c>
    </row>
    <row r="411" spans="8:11" x14ac:dyDescent="0.25">
      <c r="H411" s="183" t="s">
        <v>491</v>
      </c>
      <c r="I411" s="183" t="s">
        <v>495</v>
      </c>
      <c r="J411" s="183" t="s">
        <v>542</v>
      </c>
      <c r="K411" s="183" t="s">
        <v>1076</v>
      </c>
    </row>
    <row r="412" spans="8:11" x14ac:dyDescent="0.25">
      <c r="H412" s="183" t="s">
        <v>491</v>
      </c>
      <c r="I412" s="183" t="s">
        <v>495</v>
      </c>
      <c r="J412" s="183" t="s">
        <v>546</v>
      </c>
      <c r="K412" s="183" t="s">
        <v>1077</v>
      </c>
    </row>
    <row r="413" spans="8:11" x14ac:dyDescent="0.25">
      <c r="H413" s="183" t="s">
        <v>491</v>
      </c>
      <c r="I413" s="183" t="s">
        <v>495</v>
      </c>
      <c r="J413" s="183" t="s">
        <v>550</v>
      </c>
      <c r="K413" s="183" t="s">
        <v>1078</v>
      </c>
    </row>
    <row r="414" spans="8:11" x14ac:dyDescent="0.25">
      <c r="H414" s="183" t="s">
        <v>491</v>
      </c>
      <c r="I414" s="183" t="s">
        <v>495</v>
      </c>
      <c r="J414" s="183" t="s">
        <v>554</v>
      </c>
      <c r="K414" s="183" t="s">
        <v>1079</v>
      </c>
    </row>
    <row r="415" spans="8:11" x14ac:dyDescent="0.25">
      <c r="H415" s="183" t="s">
        <v>491</v>
      </c>
      <c r="I415" s="183" t="s">
        <v>499</v>
      </c>
      <c r="J415" s="183" t="s">
        <v>480</v>
      </c>
      <c r="K415" s="183" t="s">
        <v>502</v>
      </c>
    </row>
    <row r="416" spans="8:11" x14ac:dyDescent="0.25">
      <c r="H416" s="183" t="s">
        <v>491</v>
      </c>
      <c r="I416" s="183" t="s">
        <v>499</v>
      </c>
      <c r="J416" s="183" t="s">
        <v>483</v>
      </c>
      <c r="K416" s="183" t="s">
        <v>1080</v>
      </c>
    </row>
    <row r="417" spans="8:11" x14ac:dyDescent="0.25">
      <c r="H417" s="183" t="s">
        <v>491</v>
      </c>
      <c r="I417" s="183" t="s">
        <v>499</v>
      </c>
      <c r="J417" s="183" t="s">
        <v>487</v>
      </c>
      <c r="K417" s="183" t="s">
        <v>1081</v>
      </c>
    </row>
    <row r="418" spans="8:11" x14ac:dyDescent="0.25">
      <c r="H418" s="183" t="s">
        <v>491</v>
      </c>
      <c r="I418" s="183" t="s">
        <v>499</v>
      </c>
      <c r="J418" s="183" t="s">
        <v>491</v>
      </c>
      <c r="K418" s="183" t="s">
        <v>1082</v>
      </c>
    </row>
    <row r="419" spans="8:11" x14ac:dyDescent="0.25">
      <c r="H419" s="183" t="s">
        <v>491</v>
      </c>
      <c r="I419" s="183" t="s">
        <v>499</v>
      </c>
      <c r="J419" s="183" t="s">
        <v>495</v>
      </c>
      <c r="K419" s="183" t="s">
        <v>1083</v>
      </c>
    </row>
    <row r="420" spans="8:11" x14ac:dyDescent="0.25">
      <c r="H420" s="183" t="s">
        <v>491</v>
      </c>
      <c r="I420" s="183" t="s">
        <v>499</v>
      </c>
      <c r="J420" s="183" t="s">
        <v>499</v>
      </c>
      <c r="K420" s="183" t="s">
        <v>1084</v>
      </c>
    </row>
    <row r="421" spans="8:11" x14ac:dyDescent="0.25">
      <c r="H421" s="183" t="s">
        <v>491</v>
      </c>
      <c r="I421" s="183" t="s">
        <v>499</v>
      </c>
      <c r="J421" s="183" t="s">
        <v>503</v>
      </c>
      <c r="K421" s="183" t="s">
        <v>1085</v>
      </c>
    </row>
    <row r="422" spans="8:11" x14ac:dyDescent="0.25">
      <c r="H422" s="183" t="s">
        <v>491</v>
      </c>
      <c r="I422" s="183" t="s">
        <v>499</v>
      </c>
      <c r="J422" s="183" t="s">
        <v>507</v>
      </c>
      <c r="K422" s="183" t="s">
        <v>1086</v>
      </c>
    </row>
    <row r="423" spans="8:11" x14ac:dyDescent="0.25">
      <c r="H423" s="183" t="s">
        <v>491</v>
      </c>
      <c r="I423" s="183" t="s">
        <v>503</v>
      </c>
      <c r="J423" s="183" t="s">
        <v>480</v>
      </c>
      <c r="K423" s="183" t="s">
        <v>1087</v>
      </c>
    </row>
    <row r="424" spans="8:11" x14ac:dyDescent="0.25">
      <c r="H424" s="183" t="s">
        <v>491</v>
      </c>
      <c r="I424" s="183" t="s">
        <v>503</v>
      </c>
      <c r="J424" s="183" t="s">
        <v>483</v>
      </c>
      <c r="K424" s="183" t="s">
        <v>1088</v>
      </c>
    </row>
    <row r="425" spans="8:11" x14ac:dyDescent="0.25">
      <c r="H425" s="183" t="s">
        <v>491</v>
      </c>
      <c r="I425" s="183" t="s">
        <v>503</v>
      </c>
      <c r="J425" s="183" t="s">
        <v>487</v>
      </c>
      <c r="K425" s="183" t="s">
        <v>1089</v>
      </c>
    </row>
    <row r="426" spans="8:11" x14ac:dyDescent="0.25">
      <c r="H426" s="183" t="s">
        <v>491</v>
      </c>
      <c r="I426" s="183" t="s">
        <v>503</v>
      </c>
      <c r="J426" s="183" t="s">
        <v>491</v>
      </c>
      <c r="K426" s="183" t="s">
        <v>607</v>
      </c>
    </row>
    <row r="427" spans="8:11" x14ac:dyDescent="0.25">
      <c r="H427" s="183" t="s">
        <v>491</v>
      </c>
      <c r="I427" s="183" t="s">
        <v>503</v>
      </c>
      <c r="J427" s="183" t="s">
        <v>495</v>
      </c>
      <c r="K427" s="183" t="s">
        <v>1090</v>
      </c>
    </row>
    <row r="428" spans="8:11" x14ac:dyDescent="0.25">
      <c r="H428" s="183" t="s">
        <v>491</v>
      </c>
      <c r="I428" s="183" t="s">
        <v>503</v>
      </c>
      <c r="J428" s="183" t="s">
        <v>499</v>
      </c>
      <c r="K428" s="183" t="s">
        <v>1091</v>
      </c>
    </row>
    <row r="429" spans="8:11" x14ac:dyDescent="0.25">
      <c r="H429" s="183" t="s">
        <v>491</v>
      </c>
      <c r="I429" s="183" t="s">
        <v>507</v>
      </c>
      <c r="J429" s="183" t="s">
        <v>480</v>
      </c>
      <c r="K429" s="183" t="s">
        <v>1092</v>
      </c>
    </row>
    <row r="430" spans="8:11" x14ac:dyDescent="0.25">
      <c r="H430" s="183" t="s">
        <v>491</v>
      </c>
      <c r="I430" s="183" t="s">
        <v>507</v>
      </c>
      <c r="J430" s="183" t="s">
        <v>483</v>
      </c>
      <c r="K430" s="183" t="s">
        <v>1093</v>
      </c>
    </row>
    <row r="431" spans="8:11" x14ac:dyDescent="0.25">
      <c r="H431" s="183" t="s">
        <v>491</v>
      </c>
      <c r="I431" s="183" t="s">
        <v>507</v>
      </c>
      <c r="J431" s="183" t="s">
        <v>487</v>
      </c>
      <c r="K431" s="183" t="s">
        <v>1094</v>
      </c>
    </row>
    <row r="432" spans="8:11" x14ac:dyDescent="0.25">
      <c r="H432" s="183" t="s">
        <v>491</v>
      </c>
      <c r="I432" s="183" t="s">
        <v>507</v>
      </c>
      <c r="J432" s="183" t="s">
        <v>491</v>
      </c>
      <c r="K432" s="183" t="s">
        <v>1095</v>
      </c>
    </row>
    <row r="433" spans="8:11" x14ac:dyDescent="0.25">
      <c r="H433" s="183" t="s">
        <v>491</v>
      </c>
      <c r="I433" s="183" t="s">
        <v>507</v>
      </c>
      <c r="J433" s="183" t="s">
        <v>495</v>
      </c>
      <c r="K433" s="183" t="s">
        <v>1096</v>
      </c>
    </row>
    <row r="434" spans="8:11" x14ac:dyDescent="0.25">
      <c r="H434" s="183" t="s">
        <v>491</v>
      </c>
      <c r="I434" s="183" t="s">
        <v>507</v>
      </c>
      <c r="J434" s="183" t="s">
        <v>499</v>
      </c>
      <c r="K434" s="183" t="s">
        <v>1097</v>
      </c>
    </row>
    <row r="435" spans="8:11" x14ac:dyDescent="0.25">
      <c r="H435" s="183" t="s">
        <v>491</v>
      </c>
      <c r="I435" s="183" t="s">
        <v>507</v>
      </c>
      <c r="J435" s="183" t="s">
        <v>503</v>
      </c>
      <c r="K435" s="183" t="s">
        <v>1098</v>
      </c>
    </row>
    <row r="436" spans="8:11" x14ac:dyDescent="0.25">
      <c r="H436" s="183" t="s">
        <v>491</v>
      </c>
      <c r="I436" s="183" t="s">
        <v>507</v>
      </c>
      <c r="J436" s="183" t="s">
        <v>507</v>
      </c>
      <c r="K436" s="183" t="s">
        <v>1099</v>
      </c>
    </row>
    <row r="437" spans="8:11" x14ac:dyDescent="0.25">
      <c r="H437" s="183" t="s">
        <v>491</v>
      </c>
      <c r="I437" s="183" t="s">
        <v>507</v>
      </c>
      <c r="J437" s="183" t="s">
        <v>511</v>
      </c>
      <c r="K437" s="183" t="s">
        <v>1100</v>
      </c>
    </row>
    <row r="438" spans="8:11" x14ac:dyDescent="0.25">
      <c r="H438" s="183" t="s">
        <v>491</v>
      </c>
      <c r="I438" s="183" t="s">
        <v>507</v>
      </c>
      <c r="J438" s="183" t="s">
        <v>515</v>
      </c>
      <c r="K438" s="183" t="s">
        <v>1101</v>
      </c>
    </row>
    <row r="439" spans="8:11" x14ac:dyDescent="0.25">
      <c r="H439" s="183" t="s">
        <v>491</v>
      </c>
      <c r="I439" s="183" t="s">
        <v>507</v>
      </c>
      <c r="J439" s="183" t="s">
        <v>519</v>
      </c>
      <c r="K439" s="183" t="s">
        <v>1102</v>
      </c>
    </row>
    <row r="440" spans="8:11" x14ac:dyDescent="0.25">
      <c r="H440" s="183" t="s">
        <v>495</v>
      </c>
      <c r="I440" s="183" t="s">
        <v>480</v>
      </c>
      <c r="J440" s="183" t="s">
        <v>480</v>
      </c>
      <c r="K440" s="183" t="s">
        <v>496</v>
      </c>
    </row>
    <row r="441" spans="8:11" x14ac:dyDescent="0.25">
      <c r="H441" s="183" t="s">
        <v>495</v>
      </c>
      <c r="I441" s="183" t="s">
        <v>480</v>
      </c>
      <c r="J441" s="183" t="s">
        <v>483</v>
      </c>
      <c r="K441" s="183" t="s">
        <v>1103</v>
      </c>
    </row>
    <row r="442" spans="8:11" x14ac:dyDescent="0.25">
      <c r="H442" s="183" t="s">
        <v>495</v>
      </c>
      <c r="I442" s="183" t="s">
        <v>480</v>
      </c>
      <c r="J442" s="183" t="s">
        <v>487</v>
      </c>
      <c r="K442" s="183" t="s">
        <v>1104</v>
      </c>
    </row>
    <row r="443" spans="8:11" x14ac:dyDescent="0.25">
      <c r="H443" s="183" t="s">
        <v>495</v>
      </c>
      <c r="I443" s="183" t="s">
        <v>480</v>
      </c>
      <c r="J443" s="183" t="s">
        <v>491</v>
      </c>
      <c r="K443" s="183" t="s">
        <v>1105</v>
      </c>
    </row>
    <row r="444" spans="8:11" x14ac:dyDescent="0.25">
      <c r="H444" s="183" t="s">
        <v>495</v>
      </c>
      <c r="I444" s="183" t="s">
        <v>480</v>
      </c>
      <c r="J444" s="183" t="s">
        <v>495</v>
      </c>
      <c r="K444" s="183" t="s">
        <v>935</v>
      </c>
    </row>
    <row r="445" spans="8:11" x14ac:dyDescent="0.25">
      <c r="H445" s="183" t="s">
        <v>495</v>
      </c>
      <c r="I445" s="183" t="s">
        <v>480</v>
      </c>
      <c r="J445" s="183" t="s">
        <v>499</v>
      </c>
      <c r="K445" s="183" t="s">
        <v>560</v>
      </c>
    </row>
    <row r="446" spans="8:11" x14ac:dyDescent="0.25">
      <c r="H446" s="183" t="s">
        <v>495</v>
      </c>
      <c r="I446" s="183" t="s">
        <v>480</v>
      </c>
      <c r="J446" s="183" t="s">
        <v>503</v>
      </c>
      <c r="K446" s="183" t="s">
        <v>1106</v>
      </c>
    </row>
    <row r="447" spans="8:11" x14ac:dyDescent="0.25">
      <c r="H447" s="183" t="s">
        <v>495</v>
      </c>
      <c r="I447" s="183" t="s">
        <v>480</v>
      </c>
      <c r="J447" s="183" t="s">
        <v>507</v>
      </c>
      <c r="K447" s="183" t="s">
        <v>1107</v>
      </c>
    </row>
    <row r="448" spans="8:11" x14ac:dyDescent="0.25">
      <c r="H448" s="183" t="s">
        <v>495</v>
      </c>
      <c r="I448" s="183" t="s">
        <v>480</v>
      </c>
      <c r="J448" s="183" t="s">
        <v>511</v>
      </c>
      <c r="K448" s="183" t="s">
        <v>1108</v>
      </c>
    </row>
    <row r="449" spans="8:11" x14ac:dyDescent="0.25">
      <c r="H449" s="183" t="s">
        <v>495</v>
      </c>
      <c r="I449" s="183" t="s">
        <v>480</v>
      </c>
      <c r="J449" s="183" t="s">
        <v>515</v>
      </c>
      <c r="K449" s="183" t="s">
        <v>1109</v>
      </c>
    </row>
    <row r="450" spans="8:11" x14ac:dyDescent="0.25">
      <c r="H450" s="183" t="s">
        <v>495</v>
      </c>
      <c r="I450" s="183" t="s">
        <v>480</v>
      </c>
      <c r="J450" s="183" t="s">
        <v>519</v>
      </c>
      <c r="K450" s="183" t="s">
        <v>1110</v>
      </c>
    </row>
    <row r="451" spans="8:11" x14ac:dyDescent="0.25">
      <c r="H451" s="183" t="s">
        <v>495</v>
      </c>
      <c r="I451" s="183" t="s">
        <v>480</v>
      </c>
      <c r="J451" s="183" t="s">
        <v>522</v>
      </c>
      <c r="K451" s="183" t="s">
        <v>1111</v>
      </c>
    </row>
    <row r="452" spans="8:11" x14ac:dyDescent="0.25">
      <c r="H452" s="183" t="s">
        <v>495</v>
      </c>
      <c r="I452" s="183" t="s">
        <v>480</v>
      </c>
      <c r="J452" s="183" t="s">
        <v>526</v>
      </c>
      <c r="K452" s="183" t="s">
        <v>1112</v>
      </c>
    </row>
    <row r="453" spans="8:11" x14ac:dyDescent="0.25">
      <c r="H453" s="183" t="s">
        <v>495</v>
      </c>
      <c r="I453" s="183" t="s">
        <v>480</v>
      </c>
      <c r="J453" s="183" t="s">
        <v>530</v>
      </c>
      <c r="K453" s="183" t="s">
        <v>1113</v>
      </c>
    </row>
    <row r="454" spans="8:11" x14ac:dyDescent="0.25">
      <c r="H454" s="183" t="s">
        <v>495</v>
      </c>
      <c r="I454" s="183" t="s">
        <v>480</v>
      </c>
      <c r="J454" s="183" t="s">
        <v>534</v>
      </c>
      <c r="K454" s="183" t="s">
        <v>1114</v>
      </c>
    </row>
    <row r="455" spans="8:11" x14ac:dyDescent="0.25">
      <c r="H455" s="183" t="s">
        <v>495</v>
      </c>
      <c r="I455" s="183" t="s">
        <v>483</v>
      </c>
      <c r="J455" s="183" t="s">
        <v>480</v>
      </c>
      <c r="K455" s="183" t="s">
        <v>613</v>
      </c>
    </row>
    <row r="456" spans="8:11" x14ac:dyDescent="0.25">
      <c r="H456" s="183" t="s">
        <v>495</v>
      </c>
      <c r="I456" s="183" t="s">
        <v>483</v>
      </c>
      <c r="J456" s="183" t="s">
        <v>483</v>
      </c>
      <c r="K456" s="183" t="s">
        <v>1115</v>
      </c>
    </row>
    <row r="457" spans="8:11" x14ac:dyDescent="0.25">
      <c r="H457" s="183" t="s">
        <v>495</v>
      </c>
      <c r="I457" s="183" t="s">
        <v>483</v>
      </c>
      <c r="J457" s="183" t="s">
        <v>487</v>
      </c>
      <c r="K457" s="183" t="s">
        <v>1116</v>
      </c>
    </row>
    <row r="458" spans="8:11" x14ac:dyDescent="0.25">
      <c r="H458" s="183" t="s">
        <v>495</v>
      </c>
      <c r="I458" s="183" t="s">
        <v>483</v>
      </c>
      <c r="J458" s="183" t="s">
        <v>491</v>
      </c>
      <c r="K458" s="183" t="s">
        <v>1117</v>
      </c>
    </row>
    <row r="459" spans="8:11" x14ac:dyDescent="0.25">
      <c r="H459" s="183" t="s">
        <v>495</v>
      </c>
      <c r="I459" s="183" t="s">
        <v>483</v>
      </c>
      <c r="J459" s="183" t="s">
        <v>495</v>
      </c>
      <c r="K459" s="183" t="s">
        <v>1118</v>
      </c>
    </row>
    <row r="460" spans="8:11" x14ac:dyDescent="0.25">
      <c r="H460" s="183" t="s">
        <v>495</v>
      </c>
      <c r="I460" s="183" t="s">
        <v>483</v>
      </c>
      <c r="J460" s="183" t="s">
        <v>499</v>
      </c>
      <c r="K460" s="183" t="s">
        <v>1119</v>
      </c>
    </row>
    <row r="461" spans="8:11" x14ac:dyDescent="0.25">
      <c r="H461" s="183" t="s">
        <v>495</v>
      </c>
      <c r="I461" s="183" t="s">
        <v>487</v>
      </c>
      <c r="J461" s="183" t="s">
        <v>480</v>
      </c>
      <c r="K461" s="183" t="s">
        <v>1120</v>
      </c>
    </row>
    <row r="462" spans="8:11" x14ac:dyDescent="0.25">
      <c r="H462" s="183" t="s">
        <v>495</v>
      </c>
      <c r="I462" s="183" t="s">
        <v>487</v>
      </c>
      <c r="J462" s="183" t="s">
        <v>483</v>
      </c>
      <c r="K462" s="183" t="s">
        <v>1121</v>
      </c>
    </row>
    <row r="463" spans="8:11" x14ac:dyDescent="0.25">
      <c r="H463" s="183" t="s">
        <v>495</v>
      </c>
      <c r="I463" s="183" t="s">
        <v>487</v>
      </c>
      <c r="J463" s="183" t="s">
        <v>487</v>
      </c>
      <c r="K463" s="183" t="s">
        <v>1122</v>
      </c>
    </row>
    <row r="464" spans="8:11" x14ac:dyDescent="0.25">
      <c r="H464" s="183" t="s">
        <v>495</v>
      </c>
      <c r="I464" s="183" t="s">
        <v>487</v>
      </c>
      <c r="J464" s="183" t="s">
        <v>491</v>
      </c>
      <c r="K464" s="183" t="s">
        <v>1123</v>
      </c>
    </row>
    <row r="465" spans="8:11" x14ac:dyDescent="0.25">
      <c r="H465" s="183" t="s">
        <v>495</v>
      </c>
      <c r="I465" s="183" t="s">
        <v>491</v>
      </c>
      <c r="J465" s="183" t="s">
        <v>480</v>
      </c>
      <c r="K465" s="183" t="s">
        <v>617</v>
      </c>
    </row>
    <row r="466" spans="8:11" x14ac:dyDescent="0.25">
      <c r="H466" s="183" t="s">
        <v>495</v>
      </c>
      <c r="I466" s="183" t="s">
        <v>491</v>
      </c>
      <c r="J466" s="183" t="s">
        <v>483</v>
      </c>
      <c r="K466" s="183" t="s">
        <v>1124</v>
      </c>
    </row>
    <row r="467" spans="8:11" x14ac:dyDescent="0.25">
      <c r="H467" s="183" t="s">
        <v>495</v>
      </c>
      <c r="I467" s="183" t="s">
        <v>491</v>
      </c>
      <c r="J467" s="183" t="s">
        <v>487</v>
      </c>
      <c r="K467" s="183" t="s">
        <v>1125</v>
      </c>
    </row>
    <row r="468" spans="8:11" x14ac:dyDescent="0.25">
      <c r="H468" s="183" t="s">
        <v>495</v>
      </c>
      <c r="I468" s="183" t="s">
        <v>491</v>
      </c>
      <c r="J468" s="183" t="s">
        <v>491</v>
      </c>
      <c r="K468" s="183" t="s">
        <v>1126</v>
      </c>
    </row>
    <row r="469" spans="8:11" x14ac:dyDescent="0.25">
      <c r="H469" s="183" t="s">
        <v>495</v>
      </c>
      <c r="I469" s="183" t="s">
        <v>491</v>
      </c>
      <c r="J469" s="183" t="s">
        <v>495</v>
      </c>
      <c r="K469" s="183" t="s">
        <v>1127</v>
      </c>
    </row>
    <row r="470" spans="8:11" x14ac:dyDescent="0.25">
      <c r="H470" s="183" t="s">
        <v>495</v>
      </c>
      <c r="I470" s="183" t="s">
        <v>491</v>
      </c>
      <c r="J470" s="183" t="s">
        <v>499</v>
      </c>
      <c r="K470" s="183" t="s">
        <v>1128</v>
      </c>
    </row>
    <row r="471" spans="8:11" x14ac:dyDescent="0.25">
      <c r="H471" s="183" t="s">
        <v>495</v>
      </c>
      <c r="I471" s="183" t="s">
        <v>491</v>
      </c>
      <c r="J471" s="183" t="s">
        <v>503</v>
      </c>
      <c r="K471" s="183" t="s">
        <v>1129</v>
      </c>
    </row>
    <row r="472" spans="8:11" x14ac:dyDescent="0.25">
      <c r="H472" s="183" t="s">
        <v>495</v>
      </c>
      <c r="I472" s="183" t="s">
        <v>491</v>
      </c>
      <c r="J472" s="183" t="s">
        <v>507</v>
      </c>
      <c r="K472" s="183" t="s">
        <v>1130</v>
      </c>
    </row>
    <row r="473" spans="8:11" x14ac:dyDescent="0.25">
      <c r="H473" s="183" t="s">
        <v>495</v>
      </c>
      <c r="I473" s="183" t="s">
        <v>495</v>
      </c>
      <c r="J473" s="183" t="s">
        <v>480</v>
      </c>
      <c r="K473" s="183" t="s">
        <v>651</v>
      </c>
    </row>
    <row r="474" spans="8:11" x14ac:dyDescent="0.25">
      <c r="H474" s="183" t="s">
        <v>495</v>
      </c>
      <c r="I474" s="183" t="s">
        <v>495</v>
      </c>
      <c r="J474" s="183" t="s">
        <v>483</v>
      </c>
      <c r="K474" s="183" t="s">
        <v>1131</v>
      </c>
    </row>
    <row r="475" spans="8:11" x14ac:dyDescent="0.25">
      <c r="H475" s="183" t="s">
        <v>495</v>
      </c>
      <c r="I475" s="183" t="s">
        <v>495</v>
      </c>
      <c r="J475" s="183" t="s">
        <v>487</v>
      </c>
      <c r="K475" s="183" t="s">
        <v>1132</v>
      </c>
    </row>
    <row r="476" spans="8:11" x14ac:dyDescent="0.25">
      <c r="H476" s="183" t="s">
        <v>495</v>
      </c>
      <c r="I476" s="183" t="s">
        <v>495</v>
      </c>
      <c r="J476" s="183" t="s">
        <v>491</v>
      </c>
      <c r="K476" s="183" t="s">
        <v>1133</v>
      </c>
    </row>
    <row r="477" spans="8:11" x14ac:dyDescent="0.25">
      <c r="H477" s="183" t="s">
        <v>495</v>
      </c>
      <c r="I477" s="183" t="s">
        <v>495</v>
      </c>
      <c r="J477" s="183" t="s">
        <v>495</v>
      </c>
      <c r="K477" s="183" t="s">
        <v>1134</v>
      </c>
    </row>
    <row r="478" spans="8:11" x14ac:dyDescent="0.25">
      <c r="H478" s="183" t="s">
        <v>495</v>
      </c>
      <c r="I478" s="183" t="s">
        <v>495</v>
      </c>
      <c r="J478" s="183" t="s">
        <v>499</v>
      </c>
      <c r="K478" s="183" t="s">
        <v>1135</v>
      </c>
    </row>
    <row r="479" spans="8:11" x14ac:dyDescent="0.25">
      <c r="H479" s="183" t="s">
        <v>495</v>
      </c>
      <c r="I479" s="183" t="s">
        <v>495</v>
      </c>
      <c r="J479" s="183" t="s">
        <v>503</v>
      </c>
      <c r="K479" s="183" t="s">
        <v>670</v>
      </c>
    </row>
    <row r="480" spans="8:11" x14ac:dyDescent="0.25">
      <c r="H480" s="183" t="s">
        <v>495</v>
      </c>
      <c r="I480" s="183" t="s">
        <v>495</v>
      </c>
      <c r="J480" s="183" t="s">
        <v>507</v>
      </c>
      <c r="K480" s="183" t="s">
        <v>1136</v>
      </c>
    </row>
    <row r="481" spans="8:11" x14ac:dyDescent="0.25">
      <c r="H481" s="183" t="s">
        <v>495</v>
      </c>
      <c r="I481" s="183" t="s">
        <v>499</v>
      </c>
      <c r="J481" s="183" t="s">
        <v>480</v>
      </c>
      <c r="K481" s="183" t="s">
        <v>1137</v>
      </c>
    </row>
    <row r="482" spans="8:11" x14ac:dyDescent="0.25">
      <c r="H482" s="183" t="s">
        <v>495</v>
      </c>
      <c r="I482" s="183" t="s">
        <v>499</v>
      </c>
      <c r="J482" s="183" t="s">
        <v>483</v>
      </c>
      <c r="K482" s="183" t="s">
        <v>1138</v>
      </c>
    </row>
    <row r="483" spans="8:11" x14ac:dyDescent="0.25">
      <c r="H483" s="183" t="s">
        <v>495</v>
      </c>
      <c r="I483" s="183" t="s">
        <v>499</v>
      </c>
      <c r="J483" s="183" t="s">
        <v>487</v>
      </c>
      <c r="K483" s="183" t="s">
        <v>884</v>
      </c>
    </row>
    <row r="484" spans="8:11" x14ac:dyDescent="0.25">
      <c r="H484" s="183" t="s">
        <v>495</v>
      </c>
      <c r="I484" s="183" t="s">
        <v>499</v>
      </c>
      <c r="J484" s="183" t="s">
        <v>491</v>
      </c>
      <c r="K484" s="183" t="s">
        <v>1139</v>
      </c>
    </row>
    <row r="485" spans="8:11" x14ac:dyDescent="0.25">
      <c r="H485" s="183" t="s">
        <v>495</v>
      </c>
      <c r="I485" s="183" t="s">
        <v>499</v>
      </c>
      <c r="J485" s="183" t="s">
        <v>495</v>
      </c>
      <c r="K485" s="183" t="s">
        <v>1140</v>
      </c>
    </row>
    <row r="486" spans="8:11" x14ac:dyDescent="0.25">
      <c r="H486" s="183" t="s">
        <v>495</v>
      </c>
      <c r="I486" s="183" t="s">
        <v>499</v>
      </c>
      <c r="J486" s="183" t="s">
        <v>499</v>
      </c>
      <c r="K486" s="183" t="s">
        <v>1141</v>
      </c>
    </row>
    <row r="487" spans="8:11" x14ac:dyDescent="0.25">
      <c r="H487" s="183" t="s">
        <v>495</v>
      </c>
      <c r="I487" s="183" t="s">
        <v>499</v>
      </c>
      <c r="J487" s="183" t="s">
        <v>503</v>
      </c>
      <c r="K487" s="183" t="s">
        <v>1142</v>
      </c>
    </row>
    <row r="488" spans="8:11" x14ac:dyDescent="0.25">
      <c r="H488" s="183" t="s">
        <v>495</v>
      </c>
      <c r="I488" s="183" t="s">
        <v>499</v>
      </c>
      <c r="J488" s="183" t="s">
        <v>507</v>
      </c>
      <c r="K488" s="183" t="s">
        <v>1143</v>
      </c>
    </row>
    <row r="489" spans="8:11" x14ac:dyDescent="0.25">
      <c r="H489" s="183" t="s">
        <v>495</v>
      </c>
      <c r="I489" s="183" t="s">
        <v>499</v>
      </c>
      <c r="J489" s="183" t="s">
        <v>511</v>
      </c>
      <c r="K489" s="183" t="s">
        <v>702</v>
      </c>
    </row>
    <row r="490" spans="8:11" x14ac:dyDescent="0.25">
      <c r="H490" s="183" t="s">
        <v>495</v>
      </c>
      <c r="I490" s="183" t="s">
        <v>499</v>
      </c>
      <c r="J490" s="183" t="s">
        <v>515</v>
      </c>
      <c r="K490" s="183" t="s">
        <v>1144</v>
      </c>
    </row>
    <row r="491" spans="8:11" x14ac:dyDescent="0.25">
      <c r="H491" s="183" t="s">
        <v>495</v>
      </c>
      <c r="I491" s="183" t="s">
        <v>499</v>
      </c>
      <c r="J491" s="183" t="s">
        <v>519</v>
      </c>
      <c r="K491" s="183" t="s">
        <v>621</v>
      </c>
    </row>
    <row r="492" spans="8:11" x14ac:dyDescent="0.25">
      <c r="H492" s="183" t="s">
        <v>495</v>
      </c>
      <c r="I492" s="183" t="s">
        <v>499</v>
      </c>
      <c r="J492" s="183" t="s">
        <v>522</v>
      </c>
      <c r="K492" s="183" t="s">
        <v>1145</v>
      </c>
    </row>
    <row r="493" spans="8:11" x14ac:dyDescent="0.25">
      <c r="H493" s="183" t="s">
        <v>495</v>
      </c>
      <c r="I493" s="183" t="s">
        <v>499</v>
      </c>
      <c r="J493" s="183" t="s">
        <v>526</v>
      </c>
      <c r="K493" s="183" t="s">
        <v>1146</v>
      </c>
    </row>
    <row r="494" spans="8:11" x14ac:dyDescent="0.25">
      <c r="H494" s="183" t="s">
        <v>495</v>
      </c>
      <c r="I494" s="183" t="s">
        <v>499</v>
      </c>
      <c r="J494" s="183" t="s">
        <v>530</v>
      </c>
      <c r="K494" s="183" t="s">
        <v>1147</v>
      </c>
    </row>
    <row r="495" spans="8:11" x14ac:dyDescent="0.25">
      <c r="H495" s="183" t="s">
        <v>495</v>
      </c>
      <c r="I495" s="183" t="s">
        <v>499</v>
      </c>
      <c r="J495" s="183" t="s">
        <v>534</v>
      </c>
      <c r="K495" s="183" t="s">
        <v>638</v>
      </c>
    </row>
    <row r="496" spans="8:11" x14ac:dyDescent="0.25">
      <c r="H496" s="183" t="s">
        <v>495</v>
      </c>
      <c r="I496" s="183" t="s">
        <v>499</v>
      </c>
      <c r="J496" s="183" t="s">
        <v>538</v>
      </c>
      <c r="K496" s="183" t="s">
        <v>917</v>
      </c>
    </row>
    <row r="497" spans="8:11" x14ac:dyDescent="0.25">
      <c r="H497" s="183" t="s">
        <v>495</v>
      </c>
      <c r="I497" s="183" t="s">
        <v>499</v>
      </c>
      <c r="J497" s="183" t="s">
        <v>542</v>
      </c>
      <c r="K497" s="183" t="s">
        <v>882</v>
      </c>
    </row>
    <row r="498" spans="8:11" x14ac:dyDescent="0.25">
      <c r="H498" s="183" t="s">
        <v>495</v>
      </c>
      <c r="I498" s="183" t="s">
        <v>499</v>
      </c>
      <c r="J498" s="183" t="s">
        <v>546</v>
      </c>
      <c r="K498" s="183" t="s">
        <v>1148</v>
      </c>
    </row>
    <row r="499" spans="8:11" x14ac:dyDescent="0.25">
      <c r="H499" s="183" t="s">
        <v>495</v>
      </c>
      <c r="I499" s="183" t="s">
        <v>499</v>
      </c>
      <c r="J499" s="183" t="s">
        <v>550</v>
      </c>
      <c r="K499" s="183" t="s">
        <v>1120</v>
      </c>
    </row>
    <row r="500" spans="8:11" x14ac:dyDescent="0.25">
      <c r="H500" s="183" t="s">
        <v>495</v>
      </c>
      <c r="I500" s="183" t="s">
        <v>499</v>
      </c>
      <c r="J500" s="183" t="s">
        <v>554</v>
      </c>
      <c r="K500" s="183" t="s">
        <v>1149</v>
      </c>
    </row>
    <row r="501" spans="8:11" x14ac:dyDescent="0.25">
      <c r="H501" s="183" t="s">
        <v>495</v>
      </c>
      <c r="I501" s="183" t="s">
        <v>499</v>
      </c>
      <c r="J501" s="183" t="s">
        <v>558</v>
      </c>
      <c r="K501" s="183" t="s">
        <v>1150</v>
      </c>
    </row>
    <row r="502" spans="8:11" x14ac:dyDescent="0.25">
      <c r="H502" s="183" t="s">
        <v>495</v>
      </c>
      <c r="I502" s="183" t="s">
        <v>503</v>
      </c>
      <c r="J502" s="183" t="s">
        <v>480</v>
      </c>
      <c r="K502" s="183" t="s">
        <v>1151</v>
      </c>
    </row>
    <row r="503" spans="8:11" x14ac:dyDescent="0.25">
      <c r="H503" s="183" t="s">
        <v>495</v>
      </c>
      <c r="I503" s="183" t="s">
        <v>503</v>
      </c>
      <c r="J503" s="183" t="s">
        <v>483</v>
      </c>
      <c r="K503" s="183" t="s">
        <v>1152</v>
      </c>
    </row>
    <row r="504" spans="8:11" x14ac:dyDescent="0.25">
      <c r="H504" s="183" t="s">
        <v>495</v>
      </c>
      <c r="I504" s="183" t="s">
        <v>503</v>
      </c>
      <c r="J504" s="183" t="s">
        <v>487</v>
      </c>
      <c r="K504" s="183" t="s">
        <v>1153</v>
      </c>
    </row>
    <row r="505" spans="8:11" x14ac:dyDescent="0.25">
      <c r="H505" s="183" t="s">
        <v>495</v>
      </c>
      <c r="I505" s="183" t="s">
        <v>503</v>
      </c>
      <c r="J505" s="183" t="s">
        <v>491</v>
      </c>
      <c r="K505" s="183" t="s">
        <v>1154</v>
      </c>
    </row>
    <row r="506" spans="8:11" x14ac:dyDescent="0.25">
      <c r="H506" s="183" t="s">
        <v>495</v>
      </c>
      <c r="I506" s="183" t="s">
        <v>503</v>
      </c>
      <c r="J506" s="183" t="s">
        <v>495</v>
      </c>
      <c r="K506" s="183" t="s">
        <v>1155</v>
      </c>
    </row>
    <row r="507" spans="8:11" x14ac:dyDescent="0.25">
      <c r="H507" s="183" t="s">
        <v>495</v>
      </c>
      <c r="I507" s="183" t="s">
        <v>503</v>
      </c>
      <c r="J507" s="183" t="s">
        <v>499</v>
      </c>
      <c r="K507" s="183" t="s">
        <v>1156</v>
      </c>
    </row>
    <row r="508" spans="8:11" x14ac:dyDescent="0.25">
      <c r="H508" s="183" t="s">
        <v>495</v>
      </c>
      <c r="I508" s="183" t="s">
        <v>503</v>
      </c>
      <c r="J508" s="183" t="s">
        <v>503</v>
      </c>
      <c r="K508" s="183" t="s">
        <v>1157</v>
      </c>
    </row>
    <row r="509" spans="8:11" x14ac:dyDescent="0.25">
      <c r="H509" s="183" t="s">
        <v>495</v>
      </c>
      <c r="I509" s="183" t="s">
        <v>503</v>
      </c>
      <c r="J509" s="183" t="s">
        <v>507</v>
      </c>
      <c r="K509" s="183" t="s">
        <v>1158</v>
      </c>
    </row>
    <row r="510" spans="8:11" x14ac:dyDescent="0.25">
      <c r="H510" s="183" t="s">
        <v>495</v>
      </c>
      <c r="I510" s="183" t="s">
        <v>507</v>
      </c>
      <c r="J510" s="183" t="s">
        <v>480</v>
      </c>
      <c r="K510" s="183" t="s">
        <v>1159</v>
      </c>
    </row>
    <row r="511" spans="8:11" x14ac:dyDescent="0.25">
      <c r="H511" s="183" t="s">
        <v>495</v>
      </c>
      <c r="I511" s="183" t="s">
        <v>507</v>
      </c>
      <c r="J511" s="183" t="s">
        <v>483</v>
      </c>
      <c r="K511" s="183" t="s">
        <v>1160</v>
      </c>
    </row>
    <row r="512" spans="8:11" x14ac:dyDescent="0.25">
      <c r="H512" s="183" t="s">
        <v>495</v>
      </c>
      <c r="I512" s="183" t="s">
        <v>507</v>
      </c>
      <c r="J512" s="183" t="s">
        <v>487</v>
      </c>
      <c r="K512" s="183" t="s">
        <v>1161</v>
      </c>
    </row>
    <row r="513" spans="8:11" x14ac:dyDescent="0.25">
      <c r="H513" s="183" t="s">
        <v>495</v>
      </c>
      <c r="I513" s="183" t="s">
        <v>507</v>
      </c>
      <c r="J513" s="183" t="s">
        <v>491</v>
      </c>
      <c r="K513" s="183" t="s">
        <v>833</v>
      </c>
    </row>
    <row r="514" spans="8:11" x14ac:dyDescent="0.25">
      <c r="H514" s="183" t="s">
        <v>495</v>
      </c>
      <c r="I514" s="183" t="s">
        <v>507</v>
      </c>
      <c r="J514" s="183" t="s">
        <v>495</v>
      </c>
      <c r="K514" s="183" t="s">
        <v>1162</v>
      </c>
    </row>
    <row r="515" spans="8:11" x14ac:dyDescent="0.25">
      <c r="H515" s="183" t="s">
        <v>495</v>
      </c>
      <c r="I515" s="183" t="s">
        <v>507</v>
      </c>
      <c r="J515" s="183" t="s">
        <v>499</v>
      </c>
      <c r="K515" s="183" t="s">
        <v>1163</v>
      </c>
    </row>
    <row r="516" spans="8:11" x14ac:dyDescent="0.25">
      <c r="H516" s="183" t="s">
        <v>495</v>
      </c>
      <c r="I516" s="183" t="s">
        <v>507</v>
      </c>
      <c r="J516" s="183" t="s">
        <v>503</v>
      </c>
      <c r="K516" s="183" t="s">
        <v>1164</v>
      </c>
    </row>
    <row r="517" spans="8:11" x14ac:dyDescent="0.25">
      <c r="H517" s="183" t="s">
        <v>495</v>
      </c>
      <c r="I517" s="183" t="s">
        <v>507</v>
      </c>
      <c r="J517" s="183" t="s">
        <v>507</v>
      </c>
      <c r="K517" s="183" t="s">
        <v>1165</v>
      </c>
    </row>
    <row r="518" spans="8:11" x14ac:dyDescent="0.25">
      <c r="H518" s="183" t="s">
        <v>495</v>
      </c>
      <c r="I518" s="183" t="s">
        <v>507</v>
      </c>
      <c r="J518" s="183" t="s">
        <v>511</v>
      </c>
      <c r="K518" s="183" t="s">
        <v>1166</v>
      </c>
    </row>
    <row r="519" spans="8:11" x14ac:dyDescent="0.25">
      <c r="H519" s="183" t="s">
        <v>495</v>
      </c>
      <c r="I519" s="183" t="s">
        <v>507</v>
      </c>
      <c r="J519" s="183" t="s">
        <v>515</v>
      </c>
      <c r="K519" s="183" t="s">
        <v>1167</v>
      </c>
    </row>
    <row r="520" spans="8:11" x14ac:dyDescent="0.25">
      <c r="H520" s="183" t="s">
        <v>495</v>
      </c>
      <c r="I520" s="183" t="s">
        <v>511</v>
      </c>
      <c r="J520" s="183" t="s">
        <v>480</v>
      </c>
      <c r="K520" s="183" t="s">
        <v>1168</v>
      </c>
    </row>
    <row r="521" spans="8:11" x14ac:dyDescent="0.25">
      <c r="H521" s="183" t="s">
        <v>495</v>
      </c>
      <c r="I521" s="183" t="s">
        <v>511</v>
      </c>
      <c r="J521" s="183" t="s">
        <v>483</v>
      </c>
      <c r="K521" s="183" t="s">
        <v>1169</v>
      </c>
    </row>
    <row r="522" spans="8:11" x14ac:dyDescent="0.25">
      <c r="H522" s="183" t="s">
        <v>495</v>
      </c>
      <c r="I522" s="183" t="s">
        <v>511</v>
      </c>
      <c r="J522" s="183" t="s">
        <v>487</v>
      </c>
      <c r="K522" s="183" t="s">
        <v>1170</v>
      </c>
    </row>
    <row r="523" spans="8:11" x14ac:dyDescent="0.25">
      <c r="H523" s="183" t="s">
        <v>495</v>
      </c>
      <c r="I523" s="183" t="s">
        <v>511</v>
      </c>
      <c r="J523" s="183" t="s">
        <v>491</v>
      </c>
      <c r="K523" s="183" t="s">
        <v>1171</v>
      </c>
    </row>
    <row r="524" spans="8:11" x14ac:dyDescent="0.25">
      <c r="H524" s="183" t="s">
        <v>495</v>
      </c>
      <c r="I524" s="183" t="s">
        <v>511</v>
      </c>
      <c r="J524" s="183" t="s">
        <v>495</v>
      </c>
      <c r="K524" s="183" t="s">
        <v>1172</v>
      </c>
    </row>
    <row r="525" spans="8:11" x14ac:dyDescent="0.25">
      <c r="H525" s="183" t="s">
        <v>495</v>
      </c>
      <c r="I525" s="183" t="s">
        <v>511</v>
      </c>
      <c r="J525" s="183" t="s">
        <v>499</v>
      </c>
      <c r="K525" s="183" t="s">
        <v>1173</v>
      </c>
    </row>
    <row r="526" spans="8:11" x14ac:dyDescent="0.25">
      <c r="H526" s="183" t="s">
        <v>495</v>
      </c>
      <c r="I526" s="183" t="s">
        <v>511</v>
      </c>
      <c r="J526" s="183" t="s">
        <v>503</v>
      </c>
      <c r="K526" s="183" t="s">
        <v>1174</v>
      </c>
    </row>
    <row r="527" spans="8:11" x14ac:dyDescent="0.25">
      <c r="H527" s="183" t="s">
        <v>495</v>
      </c>
      <c r="I527" s="183" t="s">
        <v>511</v>
      </c>
      <c r="J527" s="183" t="s">
        <v>507</v>
      </c>
      <c r="K527" s="183" t="s">
        <v>1175</v>
      </c>
    </row>
    <row r="528" spans="8:11" x14ac:dyDescent="0.25">
      <c r="H528" s="183" t="s">
        <v>495</v>
      </c>
      <c r="I528" s="183" t="s">
        <v>511</v>
      </c>
      <c r="J528" s="183" t="s">
        <v>511</v>
      </c>
      <c r="K528" s="183" t="s">
        <v>1176</v>
      </c>
    </row>
    <row r="529" spans="8:11" x14ac:dyDescent="0.25">
      <c r="H529" s="183" t="s">
        <v>495</v>
      </c>
      <c r="I529" s="183" t="s">
        <v>511</v>
      </c>
      <c r="J529" s="183" t="s">
        <v>515</v>
      </c>
      <c r="K529" s="183" t="s">
        <v>1177</v>
      </c>
    </row>
    <row r="530" spans="8:11" x14ac:dyDescent="0.25">
      <c r="H530" s="183" t="s">
        <v>495</v>
      </c>
      <c r="I530" s="183" t="s">
        <v>511</v>
      </c>
      <c r="J530" s="183" t="s">
        <v>519</v>
      </c>
      <c r="K530" s="183" t="s">
        <v>1178</v>
      </c>
    </row>
    <row r="531" spans="8:11" x14ac:dyDescent="0.25">
      <c r="H531" s="183" t="s">
        <v>495</v>
      </c>
      <c r="I531" s="183" t="s">
        <v>515</v>
      </c>
      <c r="J531" s="183" t="s">
        <v>480</v>
      </c>
      <c r="K531" s="183" t="s">
        <v>1179</v>
      </c>
    </row>
    <row r="532" spans="8:11" x14ac:dyDescent="0.25">
      <c r="H532" s="183" t="s">
        <v>495</v>
      </c>
      <c r="I532" s="183" t="s">
        <v>515</v>
      </c>
      <c r="J532" s="183" t="s">
        <v>483</v>
      </c>
      <c r="K532" s="183" t="s">
        <v>1180</v>
      </c>
    </row>
    <row r="533" spans="8:11" x14ac:dyDescent="0.25">
      <c r="H533" s="183" t="s">
        <v>495</v>
      </c>
      <c r="I533" s="183" t="s">
        <v>515</v>
      </c>
      <c r="J533" s="183" t="s">
        <v>487</v>
      </c>
      <c r="K533" s="183" t="s">
        <v>1181</v>
      </c>
    </row>
    <row r="534" spans="8:11" x14ac:dyDescent="0.25">
      <c r="H534" s="183" t="s">
        <v>495</v>
      </c>
      <c r="I534" s="183" t="s">
        <v>515</v>
      </c>
      <c r="J534" s="183" t="s">
        <v>491</v>
      </c>
      <c r="K534" s="183" t="s">
        <v>1182</v>
      </c>
    </row>
    <row r="535" spans="8:11" x14ac:dyDescent="0.25">
      <c r="H535" s="183" t="s">
        <v>495</v>
      </c>
      <c r="I535" s="183" t="s">
        <v>515</v>
      </c>
      <c r="J535" s="183" t="s">
        <v>495</v>
      </c>
      <c r="K535" s="183" t="s">
        <v>1183</v>
      </c>
    </row>
    <row r="536" spans="8:11" x14ac:dyDescent="0.25">
      <c r="H536" s="183" t="s">
        <v>495</v>
      </c>
      <c r="I536" s="183" t="s">
        <v>515</v>
      </c>
      <c r="J536" s="183" t="s">
        <v>499</v>
      </c>
      <c r="K536" s="183" t="s">
        <v>1184</v>
      </c>
    </row>
    <row r="537" spans="8:11" x14ac:dyDescent="0.25">
      <c r="H537" s="183" t="s">
        <v>495</v>
      </c>
      <c r="I537" s="183" t="s">
        <v>515</v>
      </c>
      <c r="J537" s="183" t="s">
        <v>503</v>
      </c>
      <c r="K537" s="183" t="s">
        <v>1185</v>
      </c>
    </row>
    <row r="538" spans="8:11" x14ac:dyDescent="0.25">
      <c r="H538" s="183" t="s">
        <v>495</v>
      </c>
      <c r="I538" s="183" t="s">
        <v>515</v>
      </c>
      <c r="J538" s="183" t="s">
        <v>507</v>
      </c>
      <c r="K538" s="183" t="s">
        <v>1186</v>
      </c>
    </row>
    <row r="539" spans="8:11" x14ac:dyDescent="0.25">
      <c r="H539" s="183" t="s">
        <v>495</v>
      </c>
      <c r="I539" s="183" t="s">
        <v>515</v>
      </c>
      <c r="J539" s="183" t="s">
        <v>511</v>
      </c>
      <c r="K539" s="183" t="s">
        <v>1187</v>
      </c>
    </row>
    <row r="540" spans="8:11" x14ac:dyDescent="0.25">
      <c r="H540" s="183" t="s">
        <v>495</v>
      </c>
      <c r="I540" s="183" t="s">
        <v>515</v>
      </c>
      <c r="J540" s="183" t="s">
        <v>515</v>
      </c>
      <c r="K540" s="183" t="s">
        <v>1188</v>
      </c>
    </row>
    <row r="541" spans="8:11" x14ac:dyDescent="0.25">
      <c r="H541" s="183" t="s">
        <v>495</v>
      </c>
      <c r="I541" s="183" t="s">
        <v>515</v>
      </c>
      <c r="J541" s="183" t="s">
        <v>519</v>
      </c>
      <c r="K541" s="183" t="s">
        <v>1189</v>
      </c>
    </row>
    <row r="542" spans="8:11" x14ac:dyDescent="0.25">
      <c r="H542" s="183" t="s">
        <v>495</v>
      </c>
      <c r="I542" s="183" t="s">
        <v>515</v>
      </c>
      <c r="J542" s="183" t="s">
        <v>522</v>
      </c>
      <c r="K542" s="183" t="s">
        <v>1190</v>
      </c>
    </row>
    <row r="543" spans="8:11" x14ac:dyDescent="0.25">
      <c r="H543" s="183" t="s">
        <v>495</v>
      </c>
      <c r="I543" s="183" t="s">
        <v>519</v>
      </c>
      <c r="J543" s="183" t="s">
        <v>480</v>
      </c>
      <c r="K543" s="183" t="s">
        <v>630</v>
      </c>
    </row>
    <row r="544" spans="8:11" x14ac:dyDescent="0.25">
      <c r="H544" s="183" t="s">
        <v>495</v>
      </c>
      <c r="I544" s="183" t="s">
        <v>519</v>
      </c>
      <c r="J544" s="183" t="s">
        <v>483</v>
      </c>
      <c r="K544" s="183" t="s">
        <v>1191</v>
      </c>
    </row>
    <row r="545" spans="8:11" x14ac:dyDescent="0.25">
      <c r="H545" s="183" t="s">
        <v>495</v>
      </c>
      <c r="I545" s="183" t="s">
        <v>519</v>
      </c>
      <c r="J545" s="183" t="s">
        <v>487</v>
      </c>
      <c r="K545" s="183" t="s">
        <v>1192</v>
      </c>
    </row>
    <row r="546" spans="8:11" x14ac:dyDescent="0.25">
      <c r="H546" s="183" t="s">
        <v>495</v>
      </c>
      <c r="I546" s="183" t="s">
        <v>519</v>
      </c>
      <c r="J546" s="183" t="s">
        <v>491</v>
      </c>
      <c r="K546" s="183" t="s">
        <v>724</v>
      </c>
    </row>
    <row r="547" spans="8:11" x14ac:dyDescent="0.25">
      <c r="H547" s="183" t="s">
        <v>495</v>
      </c>
      <c r="I547" s="183" t="s">
        <v>519</v>
      </c>
      <c r="J547" s="183" t="s">
        <v>495</v>
      </c>
      <c r="K547" s="183" t="s">
        <v>1193</v>
      </c>
    </row>
    <row r="548" spans="8:11" x14ac:dyDescent="0.25">
      <c r="H548" s="183" t="s">
        <v>495</v>
      </c>
      <c r="I548" s="183" t="s">
        <v>519</v>
      </c>
      <c r="J548" s="183" t="s">
        <v>499</v>
      </c>
      <c r="K548" s="183" t="s">
        <v>695</v>
      </c>
    </row>
    <row r="549" spans="8:11" x14ac:dyDescent="0.25">
      <c r="H549" s="183" t="s">
        <v>495</v>
      </c>
      <c r="I549" s="183" t="s">
        <v>519</v>
      </c>
      <c r="J549" s="183" t="s">
        <v>503</v>
      </c>
      <c r="K549" s="183" t="s">
        <v>1194</v>
      </c>
    </row>
    <row r="550" spans="8:11" x14ac:dyDescent="0.25">
      <c r="H550" s="183" t="s">
        <v>495</v>
      </c>
      <c r="I550" s="183" t="s">
        <v>519</v>
      </c>
      <c r="J550" s="183" t="s">
        <v>507</v>
      </c>
      <c r="K550" s="183" t="s">
        <v>1195</v>
      </c>
    </row>
    <row r="551" spans="8:11" x14ac:dyDescent="0.25">
      <c r="H551" s="183" t="s">
        <v>499</v>
      </c>
      <c r="I551" s="183" t="s">
        <v>480</v>
      </c>
      <c r="J551" s="183" t="s">
        <v>480</v>
      </c>
      <c r="K551" s="183" t="s">
        <v>500</v>
      </c>
    </row>
    <row r="552" spans="8:11" x14ac:dyDescent="0.25">
      <c r="H552" s="183" t="s">
        <v>499</v>
      </c>
      <c r="I552" s="183" t="s">
        <v>480</v>
      </c>
      <c r="J552" s="183" t="s">
        <v>483</v>
      </c>
      <c r="K552" s="183" t="s">
        <v>486</v>
      </c>
    </row>
    <row r="553" spans="8:11" x14ac:dyDescent="0.25">
      <c r="H553" s="183" t="s">
        <v>499</v>
      </c>
      <c r="I553" s="183" t="s">
        <v>480</v>
      </c>
      <c r="J553" s="183" t="s">
        <v>487</v>
      </c>
      <c r="K553" s="183" t="s">
        <v>1196</v>
      </c>
    </row>
    <row r="554" spans="8:11" x14ac:dyDescent="0.25">
      <c r="H554" s="183" t="s">
        <v>499</v>
      </c>
      <c r="I554" s="183" t="s">
        <v>480</v>
      </c>
      <c r="J554" s="183" t="s">
        <v>491</v>
      </c>
      <c r="K554" s="183" t="s">
        <v>1197</v>
      </c>
    </row>
    <row r="555" spans="8:11" x14ac:dyDescent="0.25">
      <c r="H555" s="183" t="s">
        <v>499</v>
      </c>
      <c r="I555" s="183" t="s">
        <v>480</v>
      </c>
      <c r="J555" s="183" t="s">
        <v>495</v>
      </c>
      <c r="K555" s="183" t="s">
        <v>1198</v>
      </c>
    </row>
    <row r="556" spans="8:11" x14ac:dyDescent="0.25">
      <c r="H556" s="183" t="s">
        <v>499</v>
      </c>
      <c r="I556" s="183" t="s">
        <v>480</v>
      </c>
      <c r="J556" s="183" t="s">
        <v>499</v>
      </c>
      <c r="K556" s="183" t="s">
        <v>1199</v>
      </c>
    </row>
    <row r="557" spans="8:11" x14ac:dyDescent="0.25">
      <c r="H557" s="183" t="s">
        <v>499</v>
      </c>
      <c r="I557" s="183" t="s">
        <v>480</v>
      </c>
      <c r="J557" s="183" t="s">
        <v>503</v>
      </c>
      <c r="K557" s="183" t="s">
        <v>1200</v>
      </c>
    </row>
    <row r="558" spans="8:11" x14ac:dyDescent="0.25">
      <c r="H558" s="183" t="s">
        <v>499</v>
      </c>
      <c r="I558" s="183" t="s">
        <v>480</v>
      </c>
      <c r="J558" s="183" t="s">
        <v>507</v>
      </c>
      <c r="K558" s="183" t="s">
        <v>1201</v>
      </c>
    </row>
    <row r="559" spans="8:11" x14ac:dyDescent="0.25">
      <c r="H559" s="183" t="s">
        <v>499</v>
      </c>
      <c r="I559" s="183" t="s">
        <v>480</v>
      </c>
      <c r="J559" s="183" t="s">
        <v>511</v>
      </c>
      <c r="K559" s="183" t="s">
        <v>525</v>
      </c>
    </row>
    <row r="560" spans="8:11" x14ac:dyDescent="0.25">
      <c r="H560" s="183" t="s">
        <v>499</v>
      </c>
      <c r="I560" s="183" t="s">
        <v>480</v>
      </c>
      <c r="J560" s="183" t="s">
        <v>515</v>
      </c>
      <c r="K560" s="183" t="s">
        <v>1202</v>
      </c>
    </row>
    <row r="561" spans="8:11" x14ac:dyDescent="0.25">
      <c r="H561" s="183" t="s">
        <v>499</v>
      </c>
      <c r="I561" s="183" t="s">
        <v>480</v>
      </c>
      <c r="J561" s="183" t="s">
        <v>519</v>
      </c>
      <c r="K561" s="183" t="s">
        <v>1203</v>
      </c>
    </row>
    <row r="562" spans="8:11" x14ac:dyDescent="0.25">
      <c r="H562" s="183" t="s">
        <v>499</v>
      </c>
      <c r="I562" s="183" t="s">
        <v>480</v>
      </c>
      <c r="J562" s="183" t="s">
        <v>522</v>
      </c>
      <c r="K562" s="183" t="s">
        <v>917</v>
      </c>
    </row>
    <row r="563" spans="8:11" x14ac:dyDescent="0.25">
      <c r="H563" s="183" t="s">
        <v>499</v>
      </c>
      <c r="I563" s="183" t="s">
        <v>483</v>
      </c>
      <c r="J563" s="183" t="s">
        <v>480</v>
      </c>
      <c r="K563" s="183" t="s">
        <v>633</v>
      </c>
    </row>
    <row r="564" spans="8:11" x14ac:dyDescent="0.25">
      <c r="H564" s="183" t="s">
        <v>499</v>
      </c>
      <c r="I564" s="183" t="s">
        <v>483</v>
      </c>
      <c r="J564" s="183" t="s">
        <v>483</v>
      </c>
      <c r="K564" s="183" t="s">
        <v>1204</v>
      </c>
    </row>
    <row r="565" spans="8:11" x14ac:dyDescent="0.25">
      <c r="H565" s="183" t="s">
        <v>499</v>
      </c>
      <c r="I565" s="183" t="s">
        <v>483</v>
      </c>
      <c r="J565" s="183" t="s">
        <v>487</v>
      </c>
      <c r="K565" s="183" t="s">
        <v>1205</v>
      </c>
    </row>
    <row r="566" spans="8:11" x14ac:dyDescent="0.25">
      <c r="H566" s="183" t="s">
        <v>499</v>
      </c>
      <c r="I566" s="183" t="s">
        <v>483</v>
      </c>
      <c r="J566" s="183" t="s">
        <v>491</v>
      </c>
      <c r="K566" s="183" t="s">
        <v>1206</v>
      </c>
    </row>
    <row r="567" spans="8:11" x14ac:dyDescent="0.25">
      <c r="H567" s="183" t="s">
        <v>499</v>
      </c>
      <c r="I567" s="183" t="s">
        <v>487</v>
      </c>
      <c r="J567" s="183" t="s">
        <v>480</v>
      </c>
      <c r="K567" s="183" t="s">
        <v>635</v>
      </c>
    </row>
    <row r="568" spans="8:11" x14ac:dyDescent="0.25">
      <c r="H568" s="183" t="s">
        <v>499</v>
      </c>
      <c r="I568" s="183" t="s">
        <v>487</v>
      </c>
      <c r="J568" s="183" t="s">
        <v>483</v>
      </c>
      <c r="K568" s="183" t="s">
        <v>1207</v>
      </c>
    </row>
    <row r="569" spans="8:11" x14ac:dyDescent="0.25">
      <c r="H569" s="183" t="s">
        <v>499</v>
      </c>
      <c r="I569" s="183" t="s">
        <v>487</v>
      </c>
      <c r="J569" s="183" t="s">
        <v>487</v>
      </c>
      <c r="K569" s="183" t="s">
        <v>1208</v>
      </c>
    </row>
    <row r="570" spans="8:11" x14ac:dyDescent="0.25">
      <c r="H570" s="183" t="s">
        <v>499</v>
      </c>
      <c r="I570" s="183" t="s">
        <v>487</v>
      </c>
      <c r="J570" s="183" t="s">
        <v>491</v>
      </c>
      <c r="K570" s="183" t="s">
        <v>1209</v>
      </c>
    </row>
    <row r="571" spans="8:11" x14ac:dyDescent="0.25">
      <c r="H571" s="183" t="s">
        <v>499</v>
      </c>
      <c r="I571" s="183" t="s">
        <v>487</v>
      </c>
      <c r="J571" s="183" t="s">
        <v>495</v>
      </c>
      <c r="K571" s="183" t="s">
        <v>1210</v>
      </c>
    </row>
    <row r="572" spans="8:11" x14ac:dyDescent="0.25">
      <c r="H572" s="183" t="s">
        <v>499</v>
      </c>
      <c r="I572" s="183" t="s">
        <v>487</v>
      </c>
      <c r="J572" s="183" t="s">
        <v>499</v>
      </c>
      <c r="K572" s="183" t="s">
        <v>1211</v>
      </c>
    </row>
    <row r="573" spans="8:11" x14ac:dyDescent="0.25">
      <c r="H573" s="183" t="s">
        <v>499</v>
      </c>
      <c r="I573" s="183" t="s">
        <v>487</v>
      </c>
      <c r="J573" s="183" t="s">
        <v>503</v>
      </c>
      <c r="K573" s="183" t="s">
        <v>1212</v>
      </c>
    </row>
    <row r="574" spans="8:11" x14ac:dyDescent="0.25">
      <c r="H574" s="183" t="s">
        <v>499</v>
      </c>
      <c r="I574" s="183" t="s">
        <v>487</v>
      </c>
      <c r="J574" s="183" t="s">
        <v>507</v>
      </c>
      <c r="K574" s="183" t="s">
        <v>1213</v>
      </c>
    </row>
    <row r="575" spans="8:11" x14ac:dyDescent="0.25">
      <c r="H575" s="183" t="s">
        <v>499</v>
      </c>
      <c r="I575" s="183" t="s">
        <v>487</v>
      </c>
      <c r="J575" s="183" t="s">
        <v>511</v>
      </c>
      <c r="K575" s="183" t="s">
        <v>1214</v>
      </c>
    </row>
    <row r="576" spans="8:11" x14ac:dyDescent="0.25">
      <c r="H576" s="183" t="s">
        <v>499</v>
      </c>
      <c r="I576" s="183" t="s">
        <v>487</v>
      </c>
      <c r="J576" s="183" t="s">
        <v>515</v>
      </c>
      <c r="K576" s="183" t="s">
        <v>626</v>
      </c>
    </row>
    <row r="577" spans="8:11" x14ac:dyDescent="0.25">
      <c r="H577" s="183" t="s">
        <v>499</v>
      </c>
      <c r="I577" s="183" t="s">
        <v>487</v>
      </c>
      <c r="J577" s="183" t="s">
        <v>519</v>
      </c>
      <c r="K577" s="183" t="s">
        <v>1215</v>
      </c>
    </row>
    <row r="578" spans="8:11" x14ac:dyDescent="0.25">
      <c r="H578" s="183" t="s">
        <v>499</v>
      </c>
      <c r="I578" s="183" t="s">
        <v>487</v>
      </c>
      <c r="J578" s="183" t="s">
        <v>522</v>
      </c>
      <c r="K578" s="183" t="s">
        <v>1216</v>
      </c>
    </row>
    <row r="579" spans="8:11" x14ac:dyDescent="0.25">
      <c r="H579" s="183" t="s">
        <v>499</v>
      </c>
      <c r="I579" s="183" t="s">
        <v>491</v>
      </c>
      <c r="J579" s="183" t="s">
        <v>480</v>
      </c>
      <c r="K579" s="183" t="s">
        <v>637</v>
      </c>
    </row>
    <row r="580" spans="8:11" x14ac:dyDescent="0.25">
      <c r="H580" s="183" t="s">
        <v>499</v>
      </c>
      <c r="I580" s="183" t="s">
        <v>491</v>
      </c>
      <c r="J580" s="183" t="s">
        <v>483</v>
      </c>
      <c r="K580" s="183" t="s">
        <v>1217</v>
      </c>
    </row>
    <row r="581" spans="8:11" x14ac:dyDescent="0.25">
      <c r="H581" s="183" t="s">
        <v>499</v>
      </c>
      <c r="I581" s="183" t="s">
        <v>491</v>
      </c>
      <c r="J581" s="183" t="s">
        <v>487</v>
      </c>
      <c r="K581" s="183" t="s">
        <v>1218</v>
      </c>
    </row>
    <row r="582" spans="8:11" x14ac:dyDescent="0.25">
      <c r="H582" s="183" t="s">
        <v>499</v>
      </c>
      <c r="I582" s="183" t="s">
        <v>491</v>
      </c>
      <c r="J582" s="183" t="s">
        <v>491</v>
      </c>
      <c r="K582" s="183" t="s">
        <v>1219</v>
      </c>
    </row>
    <row r="583" spans="8:11" x14ac:dyDescent="0.25">
      <c r="H583" s="183" t="s">
        <v>499</v>
      </c>
      <c r="I583" s="183" t="s">
        <v>491</v>
      </c>
      <c r="J583" s="183" t="s">
        <v>495</v>
      </c>
      <c r="K583" s="183" t="s">
        <v>1220</v>
      </c>
    </row>
    <row r="584" spans="8:11" x14ac:dyDescent="0.25">
      <c r="H584" s="183" t="s">
        <v>499</v>
      </c>
      <c r="I584" s="183" t="s">
        <v>491</v>
      </c>
      <c r="J584" s="183" t="s">
        <v>499</v>
      </c>
      <c r="K584" s="183" t="s">
        <v>1221</v>
      </c>
    </row>
    <row r="585" spans="8:11" x14ac:dyDescent="0.25">
      <c r="H585" s="183" t="s">
        <v>499</v>
      </c>
      <c r="I585" s="183" t="s">
        <v>491</v>
      </c>
      <c r="J585" s="183" t="s">
        <v>503</v>
      </c>
      <c r="K585" s="183" t="s">
        <v>690</v>
      </c>
    </row>
    <row r="586" spans="8:11" x14ac:dyDescent="0.25">
      <c r="H586" s="183" t="s">
        <v>499</v>
      </c>
      <c r="I586" s="183" t="s">
        <v>491</v>
      </c>
      <c r="J586" s="183" t="s">
        <v>507</v>
      </c>
      <c r="K586" s="183" t="s">
        <v>1222</v>
      </c>
    </row>
    <row r="587" spans="8:11" x14ac:dyDescent="0.25">
      <c r="H587" s="183" t="s">
        <v>499</v>
      </c>
      <c r="I587" s="183" t="s">
        <v>491</v>
      </c>
      <c r="J587" s="183" t="s">
        <v>511</v>
      </c>
      <c r="K587" s="183" t="s">
        <v>1223</v>
      </c>
    </row>
    <row r="588" spans="8:11" x14ac:dyDescent="0.25">
      <c r="H588" s="183" t="s">
        <v>499</v>
      </c>
      <c r="I588" s="183" t="s">
        <v>491</v>
      </c>
      <c r="J588" s="183" t="s">
        <v>515</v>
      </c>
      <c r="K588" s="183" t="s">
        <v>1224</v>
      </c>
    </row>
    <row r="589" spans="8:11" x14ac:dyDescent="0.25">
      <c r="H589" s="183" t="s">
        <v>499</v>
      </c>
      <c r="I589" s="183" t="s">
        <v>491</v>
      </c>
      <c r="J589" s="183" t="s">
        <v>519</v>
      </c>
      <c r="K589" s="183" t="s">
        <v>862</v>
      </c>
    </row>
    <row r="590" spans="8:11" x14ac:dyDescent="0.25">
      <c r="H590" s="183" t="s">
        <v>499</v>
      </c>
      <c r="I590" s="183" t="s">
        <v>491</v>
      </c>
      <c r="J590" s="183" t="s">
        <v>522</v>
      </c>
      <c r="K590" s="183" t="s">
        <v>1225</v>
      </c>
    </row>
    <row r="591" spans="8:11" x14ac:dyDescent="0.25">
      <c r="H591" s="183" t="s">
        <v>499</v>
      </c>
      <c r="I591" s="183" t="s">
        <v>491</v>
      </c>
      <c r="J591" s="183" t="s">
        <v>526</v>
      </c>
      <c r="K591" s="183" t="s">
        <v>1226</v>
      </c>
    </row>
    <row r="592" spans="8:11" x14ac:dyDescent="0.25">
      <c r="H592" s="183" t="s">
        <v>499</v>
      </c>
      <c r="I592" s="183" t="s">
        <v>491</v>
      </c>
      <c r="J592" s="183" t="s">
        <v>530</v>
      </c>
      <c r="K592" s="183" t="s">
        <v>1227</v>
      </c>
    </row>
    <row r="593" spans="8:11" x14ac:dyDescent="0.25">
      <c r="H593" s="183" t="s">
        <v>499</v>
      </c>
      <c r="I593" s="183" t="s">
        <v>491</v>
      </c>
      <c r="J593" s="183" t="s">
        <v>534</v>
      </c>
      <c r="K593" s="183" t="s">
        <v>1228</v>
      </c>
    </row>
    <row r="594" spans="8:11" x14ac:dyDescent="0.25">
      <c r="H594" s="183" t="s">
        <v>499</v>
      </c>
      <c r="I594" s="183" t="s">
        <v>491</v>
      </c>
      <c r="J594" s="183" t="s">
        <v>538</v>
      </c>
      <c r="K594" s="183" t="s">
        <v>1229</v>
      </c>
    </row>
    <row r="595" spans="8:11" x14ac:dyDescent="0.25">
      <c r="H595" s="183" t="s">
        <v>499</v>
      </c>
      <c r="I595" s="183" t="s">
        <v>491</v>
      </c>
      <c r="J595" s="183" t="s">
        <v>542</v>
      </c>
      <c r="K595" s="183" t="s">
        <v>1230</v>
      </c>
    </row>
    <row r="596" spans="8:11" x14ac:dyDescent="0.25">
      <c r="H596" s="183" t="s">
        <v>499</v>
      </c>
      <c r="I596" s="183" t="s">
        <v>491</v>
      </c>
      <c r="J596" s="183" t="s">
        <v>546</v>
      </c>
      <c r="K596" s="183" t="s">
        <v>1231</v>
      </c>
    </row>
    <row r="597" spans="8:11" x14ac:dyDescent="0.25">
      <c r="H597" s="183" t="s">
        <v>499</v>
      </c>
      <c r="I597" s="183" t="s">
        <v>491</v>
      </c>
      <c r="J597" s="183" t="s">
        <v>550</v>
      </c>
      <c r="K597" s="183" t="s">
        <v>1232</v>
      </c>
    </row>
    <row r="598" spans="8:11" x14ac:dyDescent="0.25">
      <c r="H598" s="183" t="s">
        <v>499</v>
      </c>
      <c r="I598" s="183" t="s">
        <v>495</v>
      </c>
      <c r="J598" s="183" t="s">
        <v>480</v>
      </c>
      <c r="K598" s="183" t="s">
        <v>639</v>
      </c>
    </row>
    <row r="599" spans="8:11" x14ac:dyDescent="0.25">
      <c r="H599" s="183" t="s">
        <v>499</v>
      </c>
      <c r="I599" s="183" t="s">
        <v>495</v>
      </c>
      <c r="J599" s="183" t="s">
        <v>483</v>
      </c>
      <c r="K599" s="183" t="s">
        <v>1233</v>
      </c>
    </row>
    <row r="600" spans="8:11" x14ac:dyDescent="0.25">
      <c r="H600" s="183" t="s">
        <v>499</v>
      </c>
      <c r="I600" s="183" t="s">
        <v>495</v>
      </c>
      <c r="J600" s="183" t="s">
        <v>487</v>
      </c>
      <c r="K600" s="183" t="s">
        <v>1234</v>
      </c>
    </row>
    <row r="601" spans="8:11" x14ac:dyDescent="0.25">
      <c r="H601" s="183" t="s">
        <v>499</v>
      </c>
      <c r="I601" s="183" t="s">
        <v>495</v>
      </c>
      <c r="J601" s="183" t="s">
        <v>491</v>
      </c>
      <c r="K601" s="183" t="s">
        <v>1235</v>
      </c>
    </row>
    <row r="602" spans="8:11" x14ac:dyDescent="0.25">
      <c r="H602" s="183" t="s">
        <v>499</v>
      </c>
      <c r="I602" s="183" t="s">
        <v>495</v>
      </c>
      <c r="J602" s="183" t="s">
        <v>495</v>
      </c>
      <c r="K602" s="183" t="s">
        <v>1236</v>
      </c>
    </row>
    <row r="603" spans="8:11" x14ac:dyDescent="0.25">
      <c r="H603" s="183" t="s">
        <v>499</v>
      </c>
      <c r="I603" s="183" t="s">
        <v>495</v>
      </c>
      <c r="J603" s="183" t="s">
        <v>499</v>
      </c>
      <c r="K603" s="183" t="s">
        <v>1237</v>
      </c>
    </row>
    <row r="604" spans="8:11" x14ac:dyDescent="0.25">
      <c r="H604" s="183" t="s">
        <v>499</v>
      </c>
      <c r="I604" s="183" t="s">
        <v>495</v>
      </c>
      <c r="J604" s="183" t="s">
        <v>503</v>
      </c>
      <c r="K604" s="183" t="s">
        <v>1238</v>
      </c>
    </row>
    <row r="605" spans="8:11" x14ac:dyDescent="0.25">
      <c r="H605" s="183" t="s">
        <v>499</v>
      </c>
      <c r="I605" s="183" t="s">
        <v>495</v>
      </c>
      <c r="J605" s="183" t="s">
        <v>507</v>
      </c>
      <c r="K605" s="183" t="s">
        <v>1239</v>
      </c>
    </row>
    <row r="606" spans="8:11" x14ac:dyDescent="0.25">
      <c r="H606" s="183" t="s">
        <v>499</v>
      </c>
      <c r="I606" s="183" t="s">
        <v>499</v>
      </c>
      <c r="J606" s="183" t="s">
        <v>480</v>
      </c>
      <c r="K606" s="183" t="s">
        <v>641</v>
      </c>
    </row>
    <row r="607" spans="8:11" x14ac:dyDescent="0.25">
      <c r="H607" s="183" t="s">
        <v>499</v>
      </c>
      <c r="I607" s="183" t="s">
        <v>499</v>
      </c>
      <c r="J607" s="183" t="s">
        <v>483</v>
      </c>
      <c r="K607" s="183" t="s">
        <v>1240</v>
      </c>
    </row>
    <row r="608" spans="8:11" x14ac:dyDescent="0.25">
      <c r="H608" s="183" t="s">
        <v>499</v>
      </c>
      <c r="I608" s="183" t="s">
        <v>499</v>
      </c>
      <c r="J608" s="183" t="s">
        <v>487</v>
      </c>
      <c r="K608" s="183" t="s">
        <v>1241</v>
      </c>
    </row>
    <row r="609" spans="8:11" x14ac:dyDescent="0.25">
      <c r="H609" s="183" t="s">
        <v>499</v>
      </c>
      <c r="I609" s="183" t="s">
        <v>499</v>
      </c>
      <c r="J609" s="183" t="s">
        <v>491</v>
      </c>
      <c r="K609" s="183" t="s">
        <v>1242</v>
      </c>
    </row>
    <row r="610" spans="8:11" x14ac:dyDescent="0.25">
      <c r="H610" s="183" t="s">
        <v>499</v>
      </c>
      <c r="I610" s="183" t="s">
        <v>499</v>
      </c>
      <c r="J610" s="183" t="s">
        <v>495</v>
      </c>
      <c r="K610" s="183" t="s">
        <v>1243</v>
      </c>
    </row>
    <row r="611" spans="8:11" x14ac:dyDescent="0.25">
      <c r="H611" s="183" t="s">
        <v>499</v>
      </c>
      <c r="I611" s="183" t="s">
        <v>499</v>
      </c>
      <c r="J611" s="183" t="s">
        <v>499</v>
      </c>
      <c r="K611" s="183" t="s">
        <v>1244</v>
      </c>
    </row>
    <row r="612" spans="8:11" x14ac:dyDescent="0.25">
      <c r="H612" s="183" t="s">
        <v>499</v>
      </c>
      <c r="I612" s="183" t="s">
        <v>499</v>
      </c>
      <c r="J612" s="183" t="s">
        <v>503</v>
      </c>
      <c r="K612" s="183" t="s">
        <v>1245</v>
      </c>
    </row>
    <row r="613" spans="8:11" x14ac:dyDescent="0.25">
      <c r="H613" s="183" t="s">
        <v>499</v>
      </c>
      <c r="I613" s="183" t="s">
        <v>499</v>
      </c>
      <c r="J613" s="183" t="s">
        <v>507</v>
      </c>
      <c r="K613" s="183" t="s">
        <v>1246</v>
      </c>
    </row>
    <row r="614" spans="8:11" x14ac:dyDescent="0.25">
      <c r="H614" s="183" t="s">
        <v>499</v>
      </c>
      <c r="I614" s="183" t="s">
        <v>499</v>
      </c>
      <c r="J614" s="183" t="s">
        <v>511</v>
      </c>
      <c r="K614" s="183" t="s">
        <v>1247</v>
      </c>
    </row>
    <row r="615" spans="8:11" x14ac:dyDescent="0.25">
      <c r="H615" s="183" t="s">
        <v>499</v>
      </c>
      <c r="I615" s="183" t="s">
        <v>499</v>
      </c>
      <c r="J615" s="183" t="s">
        <v>515</v>
      </c>
      <c r="K615" s="183" t="s">
        <v>1248</v>
      </c>
    </row>
    <row r="616" spans="8:11" x14ac:dyDescent="0.25">
      <c r="H616" s="183" t="s">
        <v>499</v>
      </c>
      <c r="I616" s="183" t="s">
        <v>499</v>
      </c>
      <c r="J616" s="183" t="s">
        <v>519</v>
      </c>
      <c r="K616" s="183" t="s">
        <v>655</v>
      </c>
    </row>
    <row r="617" spans="8:11" x14ac:dyDescent="0.25">
      <c r="H617" s="183" t="s">
        <v>499</v>
      </c>
      <c r="I617" s="183" t="s">
        <v>499</v>
      </c>
      <c r="J617" s="183" t="s">
        <v>522</v>
      </c>
      <c r="K617" s="183" t="s">
        <v>1249</v>
      </c>
    </row>
    <row r="618" spans="8:11" x14ac:dyDescent="0.25">
      <c r="H618" s="183" t="s">
        <v>499</v>
      </c>
      <c r="I618" s="183" t="s">
        <v>499</v>
      </c>
      <c r="J618" s="183" t="s">
        <v>526</v>
      </c>
      <c r="K618" s="183" t="s">
        <v>648</v>
      </c>
    </row>
    <row r="619" spans="8:11" x14ac:dyDescent="0.25">
      <c r="H619" s="183" t="s">
        <v>499</v>
      </c>
      <c r="I619" s="183" t="s">
        <v>499</v>
      </c>
      <c r="J619" s="183" t="s">
        <v>530</v>
      </c>
      <c r="K619" s="183" t="s">
        <v>1250</v>
      </c>
    </row>
    <row r="620" spans="8:11" x14ac:dyDescent="0.25">
      <c r="H620" s="183" t="s">
        <v>499</v>
      </c>
      <c r="I620" s="183" t="s">
        <v>499</v>
      </c>
      <c r="J620" s="183" t="s">
        <v>534</v>
      </c>
      <c r="K620" s="183" t="s">
        <v>1251</v>
      </c>
    </row>
    <row r="621" spans="8:11" x14ac:dyDescent="0.25">
      <c r="H621" s="183" t="s">
        <v>499</v>
      </c>
      <c r="I621" s="183" t="s">
        <v>503</v>
      </c>
      <c r="J621" s="183" t="s">
        <v>480</v>
      </c>
      <c r="K621" s="183" t="s">
        <v>1252</v>
      </c>
    </row>
    <row r="622" spans="8:11" x14ac:dyDescent="0.25">
      <c r="H622" s="183" t="s">
        <v>499</v>
      </c>
      <c r="I622" s="183" t="s">
        <v>503</v>
      </c>
      <c r="J622" s="183" t="s">
        <v>483</v>
      </c>
      <c r="K622" s="183" t="s">
        <v>1253</v>
      </c>
    </row>
    <row r="623" spans="8:11" x14ac:dyDescent="0.25">
      <c r="H623" s="183" t="s">
        <v>499</v>
      </c>
      <c r="I623" s="183" t="s">
        <v>503</v>
      </c>
      <c r="J623" s="183" t="s">
        <v>487</v>
      </c>
      <c r="K623" s="183" t="s">
        <v>643</v>
      </c>
    </row>
    <row r="624" spans="8:11" x14ac:dyDescent="0.25">
      <c r="H624" s="183" t="s">
        <v>499</v>
      </c>
      <c r="I624" s="183" t="s">
        <v>507</v>
      </c>
      <c r="J624" s="183" t="s">
        <v>480</v>
      </c>
      <c r="K624" s="183" t="s">
        <v>645</v>
      </c>
    </row>
    <row r="625" spans="8:11" x14ac:dyDescent="0.25">
      <c r="H625" s="183" t="s">
        <v>499</v>
      </c>
      <c r="I625" s="183" t="s">
        <v>507</v>
      </c>
      <c r="J625" s="183" t="s">
        <v>483</v>
      </c>
      <c r="K625" s="183" t="s">
        <v>847</v>
      </c>
    </row>
    <row r="626" spans="8:11" x14ac:dyDescent="0.25">
      <c r="H626" s="183" t="s">
        <v>499</v>
      </c>
      <c r="I626" s="183" t="s">
        <v>507</v>
      </c>
      <c r="J626" s="183" t="s">
        <v>487</v>
      </c>
      <c r="K626" s="183" t="s">
        <v>1254</v>
      </c>
    </row>
    <row r="627" spans="8:11" x14ac:dyDescent="0.25">
      <c r="H627" s="183" t="s">
        <v>499</v>
      </c>
      <c r="I627" s="183" t="s">
        <v>507</v>
      </c>
      <c r="J627" s="183" t="s">
        <v>491</v>
      </c>
      <c r="K627" s="183" t="s">
        <v>1255</v>
      </c>
    </row>
    <row r="628" spans="8:11" x14ac:dyDescent="0.25">
      <c r="H628" s="183" t="s">
        <v>499</v>
      </c>
      <c r="I628" s="183" t="s">
        <v>507</v>
      </c>
      <c r="J628" s="183" t="s">
        <v>495</v>
      </c>
      <c r="K628" s="183" t="s">
        <v>1256</v>
      </c>
    </row>
    <row r="629" spans="8:11" x14ac:dyDescent="0.25">
      <c r="H629" s="183" t="s">
        <v>499</v>
      </c>
      <c r="I629" s="183" t="s">
        <v>507</v>
      </c>
      <c r="J629" s="183" t="s">
        <v>499</v>
      </c>
      <c r="K629" s="183" t="s">
        <v>1257</v>
      </c>
    </row>
    <row r="630" spans="8:11" x14ac:dyDescent="0.25">
      <c r="H630" s="183" t="s">
        <v>499</v>
      </c>
      <c r="I630" s="183" t="s">
        <v>507</v>
      </c>
      <c r="J630" s="183" t="s">
        <v>503</v>
      </c>
      <c r="K630" s="183" t="s">
        <v>1258</v>
      </c>
    </row>
    <row r="631" spans="8:11" x14ac:dyDescent="0.25">
      <c r="H631" s="183" t="s">
        <v>499</v>
      </c>
      <c r="I631" s="183" t="s">
        <v>507</v>
      </c>
      <c r="J631" s="183" t="s">
        <v>507</v>
      </c>
      <c r="K631" s="183" t="s">
        <v>1259</v>
      </c>
    </row>
    <row r="632" spans="8:11" x14ac:dyDescent="0.25">
      <c r="H632" s="183" t="s">
        <v>499</v>
      </c>
      <c r="I632" s="183" t="s">
        <v>507</v>
      </c>
      <c r="J632" s="183" t="s">
        <v>511</v>
      </c>
      <c r="K632" s="183" t="s">
        <v>1260</v>
      </c>
    </row>
    <row r="633" spans="8:11" x14ac:dyDescent="0.25">
      <c r="H633" s="183" t="s">
        <v>499</v>
      </c>
      <c r="I633" s="183" t="s">
        <v>507</v>
      </c>
      <c r="J633" s="183" t="s">
        <v>515</v>
      </c>
      <c r="K633" s="183" t="s">
        <v>1261</v>
      </c>
    </row>
    <row r="634" spans="8:11" x14ac:dyDescent="0.25">
      <c r="H634" s="183" t="s">
        <v>499</v>
      </c>
      <c r="I634" s="183" t="s">
        <v>507</v>
      </c>
      <c r="J634" s="183" t="s">
        <v>519</v>
      </c>
      <c r="K634" s="183" t="s">
        <v>1262</v>
      </c>
    </row>
    <row r="635" spans="8:11" x14ac:dyDescent="0.25">
      <c r="H635" s="183" t="s">
        <v>499</v>
      </c>
      <c r="I635" s="183" t="s">
        <v>507</v>
      </c>
      <c r="J635" s="183" t="s">
        <v>522</v>
      </c>
      <c r="K635" s="183" t="s">
        <v>670</v>
      </c>
    </row>
    <row r="636" spans="8:11" x14ac:dyDescent="0.25">
      <c r="H636" s="183" t="s">
        <v>499</v>
      </c>
      <c r="I636" s="183" t="s">
        <v>511</v>
      </c>
      <c r="J636" s="183" t="s">
        <v>480</v>
      </c>
      <c r="K636" s="183" t="s">
        <v>647</v>
      </c>
    </row>
    <row r="637" spans="8:11" x14ac:dyDescent="0.25">
      <c r="H637" s="183" t="s">
        <v>499</v>
      </c>
      <c r="I637" s="183" t="s">
        <v>511</v>
      </c>
      <c r="J637" s="183" t="s">
        <v>483</v>
      </c>
      <c r="K637" s="183" t="s">
        <v>1263</v>
      </c>
    </row>
    <row r="638" spans="8:11" x14ac:dyDescent="0.25">
      <c r="H638" s="183" t="s">
        <v>499</v>
      </c>
      <c r="I638" s="183" t="s">
        <v>511</v>
      </c>
      <c r="J638" s="183" t="s">
        <v>487</v>
      </c>
      <c r="K638" s="183" t="s">
        <v>1264</v>
      </c>
    </row>
    <row r="639" spans="8:11" x14ac:dyDescent="0.25">
      <c r="H639" s="183" t="s">
        <v>499</v>
      </c>
      <c r="I639" s="183" t="s">
        <v>511</v>
      </c>
      <c r="J639" s="183" t="s">
        <v>491</v>
      </c>
      <c r="K639" s="183" t="s">
        <v>1265</v>
      </c>
    </row>
    <row r="640" spans="8:11" x14ac:dyDescent="0.25">
      <c r="H640" s="183" t="s">
        <v>499</v>
      </c>
      <c r="I640" s="183" t="s">
        <v>511</v>
      </c>
      <c r="J640" s="183" t="s">
        <v>495</v>
      </c>
      <c r="K640" s="183" t="s">
        <v>1266</v>
      </c>
    </row>
    <row r="641" spans="8:11" x14ac:dyDescent="0.25">
      <c r="H641" s="183" t="s">
        <v>499</v>
      </c>
      <c r="I641" s="183" t="s">
        <v>511</v>
      </c>
      <c r="J641" s="183" t="s">
        <v>499</v>
      </c>
      <c r="K641" s="183" t="s">
        <v>1267</v>
      </c>
    </row>
    <row r="642" spans="8:11" x14ac:dyDescent="0.25">
      <c r="H642" s="183" t="s">
        <v>499</v>
      </c>
      <c r="I642" s="183" t="s">
        <v>511</v>
      </c>
      <c r="J642" s="183" t="s">
        <v>503</v>
      </c>
      <c r="K642" s="183" t="s">
        <v>1268</v>
      </c>
    </row>
    <row r="643" spans="8:11" x14ac:dyDescent="0.25">
      <c r="H643" s="183" t="s">
        <v>499</v>
      </c>
      <c r="I643" s="183" t="s">
        <v>515</v>
      </c>
      <c r="J643" s="183" t="s">
        <v>480</v>
      </c>
      <c r="K643" s="183" t="s">
        <v>1269</v>
      </c>
    </row>
    <row r="644" spans="8:11" x14ac:dyDescent="0.25">
      <c r="H644" s="183" t="s">
        <v>499</v>
      </c>
      <c r="I644" s="183" t="s">
        <v>515</v>
      </c>
      <c r="J644" s="183" t="s">
        <v>483</v>
      </c>
      <c r="K644" s="183" t="s">
        <v>1270</v>
      </c>
    </row>
    <row r="645" spans="8:11" x14ac:dyDescent="0.25">
      <c r="H645" s="183" t="s">
        <v>499</v>
      </c>
      <c r="I645" s="183" t="s">
        <v>515</v>
      </c>
      <c r="J645" s="183" t="s">
        <v>487</v>
      </c>
      <c r="K645" s="183" t="s">
        <v>1271</v>
      </c>
    </row>
    <row r="646" spans="8:11" x14ac:dyDescent="0.25">
      <c r="H646" s="183" t="s">
        <v>499</v>
      </c>
      <c r="I646" s="183" t="s">
        <v>515</v>
      </c>
      <c r="J646" s="183" t="s">
        <v>491</v>
      </c>
      <c r="K646" s="183" t="s">
        <v>1272</v>
      </c>
    </row>
    <row r="647" spans="8:11" x14ac:dyDescent="0.25">
      <c r="H647" s="183" t="s">
        <v>499</v>
      </c>
      <c r="I647" s="183" t="s">
        <v>515</v>
      </c>
      <c r="J647" s="183" t="s">
        <v>495</v>
      </c>
      <c r="K647" s="183" t="s">
        <v>1273</v>
      </c>
    </row>
    <row r="648" spans="8:11" x14ac:dyDescent="0.25">
      <c r="H648" s="183" t="s">
        <v>499</v>
      </c>
      <c r="I648" s="183" t="s">
        <v>515</v>
      </c>
      <c r="J648" s="183" t="s">
        <v>499</v>
      </c>
      <c r="K648" s="183" t="s">
        <v>1274</v>
      </c>
    </row>
    <row r="649" spans="8:11" x14ac:dyDescent="0.25">
      <c r="H649" s="183" t="s">
        <v>499</v>
      </c>
      <c r="I649" s="183" t="s">
        <v>515</v>
      </c>
      <c r="J649" s="183" t="s">
        <v>503</v>
      </c>
      <c r="K649" s="183" t="s">
        <v>1275</v>
      </c>
    </row>
    <row r="650" spans="8:11" x14ac:dyDescent="0.25">
      <c r="H650" s="183" t="s">
        <v>499</v>
      </c>
      <c r="I650" s="183" t="s">
        <v>519</v>
      </c>
      <c r="J650" s="183" t="s">
        <v>480</v>
      </c>
      <c r="K650" s="183" t="s">
        <v>651</v>
      </c>
    </row>
    <row r="651" spans="8:11" x14ac:dyDescent="0.25">
      <c r="H651" s="183" t="s">
        <v>499</v>
      </c>
      <c r="I651" s="183" t="s">
        <v>519</v>
      </c>
      <c r="J651" s="183" t="s">
        <v>483</v>
      </c>
      <c r="K651" s="183" t="s">
        <v>742</v>
      </c>
    </row>
    <row r="652" spans="8:11" x14ac:dyDescent="0.25">
      <c r="H652" s="183" t="s">
        <v>499</v>
      </c>
      <c r="I652" s="183" t="s">
        <v>519</v>
      </c>
      <c r="J652" s="183" t="s">
        <v>487</v>
      </c>
      <c r="K652" s="183" t="s">
        <v>1276</v>
      </c>
    </row>
    <row r="653" spans="8:11" x14ac:dyDescent="0.25">
      <c r="H653" s="183" t="s">
        <v>499</v>
      </c>
      <c r="I653" s="183" t="s">
        <v>519</v>
      </c>
      <c r="J653" s="183" t="s">
        <v>491</v>
      </c>
      <c r="K653" s="183" t="s">
        <v>1277</v>
      </c>
    </row>
    <row r="654" spans="8:11" x14ac:dyDescent="0.25">
      <c r="H654" s="183" t="s">
        <v>499</v>
      </c>
      <c r="I654" s="183" t="s">
        <v>519</v>
      </c>
      <c r="J654" s="183" t="s">
        <v>495</v>
      </c>
      <c r="K654" s="183" t="s">
        <v>1278</v>
      </c>
    </row>
    <row r="655" spans="8:11" x14ac:dyDescent="0.25">
      <c r="H655" s="183" t="s">
        <v>499</v>
      </c>
      <c r="I655" s="183" t="s">
        <v>519</v>
      </c>
      <c r="J655" s="183" t="s">
        <v>499</v>
      </c>
      <c r="K655" s="183" t="s">
        <v>1279</v>
      </c>
    </row>
    <row r="656" spans="8:11" x14ac:dyDescent="0.25">
      <c r="H656" s="183" t="s">
        <v>499</v>
      </c>
      <c r="I656" s="183" t="s">
        <v>519</v>
      </c>
      <c r="J656" s="183" t="s">
        <v>503</v>
      </c>
      <c r="K656" s="183" t="s">
        <v>1280</v>
      </c>
    </row>
    <row r="657" spans="8:11" x14ac:dyDescent="0.25">
      <c r="H657" s="183" t="s">
        <v>499</v>
      </c>
      <c r="I657" s="183" t="s">
        <v>519</v>
      </c>
      <c r="J657" s="183" t="s">
        <v>507</v>
      </c>
      <c r="K657" s="183" t="s">
        <v>1281</v>
      </c>
    </row>
    <row r="658" spans="8:11" x14ac:dyDescent="0.25">
      <c r="H658" s="183" t="s">
        <v>499</v>
      </c>
      <c r="I658" s="183" t="s">
        <v>519</v>
      </c>
      <c r="J658" s="183" t="s">
        <v>511</v>
      </c>
      <c r="K658" s="183" t="s">
        <v>1282</v>
      </c>
    </row>
    <row r="659" spans="8:11" x14ac:dyDescent="0.25">
      <c r="H659" s="183" t="s">
        <v>499</v>
      </c>
      <c r="I659" s="183" t="s">
        <v>519</v>
      </c>
      <c r="J659" s="183" t="s">
        <v>515</v>
      </c>
      <c r="K659" s="183" t="s">
        <v>1283</v>
      </c>
    </row>
    <row r="660" spans="8:11" x14ac:dyDescent="0.25">
      <c r="H660" s="183" t="s">
        <v>499</v>
      </c>
      <c r="I660" s="183" t="s">
        <v>519</v>
      </c>
      <c r="J660" s="183" t="s">
        <v>519</v>
      </c>
      <c r="K660" s="183" t="s">
        <v>1284</v>
      </c>
    </row>
    <row r="661" spans="8:11" x14ac:dyDescent="0.25">
      <c r="H661" s="183" t="s">
        <v>499</v>
      </c>
      <c r="I661" s="183" t="s">
        <v>519</v>
      </c>
      <c r="J661" s="183" t="s">
        <v>522</v>
      </c>
      <c r="K661" s="183" t="s">
        <v>1285</v>
      </c>
    </row>
    <row r="662" spans="8:11" x14ac:dyDescent="0.25">
      <c r="H662" s="183" t="s">
        <v>499</v>
      </c>
      <c r="I662" s="183" t="s">
        <v>519</v>
      </c>
      <c r="J662" s="183" t="s">
        <v>526</v>
      </c>
      <c r="K662" s="183" t="s">
        <v>1286</v>
      </c>
    </row>
    <row r="663" spans="8:11" x14ac:dyDescent="0.25">
      <c r="H663" s="183" t="s">
        <v>499</v>
      </c>
      <c r="I663" s="183" t="s">
        <v>522</v>
      </c>
      <c r="J663" s="183" t="s">
        <v>480</v>
      </c>
      <c r="K663" s="183" t="s">
        <v>653</v>
      </c>
    </row>
    <row r="664" spans="8:11" x14ac:dyDescent="0.25">
      <c r="H664" s="183" t="s">
        <v>499</v>
      </c>
      <c r="I664" s="183" t="s">
        <v>522</v>
      </c>
      <c r="J664" s="183" t="s">
        <v>483</v>
      </c>
      <c r="K664" s="183" t="s">
        <v>1287</v>
      </c>
    </row>
    <row r="665" spans="8:11" x14ac:dyDescent="0.25">
      <c r="H665" s="183" t="s">
        <v>499</v>
      </c>
      <c r="I665" s="183" t="s">
        <v>522</v>
      </c>
      <c r="J665" s="183" t="s">
        <v>487</v>
      </c>
      <c r="K665" s="183" t="s">
        <v>779</v>
      </c>
    </row>
    <row r="666" spans="8:11" x14ac:dyDescent="0.25">
      <c r="H666" s="183" t="s">
        <v>499</v>
      </c>
      <c r="I666" s="183" t="s">
        <v>522</v>
      </c>
      <c r="J666" s="183" t="s">
        <v>491</v>
      </c>
      <c r="K666" s="183" t="s">
        <v>1288</v>
      </c>
    </row>
    <row r="667" spans="8:11" x14ac:dyDescent="0.25">
      <c r="H667" s="183" t="s">
        <v>499</v>
      </c>
      <c r="I667" s="183" t="s">
        <v>526</v>
      </c>
      <c r="J667" s="183" t="s">
        <v>480</v>
      </c>
      <c r="K667" s="183" t="s">
        <v>655</v>
      </c>
    </row>
    <row r="668" spans="8:11" x14ac:dyDescent="0.25">
      <c r="H668" s="183" t="s">
        <v>499</v>
      </c>
      <c r="I668" s="183" t="s">
        <v>526</v>
      </c>
      <c r="J668" s="183" t="s">
        <v>483</v>
      </c>
      <c r="K668" s="183" t="s">
        <v>1289</v>
      </c>
    </row>
    <row r="669" spans="8:11" x14ac:dyDescent="0.25">
      <c r="H669" s="183" t="s">
        <v>499</v>
      </c>
      <c r="I669" s="183" t="s">
        <v>526</v>
      </c>
      <c r="J669" s="183" t="s">
        <v>487</v>
      </c>
      <c r="K669" s="183" t="s">
        <v>1290</v>
      </c>
    </row>
    <row r="670" spans="8:11" x14ac:dyDescent="0.25">
      <c r="H670" s="183" t="s">
        <v>499</v>
      </c>
      <c r="I670" s="183" t="s">
        <v>526</v>
      </c>
      <c r="J670" s="183" t="s">
        <v>491</v>
      </c>
      <c r="K670" s="183" t="s">
        <v>1291</v>
      </c>
    </row>
    <row r="671" spans="8:11" x14ac:dyDescent="0.25">
      <c r="H671" s="183" t="s">
        <v>499</v>
      </c>
      <c r="I671" s="183" t="s">
        <v>526</v>
      </c>
      <c r="J671" s="183" t="s">
        <v>495</v>
      </c>
      <c r="K671" s="183" t="s">
        <v>1292</v>
      </c>
    </row>
    <row r="672" spans="8:11" x14ac:dyDescent="0.25">
      <c r="H672" s="183" t="s">
        <v>499</v>
      </c>
      <c r="I672" s="183" t="s">
        <v>526</v>
      </c>
      <c r="J672" s="183" t="s">
        <v>499</v>
      </c>
      <c r="K672" s="183" t="s">
        <v>1293</v>
      </c>
    </row>
    <row r="673" spans="8:11" x14ac:dyDescent="0.25">
      <c r="H673" s="183" t="s">
        <v>499</v>
      </c>
      <c r="I673" s="183" t="s">
        <v>526</v>
      </c>
      <c r="J673" s="183" t="s">
        <v>503</v>
      </c>
      <c r="K673" s="183" t="s">
        <v>1294</v>
      </c>
    </row>
    <row r="674" spans="8:11" x14ac:dyDescent="0.25">
      <c r="H674" s="183" t="s">
        <v>499</v>
      </c>
      <c r="I674" s="183" t="s">
        <v>526</v>
      </c>
      <c r="J674" s="183" t="s">
        <v>507</v>
      </c>
      <c r="K674" s="183" t="s">
        <v>1295</v>
      </c>
    </row>
    <row r="675" spans="8:11" x14ac:dyDescent="0.25">
      <c r="H675" s="183" t="s">
        <v>499</v>
      </c>
      <c r="I675" s="183" t="s">
        <v>526</v>
      </c>
      <c r="J675" s="183" t="s">
        <v>511</v>
      </c>
      <c r="K675" s="183" t="s">
        <v>1296</v>
      </c>
    </row>
    <row r="676" spans="8:11" x14ac:dyDescent="0.25">
      <c r="H676" s="183" t="s">
        <v>499</v>
      </c>
      <c r="I676" s="183" t="s">
        <v>526</v>
      </c>
      <c r="J676" s="183" t="s">
        <v>515</v>
      </c>
      <c r="K676" s="183" t="s">
        <v>1297</v>
      </c>
    </row>
    <row r="677" spans="8:11" x14ac:dyDescent="0.25">
      <c r="H677" s="183" t="s">
        <v>499</v>
      </c>
      <c r="I677" s="183" t="s">
        <v>526</v>
      </c>
      <c r="J677" s="183" t="s">
        <v>519</v>
      </c>
      <c r="K677" s="183" t="s">
        <v>1298</v>
      </c>
    </row>
    <row r="678" spans="8:11" x14ac:dyDescent="0.25">
      <c r="H678" s="183" t="s">
        <v>503</v>
      </c>
      <c r="I678" s="183" t="s">
        <v>480</v>
      </c>
      <c r="J678" s="183" t="s">
        <v>480</v>
      </c>
      <c r="K678" s="183" t="s">
        <v>504</v>
      </c>
    </row>
    <row r="679" spans="8:11" x14ac:dyDescent="0.25">
      <c r="H679" s="183" t="s">
        <v>503</v>
      </c>
      <c r="I679" s="183" t="s">
        <v>480</v>
      </c>
      <c r="J679" s="183" t="s">
        <v>483</v>
      </c>
      <c r="K679" s="183" t="s">
        <v>847</v>
      </c>
    </row>
    <row r="680" spans="8:11" x14ac:dyDescent="0.25">
      <c r="H680" s="183" t="s">
        <v>503</v>
      </c>
      <c r="I680" s="183" t="s">
        <v>480</v>
      </c>
      <c r="J680" s="183" t="s">
        <v>487</v>
      </c>
      <c r="K680" s="183" t="s">
        <v>1299</v>
      </c>
    </row>
    <row r="681" spans="8:11" x14ac:dyDescent="0.25">
      <c r="H681" s="183" t="s">
        <v>503</v>
      </c>
      <c r="I681" s="183" t="s">
        <v>480</v>
      </c>
      <c r="J681" s="183" t="s">
        <v>491</v>
      </c>
      <c r="K681" s="183" t="s">
        <v>1300</v>
      </c>
    </row>
    <row r="682" spans="8:11" x14ac:dyDescent="0.25">
      <c r="H682" s="183" t="s">
        <v>503</v>
      </c>
      <c r="I682" s="183" t="s">
        <v>480</v>
      </c>
      <c r="J682" s="183" t="s">
        <v>495</v>
      </c>
      <c r="K682" s="183" t="s">
        <v>1301</v>
      </c>
    </row>
    <row r="683" spans="8:11" x14ac:dyDescent="0.25">
      <c r="H683" s="183" t="s">
        <v>503</v>
      </c>
      <c r="I683" s="183" t="s">
        <v>480</v>
      </c>
      <c r="J683" s="183" t="s">
        <v>499</v>
      </c>
      <c r="K683" s="183" t="s">
        <v>1302</v>
      </c>
    </row>
    <row r="684" spans="8:11" x14ac:dyDescent="0.25">
      <c r="H684" s="183" t="s">
        <v>507</v>
      </c>
      <c r="I684" s="183" t="s">
        <v>480</v>
      </c>
      <c r="J684" s="183" t="s">
        <v>480</v>
      </c>
      <c r="K684" s="183" t="s">
        <v>508</v>
      </c>
    </row>
    <row r="685" spans="8:11" x14ac:dyDescent="0.25">
      <c r="H685" s="183" t="s">
        <v>507</v>
      </c>
      <c r="I685" s="183" t="s">
        <v>480</v>
      </c>
      <c r="J685" s="183" t="s">
        <v>483</v>
      </c>
      <c r="K685" s="183" t="s">
        <v>1303</v>
      </c>
    </row>
    <row r="686" spans="8:11" x14ac:dyDescent="0.25">
      <c r="H686" s="183" t="s">
        <v>507</v>
      </c>
      <c r="I686" s="183" t="s">
        <v>480</v>
      </c>
      <c r="J686" s="183" t="s">
        <v>487</v>
      </c>
      <c r="K686" s="183" t="s">
        <v>1304</v>
      </c>
    </row>
    <row r="687" spans="8:11" x14ac:dyDescent="0.25">
      <c r="H687" s="183" t="s">
        <v>507</v>
      </c>
      <c r="I687" s="183" t="s">
        <v>480</v>
      </c>
      <c r="J687" s="183" t="s">
        <v>491</v>
      </c>
      <c r="K687" s="183" t="s">
        <v>642</v>
      </c>
    </row>
    <row r="688" spans="8:11" x14ac:dyDescent="0.25">
      <c r="H688" s="183" t="s">
        <v>507</v>
      </c>
      <c r="I688" s="183" t="s">
        <v>480</v>
      </c>
      <c r="J688" s="183" t="s">
        <v>495</v>
      </c>
      <c r="K688" s="183" t="s">
        <v>1305</v>
      </c>
    </row>
    <row r="689" spans="8:11" x14ac:dyDescent="0.25">
      <c r="H689" s="183" t="s">
        <v>507</v>
      </c>
      <c r="I689" s="183" t="s">
        <v>480</v>
      </c>
      <c r="J689" s="183" t="s">
        <v>499</v>
      </c>
      <c r="K689" s="183" t="s">
        <v>1306</v>
      </c>
    </row>
    <row r="690" spans="8:11" x14ac:dyDescent="0.25">
      <c r="H690" s="183" t="s">
        <v>507</v>
      </c>
      <c r="I690" s="183" t="s">
        <v>480</v>
      </c>
      <c r="J690" s="183" t="s">
        <v>503</v>
      </c>
      <c r="K690" s="183" t="s">
        <v>1307</v>
      </c>
    </row>
    <row r="691" spans="8:11" x14ac:dyDescent="0.25">
      <c r="H691" s="183" t="s">
        <v>507</v>
      </c>
      <c r="I691" s="183" t="s">
        <v>480</v>
      </c>
      <c r="J691" s="183" t="s">
        <v>507</v>
      </c>
      <c r="K691" s="183" t="s">
        <v>1308</v>
      </c>
    </row>
    <row r="692" spans="8:11" x14ac:dyDescent="0.25">
      <c r="H692" s="183" t="s">
        <v>507</v>
      </c>
      <c r="I692" s="183" t="s">
        <v>483</v>
      </c>
      <c r="J692" s="183" t="s">
        <v>480</v>
      </c>
      <c r="K692" s="183" t="s">
        <v>659</v>
      </c>
    </row>
    <row r="693" spans="8:11" x14ac:dyDescent="0.25">
      <c r="H693" s="183" t="s">
        <v>507</v>
      </c>
      <c r="I693" s="183" t="s">
        <v>483</v>
      </c>
      <c r="J693" s="183" t="s">
        <v>483</v>
      </c>
      <c r="K693" s="183" t="s">
        <v>1309</v>
      </c>
    </row>
    <row r="694" spans="8:11" x14ac:dyDescent="0.25">
      <c r="H694" s="183" t="s">
        <v>507</v>
      </c>
      <c r="I694" s="183" t="s">
        <v>483</v>
      </c>
      <c r="J694" s="183" t="s">
        <v>487</v>
      </c>
      <c r="K694" s="183" t="s">
        <v>1310</v>
      </c>
    </row>
    <row r="695" spans="8:11" x14ac:dyDescent="0.25">
      <c r="H695" s="183" t="s">
        <v>507</v>
      </c>
      <c r="I695" s="183" t="s">
        <v>483</v>
      </c>
      <c r="J695" s="183" t="s">
        <v>491</v>
      </c>
      <c r="K695" s="183" t="s">
        <v>1311</v>
      </c>
    </row>
    <row r="696" spans="8:11" x14ac:dyDescent="0.25">
      <c r="H696" s="183" t="s">
        <v>507</v>
      </c>
      <c r="I696" s="183" t="s">
        <v>483</v>
      </c>
      <c r="J696" s="183" t="s">
        <v>495</v>
      </c>
      <c r="K696" s="183" t="s">
        <v>1312</v>
      </c>
    </row>
    <row r="697" spans="8:11" x14ac:dyDescent="0.25">
      <c r="H697" s="183" t="s">
        <v>507</v>
      </c>
      <c r="I697" s="183" t="s">
        <v>483</v>
      </c>
      <c r="J697" s="183" t="s">
        <v>499</v>
      </c>
      <c r="K697" s="183" t="s">
        <v>1313</v>
      </c>
    </row>
    <row r="698" spans="8:11" x14ac:dyDescent="0.25">
      <c r="H698" s="183" t="s">
        <v>507</v>
      </c>
      <c r="I698" s="183" t="s">
        <v>483</v>
      </c>
      <c r="J698" s="183" t="s">
        <v>503</v>
      </c>
      <c r="K698" s="183" t="s">
        <v>1314</v>
      </c>
    </row>
    <row r="699" spans="8:11" x14ac:dyDescent="0.25">
      <c r="H699" s="183" t="s">
        <v>507</v>
      </c>
      <c r="I699" s="183" t="s">
        <v>487</v>
      </c>
      <c r="J699" s="183" t="s">
        <v>480</v>
      </c>
      <c r="K699" s="183" t="s">
        <v>661</v>
      </c>
    </row>
    <row r="700" spans="8:11" x14ac:dyDescent="0.25">
      <c r="H700" s="183" t="s">
        <v>507</v>
      </c>
      <c r="I700" s="183" t="s">
        <v>487</v>
      </c>
      <c r="J700" s="183" t="s">
        <v>483</v>
      </c>
      <c r="K700" s="183" t="s">
        <v>1315</v>
      </c>
    </row>
    <row r="701" spans="8:11" x14ac:dyDescent="0.25">
      <c r="H701" s="183" t="s">
        <v>507</v>
      </c>
      <c r="I701" s="183" t="s">
        <v>487</v>
      </c>
      <c r="J701" s="183" t="s">
        <v>487</v>
      </c>
      <c r="K701" s="183" t="s">
        <v>1316</v>
      </c>
    </row>
    <row r="702" spans="8:11" x14ac:dyDescent="0.25">
      <c r="H702" s="183" t="s">
        <v>507</v>
      </c>
      <c r="I702" s="183" t="s">
        <v>487</v>
      </c>
      <c r="J702" s="183" t="s">
        <v>491</v>
      </c>
      <c r="K702" s="183" t="s">
        <v>1317</v>
      </c>
    </row>
    <row r="703" spans="8:11" x14ac:dyDescent="0.25">
      <c r="H703" s="183" t="s">
        <v>507</v>
      </c>
      <c r="I703" s="183" t="s">
        <v>487</v>
      </c>
      <c r="J703" s="183" t="s">
        <v>495</v>
      </c>
      <c r="K703" s="183" t="s">
        <v>1318</v>
      </c>
    </row>
    <row r="704" spans="8:11" x14ac:dyDescent="0.25">
      <c r="H704" s="183" t="s">
        <v>507</v>
      </c>
      <c r="I704" s="183" t="s">
        <v>487</v>
      </c>
      <c r="J704" s="183" t="s">
        <v>499</v>
      </c>
      <c r="K704" s="183" t="s">
        <v>1319</v>
      </c>
    </row>
    <row r="705" spans="8:11" x14ac:dyDescent="0.25">
      <c r="H705" s="183" t="s">
        <v>507</v>
      </c>
      <c r="I705" s="183" t="s">
        <v>487</v>
      </c>
      <c r="J705" s="183" t="s">
        <v>503</v>
      </c>
      <c r="K705" s="183" t="s">
        <v>1320</v>
      </c>
    </row>
    <row r="706" spans="8:11" x14ac:dyDescent="0.25">
      <c r="H706" s="183" t="s">
        <v>507</v>
      </c>
      <c r="I706" s="183" t="s">
        <v>487</v>
      </c>
      <c r="J706" s="183" t="s">
        <v>507</v>
      </c>
      <c r="K706" s="183" t="s">
        <v>1321</v>
      </c>
    </row>
    <row r="707" spans="8:11" x14ac:dyDescent="0.25">
      <c r="H707" s="183" t="s">
        <v>507</v>
      </c>
      <c r="I707" s="183" t="s">
        <v>487</v>
      </c>
      <c r="J707" s="183" t="s">
        <v>511</v>
      </c>
      <c r="K707" s="183" t="s">
        <v>1322</v>
      </c>
    </row>
    <row r="708" spans="8:11" x14ac:dyDescent="0.25">
      <c r="H708" s="183" t="s">
        <v>507</v>
      </c>
      <c r="I708" s="183" t="s">
        <v>491</v>
      </c>
      <c r="J708" s="183" t="s">
        <v>480</v>
      </c>
      <c r="K708" s="183" t="s">
        <v>663</v>
      </c>
    </row>
    <row r="709" spans="8:11" x14ac:dyDescent="0.25">
      <c r="H709" s="183" t="s">
        <v>507</v>
      </c>
      <c r="I709" s="183" t="s">
        <v>491</v>
      </c>
      <c r="J709" s="183" t="s">
        <v>483</v>
      </c>
      <c r="K709" s="183" t="s">
        <v>1323</v>
      </c>
    </row>
    <row r="710" spans="8:11" x14ac:dyDescent="0.25">
      <c r="H710" s="183" t="s">
        <v>507</v>
      </c>
      <c r="I710" s="183" t="s">
        <v>491</v>
      </c>
      <c r="J710" s="183" t="s">
        <v>487</v>
      </c>
      <c r="K710" s="183" t="s">
        <v>1324</v>
      </c>
    </row>
    <row r="711" spans="8:11" x14ac:dyDescent="0.25">
      <c r="H711" s="183" t="s">
        <v>507</v>
      </c>
      <c r="I711" s="183" t="s">
        <v>491</v>
      </c>
      <c r="J711" s="183" t="s">
        <v>491</v>
      </c>
      <c r="K711" s="183" t="s">
        <v>1325</v>
      </c>
    </row>
    <row r="712" spans="8:11" x14ac:dyDescent="0.25">
      <c r="H712" s="183" t="s">
        <v>507</v>
      </c>
      <c r="I712" s="183" t="s">
        <v>491</v>
      </c>
      <c r="J712" s="183" t="s">
        <v>495</v>
      </c>
      <c r="K712" s="183" t="s">
        <v>1326</v>
      </c>
    </row>
    <row r="713" spans="8:11" x14ac:dyDescent="0.25">
      <c r="H713" s="183" t="s">
        <v>507</v>
      </c>
      <c r="I713" s="183" t="s">
        <v>491</v>
      </c>
      <c r="J713" s="183" t="s">
        <v>499</v>
      </c>
      <c r="K713" s="183" t="s">
        <v>1327</v>
      </c>
    </row>
    <row r="714" spans="8:11" x14ac:dyDescent="0.25">
      <c r="H714" s="183" t="s">
        <v>507</v>
      </c>
      <c r="I714" s="183" t="s">
        <v>491</v>
      </c>
      <c r="J714" s="183" t="s">
        <v>503</v>
      </c>
      <c r="K714" s="183" t="s">
        <v>1328</v>
      </c>
    </row>
    <row r="715" spans="8:11" x14ac:dyDescent="0.25">
      <c r="H715" s="183" t="s">
        <v>507</v>
      </c>
      <c r="I715" s="183" t="s">
        <v>491</v>
      </c>
      <c r="J715" s="183" t="s">
        <v>507</v>
      </c>
      <c r="K715" s="183" t="s">
        <v>1329</v>
      </c>
    </row>
    <row r="716" spans="8:11" x14ac:dyDescent="0.25">
      <c r="H716" s="183" t="s">
        <v>507</v>
      </c>
      <c r="I716" s="183" t="s">
        <v>495</v>
      </c>
      <c r="J716" s="183" t="s">
        <v>480</v>
      </c>
      <c r="K716" s="183" t="s">
        <v>1330</v>
      </c>
    </row>
    <row r="717" spans="8:11" x14ac:dyDescent="0.25">
      <c r="H717" s="183" t="s">
        <v>507</v>
      </c>
      <c r="I717" s="183" t="s">
        <v>495</v>
      </c>
      <c r="J717" s="183" t="s">
        <v>483</v>
      </c>
      <c r="K717" s="183" t="s">
        <v>1331</v>
      </c>
    </row>
    <row r="718" spans="8:11" x14ac:dyDescent="0.25">
      <c r="H718" s="183" t="s">
        <v>507</v>
      </c>
      <c r="I718" s="183" t="s">
        <v>495</v>
      </c>
      <c r="J718" s="183" t="s">
        <v>487</v>
      </c>
      <c r="K718" s="183" t="s">
        <v>1332</v>
      </c>
    </row>
    <row r="719" spans="8:11" x14ac:dyDescent="0.25">
      <c r="H719" s="183" t="s">
        <v>507</v>
      </c>
      <c r="I719" s="183" t="s">
        <v>495</v>
      </c>
      <c r="J719" s="183" t="s">
        <v>491</v>
      </c>
      <c r="K719" s="183" t="s">
        <v>1333</v>
      </c>
    </row>
    <row r="720" spans="8:11" x14ac:dyDescent="0.25">
      <c r="H720" s="183" t="s">
        <v>507</v>
      </c>
      <c r="I720" s="183" t="s">
        <v>495</v>
      </c>
      <c r="J720" s="183" t="s">
        <v>495</v>
      </c>
      <c r="K720" s="183" t="s">
        <v>1334</v>
      </c>
    </row>
    <row r="721" spans="8:11" x14ac:dyDescent="0.25">
      <c r="H721" s="183" t="s">
        <v>507</v>
      </c>
      <c r="I721" s="183" t="s">
        <v>495</v>
      </c>
      <c r="J721" s="183" t="s">
        <v>499</v>
      </c>
      <c r="K721" s="183" t="s">
        <v>1096</v>
      </c>
    </row>
    <row r="722" spans="8:11" x14ac:dyDescent="0.25">
      <c r="H722" s="183" t="s">
        <v>507</v>
      </c>
      <c r="I722" s="183" t="s">
        <v>495</v>
      </c>
      <c r="J722" s="183" t="s">
        <v>503</v>
      </c>
      <c r="K722" s="183" t="s">
        <v>1335</v>
      </c>
    </row>
    <row r="723" spans="8:11" x14ac:dyDescent="0.25">
      <c r="H723" s="183" t="s">
        <v>507</v>
      </c>
      <c r="I723" s="183" t="s">
        <v>495</v>
      </c>
      <c r="J723" s="183" t="s">
        <v>507</v>
      </c>
      <c r="K723" s="183" t="s">
        <v>1336</v>
      </c>
    </row>
    <row r="724" spans="8:11" x14ac:dyDescent="0.25">
      <c r="H724" s="183" t="s">
        <v>507</v>
      </c>
      <c r="I724" s="183" t="s">
        <v>499</v>
      </c>
      <c r="J724" s="183" t="s">
        <v>480</v>
      </c>
      <c r="K724" s="183" t="s">
        <v>1337</v>
      </c>
    </row>
    <row r="725" spans="8:11" x14ac:dyDescent="0.25">
      <c r="H725" s="183" t="s">
        <v>507</v>
      </c>
      <c r="I725" s="183" t="s">
        <v>499</v>
      </c>
      <c r="J725" s="183" t="s">
        <v>483</v>
      </c>
      <c r="K725" s="183" t="s">
        <v>1338</v>
      </c>
    </row>
    <row r="726" spans="8:11" x14ac:dyDescent="0.25">
      <c r="H726" s="183" t="s">
        <v>507</v>
      </c>
      <c r="I726" s="183" t="s">
        <v>499</v>
      </c>
      <c r="J726" s="183" t="s">
        <v>487</v>
      </c>
      <c r="K726" s="183" t="s">
        <v>1339</v>
      </c>
    </row>
    <row r="727" spans="8:11" x14ac:dyDescent="0.25">
      <c r="H727" s="183" t="s">
        <v>507</v>
      </c>
      <c r="I727" s="183" t="s">
        <v>499</v>
      </c>
      <c r="J727" s="183" t="s">
        <v>491</v>
      </c>
      <c r="K727" s="183" t="s">
        <v>1340</v>
      </c>
    </row>
    <row r="728" spans="8:11" x14ac:dyDescent="0.25">
      <c r="H728" s="183" t="s">
        <v>507</v>
      </c>
      <c r="I728" s="183" t="s">
        <v>499</v>
      </c>
      <c r="J728" s="183" t="s">
        <v>495</v>
      </c>
      <c r="K728" s="183" t="s">
        <v>1341</v>
      </c>
    </row>
    <row r="729" spans="8:11" x14ac:dyDescent="0.25">
      <c r="H729" s="183" t="s">
        <v>507</v>
      </c>
      <c r="I729" s="183" t="s">
        <v>499</v>
      </c>
      <c r="J729" s="183" t="s">
        <v>499</v>
      </c>
      <c r="K729" s="183" t="s">
        <v>653</v>
      </c>
    </row>
    <row r="730" spans="8:11" x14ac:dyDescent="0.25">
      <c r="H730" s="183" t="s">
        <v>507</v>
      </c>
      <c r="I730" s="183" t="s">
        <v>499</v>
      </c>
      <c r="J730" s="183" t="s">
        <v>503</v>
      </c>
      <c r="K730" s="183" t="s">
        <v>882</v>
      </c>
    </row>
    <row r="731" spans="8:11" x14ac:dyDescent="0.25">
      <c r="H731" s="183" t="s">
        <v>507</v>
      </c>
      <c r="I731" s="183" t="s">
        <v>499</v>
      </c>
      <c r="J731" s="183" t="s">
        <v>507</v>
      </c>
      <c r="K731" s="183" t="s">
        <v>1342</v>
      </c>
    </row>
    <row r="732" spans="8:11" x14ac:dyDescent="0.25">
      <c r="H732" s="183" t="s">
        <v>507</v>
      </c>
      <c r="I732" s="183" t="s">
        <v>503</v>
      </c>
      <c r="J732" s="183" t="s">
        <v>480</v>
      </c>
      <c r="K732" s="183" t="s">
        <v>648</v>
      </c>
    </row>
    <row r="733" spans="8:11" x14ac:dyDescent="0.25">
      <c r="H733" s="183" t="s">
        <v>507</v>
      </c>
      <c r="I733" s="183" t="s">
        <v>503</v>
      </c>
      <c r="J733" s="183" t="s">
        <v>483</v>
      </c>
      <c r="K733" s="183" t="s">
        <v>1343</v>
      </c>
    </row>
    <row r="734" spans="8:11" x14ac:dyDescent="0.25">
      <c r="H734" s="183" t="s">
        <v>507</v>
      </c>
      <c r="I734" s="183" t="s">
        <v>503</v>
      </c>
      <c r="J734" s="183" t="s">
        <v>487</v>
      </c>
      <c r="K734" s="183" t="s">
        <v>1344</v>
      </c>
    </row>
    <row r="735" spans="8:11" x14ac:dyDescent="0.25">
      <c r="H735" s="183" t="s">
        <v>507</v>
      </c>
      <c r="I735" s="183" t="s">
        <v>503</v>
      </c>
      <c r="J735" s="183" t="s">
        <v>491</v>
      </c>
      <c r="K735" s="183" t="s">
        <v>1345</v>
      </c>
    </row>
    <row r="736" spans="8:11" x14ac:dyDescent="0.25">
      <c r="H736" s="183" t="s">
        <v>507</v>
      </c>
      <c r="I736" s="183" t="s">
        <v>503</v>
      </c>
      <c r="J736" s="183" t="s">
        <v>495</v>
      </c>
      <c r="K736" s="183" t="s">
        <v>1346</v>
      </c>
    </row>
    <row r="737" spans="8:11" x14ac:dyDescent="0.25">
      <c r="H737" s="183" t="s">
        <v>507</v>
      </c>
      <c r="I737" s="183" t="s">
        <v>503</v>
      </c>
      <c r="J737" s="183" t="s">
        <v>499</v>
      </c>
      <c r="K737" s="183" t="s">
        <v>1347</v>
      </c>
    </row>
    <row r="738" spans="8:11" x14ac:dyDescent="0.25">
      <c r="H738" s="183" t="s">
        <v>507</v>
      </c>
      <c r="I738" s="183" t="s">
        <v>503</v>
      </c>
      <c r="J738" s="183" t="s">
        <v>503</v>
      </c>
      <c r="K738" s="183" t="s">
        <v>1348</v>
      </c>
    </row>
    <row r="739" spans="8:11" x14ac:dyDescent="0.25">
      <c r="H739" s="183" t="s">
        <v>507</v>
      </c>
      <c r="I739" s="183" t="s">
        <v>503</v>
      </c>
      <c r="J739" s="183" t="s">
        <v>507</v>
      </c>
      <c r="K739" s="183" t="s">
        <v>1349</v>
      </c>
    </row>
    <row r="740" spans="8:11" x14ac:dyDescent="0.25">
      <c r="H740" s="183" t="s">
        <v>507</v>
      </c>
      <c r="I740" s="183" t="s">
        <v>507</v>
      </c>
      <c r="J740" s="183" t="s">
        <v>480</v>
      </c>
      <c r="K740" s="183" t="s">
        <v>671</v>
      </c>
    </row>
    <row r="741" spans="8:11" x14ac:dyDescent="0.25">
      <c r="H741" s="183" t="s">
        <v>507</v>
      </c>
      <c r="I741" s="183" t="s">
        <v>507</v>
      </c>
      <c r="J741" s="183" t="s">
        <v>483</v>
      </c>
      <c r="K741" s="183" t="s">
        <v>1350</v>
      </c>
    </row>
    <row r="742" spans="8:11" x14ac:dyDescent="0.25">
      <c r="H742" s="183" t="s">
        <v>507</v>
      </c>
      <c r="I742" s="183" t="s">
        <v>507</v>
      </c>
      <c r="J742" s="183" t="s">
        <v>487</v>
      </c>
      <c r="K742" s="183" t="s">
        <v>1066</v>
      </c>
    </row>
    <row r="743" spans="8:11" x14ac:dyDescent="0.25">
      <c r="H743" s="183" t="s">
        <v>507</v>
      </c>
      <c r="I743" s="183" t="s">
        <v>507</v>
      </c>
      <c r="J743" s="183" t="s">
        <v>491</v>
      </c>
      <c r="K743" s="183" t="s">
        <v>1351</v>
      </c>
    </row>
    <row r="744" spans="8:11" x14ac:dyDescent="0.25">
      <c r="H744" s="183" t="s">
        <v>507</v>
      </c>
      <c r="I744" s="183" t="s">
        <v>507</v>
      </c>
      <c r="J744" s="183" t="s">
        <v>495</v>
      </c>
      <c r="K744" s="183" t="s">
        <v>1352</v>
      </c>
    </row>
    <row r="745" spans="8:11" x14ac:dyDescent="0.25">
      <c r="H745" s="183" t="s">
        <v>507</v>
      </c>
      <c r="I745" s="183" t="s">
        <v>507</v>
      </c>
      <c r="J745" s="183" t="s">
        <v>499</v>
      </c>
      <c r="K745" s="183" t="s">
        <v>1353</v>
      </c>
    </row>
    <row r="746" spans="8:11" x14ac:dyDescent="0.25">
      <c r="H746" s="183" t="s">
        <v>507</v>
      </c>
      <c r="I746" s="183" t="s">
        <v>507</v>
      </c>
      <c r="J746" s="183" t="s">
        <v>503</v>
      </c>
      <c r="K746" s="183" t="s">
        <v>1354</v>
      </c>
    </row>
    <row r="747" spans="8:11" x14ac:dyDescent="0.25">
      <c r="H747" s="183" t="s">
        <v>507</v>
      </c>
      <c r="I747" s="183" t="s">
        <v>507</v>
      </c>
      <c r="J747" s="183" t="s">
        <v>507</v>
      </c>
      <c r="K747" s="183" t="s">
        <v>1355</v>
      </c>
    </row>
    <row r="748" spans="8:11" x14ac:dyDescent="0.25">
      <c r="H748" s="183" t="s">
        <v>507</v>
      </c>
      <c r="I748" s="183" t="s">
        <v>511</v>
      </c>
      <c r="J748" s="183" t="s">
        <v>480</v>
      </c>
      <c r="K748" s="183" t="s">
        <v>1356</v>
      </c>
    </row>
    <row r="749" spans="8:11" x14ac:dyDescent="0.25">
      <c r="H749" s="183" t="s">
        <v>507</v>
      </c>
      <c r="I749" s="183" t="s">
        <v>511</v>
      </c>
      <c r="J749" s="183" t="s">
        <v>483</v>
      </c>
      <c r="K749" s="183" t="s">
        <v>1357</v>
      </c>
    </row>
    <row r="750" spans="8:11" x14ac:dyDescent="0.25">
      <c r="H750" s="183" t="s">
        <v>507</v>
      </c>
      <c r="I750" s="183" t="s">
        <v>511</v>
      </c>
      <c r="J750" s="183" t="s">
        <v>487</v>
      </c>
      <c r="K750" s="183" t="s">
        <v>1358</v>
      </c>
    </row>
    <row r="751" spans="8:11" x14ac:dyDescent="0.25">
      <c r="H751" s="183" t="s">
        <v>507</v>
      </c>
      <c r="I751" s="183" t="s">
        <v>511</v>
      </c>
      <c r="J751" s="183" t="s">
        <v>491</v>
      </c>
      <c r="K751" s="183" t="s">
        <v>1359</v>
      </c>
    </row>
    <row r="752" spans="8:11" x14ac:dyDescent="0.25">
      <c r="H752" s="183" t="s">
        <v>507</v>
      </c>
      <c r="I752" s="183" t="s">
        <v>511</v>
      </c>
      <c r="J752" s="183" t="s">
        <v>495</v>
      </c>
      <c r="K752" s="183" t="s">
        <v>981</v>
      </c>
    </row>
    <row r="753" spans="8:11" x14ac:dyDescent="0.25">
      <c r="H753" s="183" t="s">
        <v>507</v>
      </c>
      <c r="I753" s="183" t="s">
        <v>511</v>
      </c>
      <c r="J753" s="183" t="s">
        <v>499</v>
      </c>
      <c r="K753" s="183" t="s">
        <v>1360</v>
      </c>
    </row>
    <row r="754" spans="8:11" x14ac:dyDescent="0.25">
      <c r="H754" s="183" t="s">
        <v>507</v>
      </c>
      <c r="I754" s="183" t="s">
        <v>511</v>
      </c>
      <c r="J754" s="183" t="s">
        <v>503</v>
      </c>
      <c r="K754" s="183" t="s">
        <v>1361</v>
      </c>
    </row>
    <row r="755" spans="8:11" x14ac:dyDescent="0.25">
      <c r="H755" s="183" t="s">
        <v>507</v>
      </c>
      <c r="I755" s="183" t="s">
        <v>511</v>
      </c>
      <c r="J755" s="183" t="s">
        <v>507</v>
      </c>
      <c r="K755" s="183" t="s">
        <v>1362</v>
      </c>
    </row>
    <row r="756" spans="8:11" x14ac:dyDescent="0.25">
      <c r="H756" s="183" t="s">
        <v>507</v>
      </c>
      <c r="I756" s="183" t="s">
        <v>511</v>
      </c>
      <c r="J756" s="183" t="s">
        <v>511</v>
      </c>
      <c r="K756" s="183" t="s">
        <v>995</v>
      </c>
    </row>
    <row r="757" spans="8:11" x14ac:dyDescent="0.25">
      <c r="H757" s="183" t="s">
        <v>507</v>
      </c>
      <c r="I757" s="183" t="s">
        <v>511</v>
      </c>
      <c r="J757" s="183" t="s">
        <v>515</v>
      </c>
      <c r="K757" s="183" t="s">
        <v>1363</v>
      </c>
    </row>
    <row r="758" spans="8:11" x14ac:dyDescent="0.25">
      <c r="H758" s="183" t="s">
        <v>507</v>
      </c>
      <c r="I758" s="183" t="s">
        <v>515</v>
      </c>
      <c r="J758" s="183" t="s">
        <v>480</v>
      </c>
      <c r="K758" s="183" t="s">
        <v>675</v>
      </c>
    </row>
    <row r="759" spans="8:11" x14ac:dyDescent="0.25">
      <c r="H759" s="183" t="s">
        <v>507</v>
      </c>
      <c r="I759" s="183" t="s">
        <v>515</v>
      </c>
      <c r="J759" s="183" t="s">
        <v>483</v>
      </c>
      <c r="K759" s="183" t="s">
        <v>1364</v>
      </c>
    </row>
    <row r="760" spans="8:11" x14ac:dyDescent="0.25">
      <c r="H760" s="183" t="s">
        <v>507</v>
      </c>
      <c r="I760" s="183" t="s">
        <v>515</v>
      </c>
      <c r="J760" s="183" t="s">
        <v>487</v>
      </c>
      <c r="K760" s="183" t="s">
        <v>1365</v>
      </c>
    </row>
    <row r="761" spans="8:11" x14ac:dyDescent="0.25">
      <c r="H761" s="183" t="s">
        <v>507</v>
      </c>
      <c r="I761" s="183" t="s">
        <v>515</v>
      </c>
      <c r="J761" s="183" t="s">
        <v>491</v>
      </c>
      <c r="K761" s="183" t="s">
        <v>1366</v>
      </c>
    </row>
    <row r="762" spans="8:11" x14ac:dyDescent="0.25">
      <c r="H762" s="183" t="s">
        <v>507</v>
      </c>
      <c r="I762" s="183" t="s">
        <v>515</v>
      </c>
      <c r="J762" s="183" t="s">
        <v>495</v>
      </c>
      <c r="K762" s="183" t="s">
        <v>1367</v>
      </c>
    </row>
    <row r="763" spans="8:11" x14ac:dyDescent="0.25">
      <c r="H763" s="183" t="s">
        <v>507</v>
      </c>
      <c r="I763" s="183" t="s">
        <v>515</v>
      </c>
      <c r="J763" s="183" t="s">
        <v>499</v>
      </c>
      <c r="K763" s="183" t="s">
        <v>1368</v>
      </c>
    </row>
    <row r="764" spans="8:11" x14ac:dyDescent="0.25">
      <c r="H764" s="183" t="s">
        <v>507</v>
      </c>
      <c r="I764" s="183" t="s">
        <v>515</v>
      </c>
      <c r="J764" s="183" t="s">
        <v>503</v>
      </c>
      <c r="K764" s="183" t="s">
        <v>1369</v>
      </c>
    </row>
    <row r="765" spans="8:11" x14ac:dyDescent="0.25">
      <c r="H765" s="183" t="s">
        <v>507</v>
      </c>
      <c r="I765" s="183" t="s">
        <v>515</v>
      </c>
      <c r="J765" s="183" t="s">
        <v>507</v>
      </c>
      <c r="K765" s="183" t="s">
        <v>1370</v>
      </c>
    </row>
    <row r="766" spans="8:11" x14ac:dyDescent="0.25">
      <c r="H766" s="183" t="s">
        <v>507</v>
      </c>
      <c r="I766" s="183" t="s">
        <v>515</v>
      </c>
      <c r="J766" s="183" t="s">
        <v>511</v>
      </c>
      <c r="K766" s="183" t="s">
        <v>1371</v>
      </c>
    </row>
    <row r="767" spans="8:11" x14ac:dyDescent="0.25">
      <c r="H767" s="183" t="s">
        <v>507</v>
      </c>
      <c r="I767" s="183" t="s">
        <v>519</v>
      </c>
      <c r="J767" s="183" t="s">
        <v>480</v>
      </c>
      <c r="K767" s="183" t="s">
        <v>677</v>
      </c>
    </row>
    <row r="768" spans="8:11" x14ac:dyDescent="0.25">
      <c r="H768" s="183" t="s">
        <v>507</v>
      </c>
      <c r="I768" s="183" t="s">
        <v>519</v>
      </c>
      <c r="J768" s="183" t="s">
        <v>483</v>
      </c>
      <c r="K768" s="183" t="s">
        <v>1372</v>
      </c>
    </row>
    <row r="769" spans="8:11" x14ac:dyDescent="0.25">
      <c r="H769" s="183" t="s">
        <v>507</v>
      </c>
      <c r="I769" s="183" t="s">
        <v>519</v>
      </c>
      <c r="J769" s="183" t="s">
        <v>487</v>
      </c>
      <c r="K769" s="183" t="s">
        <v>1373</v>
      </c>
    </row>
    <row r="770" spans="8:11" x14ac:dyDescent="0.25">
      <c r="H770" s="183" t="s">
        <v>507</v>
      </c>
      <c r="I770" s="183" t="s">
        <v>519</v>
      </c>
      <c r="J770" s="183" t="s">
        <v>491</v>
      </c>
      <c r="K770" s="183" t="s">
        <v>1374</v>
      </c>
    </row>
    <row r="771" spans="8:11" x14ac:dyDescent="0.25">
      <c r="H771" s="183" t="s">
        <v>507</v>
      </c>
      <c r="I771" s="183" t="s">
        <v>519</v>
      </c>
      <c r="J771" s="183" t="s">
        <v>495</v>
      </c>
      <c r="K771" s="183" t="s">
        <v>1375</v>
      </c>
    </row>
    <row r="772" spans="8:11" x14ac:dyDescent="0.25">
      <c r="H772" s="183" t="s">
        <v>507</v>
      </c>
      <c r="I772" s="183" t="s">
        <v>519</v>
      </c>
      <c r="J772" s="183" t="s">
        <v>499</v>
      </c>
      <c r="K772" s="183" t="s">
        <v>1376</v>
      </c>
    </row>
    <row r="773" spans="8:11" x14ac:dyDescent="0.25">
      <c r="H773" s="183" t="s">
        <v>507</v>
      </c>
      <c r="I773" s="183" t="s">
        <v>522</v>
      </c>
      <c r="J773" s="183" t="s">
        <v>480</v>
      </c>
      <c r="K773" s="183" t="s">
        <v>1377</v>
      </c>
    </row>
    <row r="774" spans="8:11" x14ac:dyDescent="0.25">
      <c r="H774" s="183" t="s">
        <v>507</v>
      </c>
      <c r="I774" s="183" t="s">
        <v>522</v>
      </c>
      <c r="J774" s="183" t="s">
        <v>483</v>
      </c>
      <c r="K774" s="183" t="s">
        <v>1378</v>
      </c>
    </row>
    <row r="775" spans="8:11" x14ac:dyDescent="0.25">
      <c r="H775" s="183" t="s">
        <v>507</v>
      </c>
      <c r="I775" s="183" t="s">
        <v>522</v>
      </c>
      <c r="J775" s="183" t="s">
        <v>487</v>
      </c>
      <c r="K775" s="183" t="s">
        <v>1379</v>
      </c>
    </row>
    <row r="776" spans="8:11" x14ac:dyDescent="0.25">
      <c r="H776" s="183" t="s">
        <v>507</v>
      </c>
      <c r="I776" s="183" t="s">
        <v>522</v>
      </c>
      <c r="J776" s="183" t="s">
        <v>491</v>
      </c>
      <c r="K776" s="183" t="s">
        <v>1380</v>
      </c>
    </row>
    <row r="777" spans="8:11" x14ac:dyDescent="0.25">
      <c r="H777" s="183" t="s">
        <v>507</v>
      </c>
      <c r="I777" s="183" t="s">
        <v>522</v>
      </c>
      <c r="J777" s="183" t="s">
        <v>495</v>
      </c>
      <c r="K777" s="183" t="s">
        <v>1381</v>
      </c>
    </row>
    <row r="778" spans="8:11" x14ac:dyDescent="0.25">
      <c r="H778" s="183" t="s">
        <v>507</v>
      </c>
      <c r="I778" s="183" t="s">
        <v>522</v>
      </c>
      <c r="J778" s="183" t="s">
        <v>499</v>
      </c>
      <c r="K778" s="183" t="s">
        <v>1382</v>
      </c>
    </row>
    <row r="779" spans="8:11" x14ac:dyDescent="0.25">
      <c r="H779" s="183" t="s">
        <v>507</v>
      </c>
      <c r="I779" s="183" t="s">
        <v>522</v>
      </c>
      <c r="J779" s="183" t="s">
        <v>503</v>
      </c>
      <c r="K779" s="183" t="s">
        <v>1383</v>
      </c>
    </row>
    <row r="780" spans="8:11" x14ac:dyDescent="0.25">
      <c r="H780" s="183" t="s">
        <v>507</v>
      </c>
      <c r="I780" s="183" t="s">
        <v>522</v>
      </c>
      <c r="J780" s="183" t="s">
        <v>507</v>
      </c>
      <c r="K780" s="183" t="s">
        <v>964</v>
      </c>
    </row>
    <row r="781" spans="8:11" x14ac:dyDescent="0.25">
      <c r="H781" s="183" t="s">
        <v>507</v>
      </c>
      <c r="I781" s="183" t="s">
        <v>522</v>
      </c>
      <c r="J781" s="183" t="s">
        <v>511</v>
      </c>
      <c r="K781" s="183" t="s">
        <v>1384</v>
      </c>
    </row>
    <row r="782" spans="8:11" x14ac:dyDescent="0.25">
      <c r="H782" s="183" t="s">
        <v>507</v>
      </c>
      <c r="I782" s="183" t="s">
        <v>522</v>
      </c>
      <c r="J782" s="183" t="s">
        <v>515</v>
      </c>
      <c r="K782" s="183" t="s">
        <v>1385</v>
      </c>
    </row>
    <row r="783" spans="8:11" x14ac:dyDescent="0.25">
      <c r="H783" s="183" t="s">
        <v>507</v>
      </c>
      <c r="I783" s="183" t="s">
        <v>522</v>
      </c>
      <c r="J783" s="183" t="s">
        <v>519</v>
      </c>
      <c r="K783" s="183" t="s">
        <v>954</v>
      </c>
    </row>
    <row r="784" spans="8:11" x14ac:dyDescent="0.25">
      <c r="H784" s="183" t="s">
        <v>507</v>
      </c>
      <c r="I784" s="183" t="s">
        <v>522</v>
      </c>
      <c r="J784" s="183" t="s">
        <v>522</v>
      </c>
      <c r="K784" s="183" t="s">
        <v>1386</v>
      </c>
    </row>
    <row r="785" spans="8:11" x14ac:dyDescent="0.25">
      <c r="H785" s="183" t="s">
        <v>507</v>
      </c>
      <c r="I785" s="183" t="s">
        <v>526</v>
      </c>
      <c r="J785" s="183" t="s">
        <v>480</v>
      </c>
      <c r="K785" s="183" t="s">
        <v>681</v>
      </c>
    </row>
    <row r="786" spans="8:11" x14ac:dyDescent="0.25">
      <c r="H786" s="183" t="s">
        <v>507</v>
      </c>
      <c r="I786" s="183" t="s">
        <v>526</v>
      </c>
      <c r="J786" s="183" t="s">
        <v>483</v>
      </c>
      <c r="K786" s="183" t="s">
        <v>1387</v>
      </c>
    </row>
    <row r="787" spans="8:11" x14ac:dyDescent="0.25">
      <c r="H787" s="183" t="s">
        <v>507</v>
      </c>
      <c r="I787" s="183" t="s">
        <v>526</v>
      </c>
      <c r="J787" s="183" t="s">
        <v>487</v>
      </c>
      <c r="K787" s="183" t="s">
        <v>914</v>
      </c>
    </row>
    <row r="788" spans="8:11" x14ac:dyDescent="0.25">
      <c r="H788" s="183" t="s">
        <v>507</v>
      </c>
      <c r="I788" s="183" t="s">
        <v>526</v>
      </c>
      <c r="J788" s="183" t="s">
        <v>491</v>
      </c>
      <c r="K788" s="183" t="s">
        <v>1388</v>
      </c>
    </row>
    <row r="789" spans="8:11" x14ac:dyDescent="0.25">
      <c r="H789" s="183" t="s">
        <v>507</v>
      </c>
      <c r="I789" s="183" t="s">
        <v>526</v>
      </c>
      <c r="J789" s="183" t="s">
        <v>495</v>
      </c>
      <c r="K789" s="183" t="s">
        <v>1389</v>
      </c>
    </row>
    <row r="790" spans="8:11" x14ac:dyDescent="0.25">
      <c r="H790" s="183" t="s">
        <v>507</v>
      </c>
      <c r="I790" s="183" t="s">
        <v>526</v>
      </c>
      <c r="J790" s="183" t="s">
        <v>499</v>
      </c>
      <c r="K790" s="183" t="s">
        <v>1390</v>
      </c>
    </row>
    <row r="791" spans="8:11" x14ac:dyDescent="0.25">
      <c r="H791" s="183" t="s">
        <v>507</v>
      </c>
      <c r="I791" s="183" t="s">
        <v>526</v>
      </c>
      <c r="J791" s="183" t="s">
        <v>503</v>
      </c>
      <c r="K791" s="183" t="s">
        <v>1391</v>
      </c>
    </row>
    <row r="792" spans="8:11" x14ac:dyDescent="0.25">
      <c r="H792" s="183" t="s">
        <v>511</v>
      </c>
      <c r="I792" s="183" t="s">
        <v>480</v>
      </c>
      <c r="J792" s="183" t="s">
        <v>480</v>
      </c>
      <c r="K792" s="183" t="s">
        <v>512</v>
      </c>
    </row>
    <row r="793" spans="8:11" x14ac:dyDescent="0.25">
      <c r="H793" s="183" t="s">
        <v>511</v>
      </c>
      <c r="I793" s="183" t="s">
        <v>480</v>
      </c>
      <c r="J793" s="183" t="s">
        <v>483</v>
      </c>
      <c r="K793" s="183" t="s">
        <v>1392</v>
      </c>
    </row>
    <row r="794" spans="8:11" x14ac:dyDescent="0.25">
      <c r="H794" s="183" t="s">
        <v>511</v>
      </c>
      <c r="I794" s="183" t="s">
        <v>480</v>
      </c>
      <c r="J794" s="183" t="s">
        <v>487</v>
      </c>
      <c r="K794" s="183" t="s">
        <v>1393</v>
      </c>
    </row>
    <row r="795" spans="8:11" x14ac:dyDescent="0.25">
      <c r="H795" s="183" t="s">
        <v>511</v>
      </c>
      <c r="I795" s="183" t="s">
        <v>480</v>
      </c>
      <c r="J795" s="183" t="s">
        <v>491</v>
      </c>
      <c r="K795" s="183" t="s">
        <v>1394</v>
      </c>
    </row>
    <row r="796" spans="8:11" x14ac:dyDescent="0.25">
      <c r="H796" s="183" t="s">
        <v>511</v>
      </c>
      <c r="I796" s="183" t="s">
        <v>480</v>
      </c>
      <c r="J796" s="183" t="s">
        <v>495</v>
      </c>
      <c r="K796" s="183" t="s">
        <v>1395</v>
      </c>
    </row>
    <row r="797" spans="8:11" x14ac:dyDescent="0.25">
      <c r="H797" s="183" t="s">
        <v>511</v>
      </c>
      <c r="I797" s="183" t="s">
        <v>480</v>
      </c>
      <c r="J797" s="183" t="s">
        <v>499</v>
      </c>
      <c r="K797" s="183" t="s">
        <v>1396</v>
      </c>
    </row>
    <row r="798" spans="8:11" x14ac:dyDescent="0.25">
      <c r="H798" s="183" t="s">
        <v>511</v>
      </c>
      <c r="I798" s="183" t="s">
        <v>480</v>
      </c>
      <c r="J798" s="183" t="s">
        <v>503</v>
      </c>
      <c r="K798" s="183" t="s">
        <v>1397</v>
      </c>
    </row>
    <row r="799" spans="8:11" x14ac:dyDescent="0.25">
      <c r="H799" s="183" t="s">
        <v>511</v>
      </c>
      <c r="I799" s="183" t="s">
        <v>480</v>
      </c>
      <c r="J799" s="183" t="s">
        <v>507</v>
      </c>
      <c r="K799" s="183" t="s">
        <v>1398</v>
      </c>
    </row>
    <row r="800" spans="8:11" x14ac:dyDescent="0.25">
      <c r="H800" s="183" t="s">
        <v>511</v>
      </c>
      <c r="I800" s="183" t="s">
        <v>480</v>
      </c>
      <c r="J800" s="183" t="s">
        <v>511</v>
      </c>
      <c r="K800" s="183" t="s">
        <v>1399</v>
      </c>
    </row>
    <row r="801" spans="8:11" x14ac:dyDescent="0.25">
      <c r="H801" s="183" t="s">
        <v>511</v>
      </c>
      <c r="I801" s="183" t="s">
        <v>480</v>
      </c>
      <c r="J801" s="183" t="s">
        <v>515</v>
      </c>
      <c r="K801" s="183" t="s">
        <v>1400</v>
      </c>
    </row>
    <row r="802" spans="8:11" x14ac:dyDescent="0.25">
      <c r="H802" s="183" t="s">
        <v>511</v>
      </c>
      <c r="I802" s="183" t="s">
        <v>480</v>
      </c>
      <c r="J802" s="183" t="s">
        <v>519</v>
      </c>
      <c r="K802" s="183" t="s">
        <v>854</v>
      </c>
    </row>
    <row r="803" spans="8:11" x14ac:dyDescent="0.25">
      <c r="H803" s="183" t="s">
        <v>511</v>
      </c>
      <c r="I803" s="183" t="s">
        <v>480</v>
      </c>
      <c r="J803" s="183" t="s">
        <v>522</v>
      </c>
      <c r="K803" s="183" t="s">
        <v>1401</v>
      </c>
    </row>
    <row r="804" spans="8:11" x14ac:dyDescent="0.25">
      <c r="H804" s="183" t="s">
        <v>511</v>
      </c>
      <c r="I804" s="183" t="s">
        <v>480</v>
      </c>
      <c r="J804" s="183" t="s">
        <v>526</v>
      </c>
      <c r="K804" s="183" t="s">
        <v>1402</v>
      </c>
    </row>
    <row r="805" spans="8:11" x14ac:dyDescent="0.25">
      <c r="H805" s="183" t="s">
        <v>511</v>
      </c>
      <c r="I805" s="183" t="s">
        <v>480</v>
      </c>
      <c r="J805" s="183" t="s">
        <v>530</v>
      </c>
      <c r="K805" s="183" t="s">
        <v>1403</v>
      </c>
    </row>
    <row r="806" spans="8:11" x14ac:dyDescent="0.25">
      <c r="H806" s="183" t="s">
        <v>511</v>
      </c>
      <c r="I806" s="183" t="s">
        <v>480</v>
      </c>
      <c r="J806" s="183" t="s">
        <v>534</v>
      </c>
      <c r="K806" s="183" t="s">
        <v>1404</v>
      </c>
    </row>
    <row r="807" spans="8:11" x14ac:dyDescent="0.25">
      <c r="H807" s="183" t="s">
        <v>511</v>
      </c>
      <c r="I807" s="183" t="s">
        <v>480</v>
      </c>
      <c r="J807" s="183" t="s">
        <v>538</v>
      </c>
      <c r="K807" s="183" t="s">
        <v>1405</v>
      </c>
    </row>
    <row r="808" spans="8:11" x14ac:dyDescent="0.25">
      <c r="H808" s="183" t="s">
        <v>511</v>
      </c>
      <c r="I808" s="183" t="s">
        <v>480</v>
      </c>
      <c r="J808" s="183" t="s">
        <v>542</v>
      </c>
      <c r="K808" s="183" t="s">
        <v>735</v>
      </c>
    </row>
    <row r="809" spans="8:11" x14ac:dyDescent="0.25">
      <c r="H809" s="183" t="s">
        <v>511</v>
      </c>
      <c r="I809" s="183" t="s">
        <v>480</v>
      </c>
      <c r="J809" s="183" t="s">
        <v>546</v>
      </c>
      <c r="K809" s="183" t="s">
        <v>1406</v>
      </c>
    </row>
    <row r="810" spans="8:11" x14ac:dyDescent="0.25">
      <c r="H810" s="183" t="s">
        <v>511</v>
      </c>
      <c r="I810" s="183" t="s">
        <v>480</v>
      </c>
      <c r="J810" s="183" t="s">
        <v>550</v>
      </c>
      <c r="K810" s="183" t="s">
        <v>1407</v>
      </c>
    </row>
    <row r="811" spans="8:11" x14ac:dyDescent="0.25">
      <c r="H811" s="183" t="s">
        <v>511</v>
      </c>
      <c r="I811" s="183" t="s">
        <v>483</v>
      </c>
      <c r="J811" s="183" t="s">
        <v>480</v>
      </c>
      <c r="K811" s="183" t="s">
        <v>684</v>
      </c>
    </row>
    <row r="812" spans="8:11" x14ac:dyDescent="0.25">
      <c r="H812" s="183" t="s">
        <v>511</v>
      </c>
      <c r="I812" s="183" t="s">
        <v>483</v>
      </c>
      <c r="J812" s="183" t="s">
        <v>483</v>
      </c>
      <c r="K812" s="183" t="s">
        <v>1289</v>
      </c>
    </row>
    <row r="813" spans="8:11" x14ac:dyDescent="0.25">
      <c r="H813" s="183" t="s">
        <v>511</v>
      </c>
      <c r="I813" s="183" t="s">
        <v>483</v>
      </c>
      <c r="J813" s="183" t="s">
        <v>487</v>
      </c>
      <c r="K813" s="183" t="s">
        <v>661</v>
      </c>
    </row>
    <row r="814" spans="8:11" x14ac:dyDescent="0.25">
      <c r="H814" s="183" t="s">
        <v>511</v>
      </c>
      <c r="I814" s="183" t="s">
        <v>483</v>
      </c>
      <c r="J814" s="183" t="s">
        <v>491</v>
      </c>
      <c r="K814" s="183" t="s">
        <v>1408</v>
      </c>
    </row>
    <row r="815" spans="8:11" x14ac:dyDescent="0.25">
      <c r="H815" s="183" t="s">
        <v>511</v>
      </c>
      <c r="I815" s="183" t="s">
        <v>483</v>
      </c>
      <c r="J815" s="183" t="s">
        <v>495</v>
      </c>
      <c r="K815" s="183" t="s">
        <v>1409</v>
      </c>
    </row>
    <row r="816" spans="8:11" x14ac:dyDescent="0.25">
      <c r="H816" s="183" t="s">
        <v>511</v>
      </c>
      <c r="I816" s="183" t="s">
        <v>483</v>
      </c>
      <c r="J816" s="183" t="s">
        <v>499</v>
      </c>
      <c r="K816" s="183" t="s">
        <v>1410</v>
      </c>
    </row>
    <row r="817" spans="8:11" x14ac:dyDescent="0.25">
      <c r="H817" s="183" t="s">
        <v>511</v>
      </c>
      <c r="I817" s="183" t="s">
        <v>483</v>
      </c>
      <c r="J817" s="183" t="s">
        <v>503</v>
      </c>
      <c r="K817" s="183" t="s">
        <v>943</v>
      </c>
    </row>
    <row r="818" spans="8:11" x14ac:dyDescent="0.25">
      <c r="H818" s="183" t="s">
        <v>511</v>
      </c>
      <c r="I818" s="183" t="s">
        <v>483</v>
      </c>
      <c r="J818" s="183" t="s">
        <v>507</v>
      </c>
      <c r="K818" s="183" t="s">
        <v>1411</v>
      </c>
    </row>
    <row r="819" spans="8:11" x14ac:dyDescent="0.25">
      <c r="H819" s="183" t="s">
        <v>511</v>
      </c>
      <c r="I819" s="183" t="s">
        <v>487</v>
      </c>
      <c r="J819" s="183" t="s">
        <v>480</v>
      </c>
      <c r="K819" s="183" t="s">
        <v>1412</v>
      </c>
    </row>
    <row r="820" spans="8:11" x14ac:dyDescent="0.25">
      <c r="H820" s="183" t="s">
        <v>511</v>
      </c>
      <c r="I820" s="183" t="s">
        <v>487</v>
      </c>
      <c r="J820" s="183" t="s">
        <v>483</v>
      </c>
      <c r="K820" s="183" t="s">
        <v>1413</v>
      </c>
    </row>
    <row r="821" spans="8:11" x14ac:dyDescent="0.25">
      <c r="H821" s="183" t="s">
        <v>511</v>
      </c>
      <c r="I821" s="183" t="s">
        <v>487</v>
      </c>
      <c r="J821" s="183" t="s">
        <v>487</v>
      </c>
      <c r="K821" s="183" t="s">
        <v>1414</v>
      </c>
    </row>
    <row r="822" spans="8:11" x14ac:dyDescent="0.25">
      <c r="H822" s="183" t="s">
        <v>511</v>
      </c>
      <c r="I822" s="183" t="s">
        <v>487</v>
      </c>
      <c r="J822" s="183" t="s">
        <v>491</v>
      </c>
      <c r="K822" s="183" t="s">
        <v>1415</v>
      </c>
    </row>
    <row r="823" spans="8:11" x14ac:dyDescent="0.25">
      <c r="H823" s="183" t="s">
        <v>511</v>
      </c>
      <c r="I823" s="183" t="s">
        <v>487</v>
      </c>
      <c r="J823" s="183" t="s">
        <v>495</v>
      </c>
      <c r="K823" s="183" t="s">
        <v>1416</v>
      </c>
    </row>
    <row r="824" spans="8:11" x14ac:dyDescent="0.25">
      <c r="H824" s="183" t="s">
        <v>511</v>
      </c>
      <c r="I824" s="183" t="s">
        <v>487</v>
      </c>
      <c r="J824" s="183" t="s">
        <v>499</v>
      </c>
      <c r="K824" s="183" t="s">
        <v>1417</v>
      </c>
    </row>
    <row r="825" spans="8:11" x14ac:dyDescent="0.25">
      <c r="H825" s="183" t="s">
        <v>511</v>
      </c>
      <c r="I825" s="183" t="s">
        <v>487</v>
      </c>
      <c r="J825" s="183" t="s">
        <v>503</v>
      </c>
      <c r="K825" s="183" t="s">
        <v>1418</v>
      </c>
    </row>
    <row r="826" spans="8:11" x14ac:dyDescent="0.25">
      <c r="H826" s="183" t="s">
        <v>511</v>
      </c>
      <c r="I826" s="183" t="s">
        <v>487</v>
      </c>
      <c r="J826" s="183" t="s">
        <v>507</v>
      </c>
      <c r="K826" s="183" t="s">
        <v>1419</v>
      </c>
    </row>
    <row r="827" spans="8:11" x14ac:dyDescent="0.25">
      <c r="H827" s="183" t="s">
        <v>511</v>
      </c>
      <c r="I827" s="183" t="s">
        <v>487</v>
      </c>
      <c r="J827" s="183" t="s">
        <v>511</v>
      </c>
      <c r="K827" s="183" t="s">
        <v>1420</v>
      </c>
    </row>
    <row r="828" spans="8:11" x14ac:dyDescent="0.25">
      <c r="H828" s="183" t="s">
        <v>511</v>
      </c>
      <c r="I828" s="183" t="s">
        <v>487</v>
      </c>
      <c r="J828" s="183" t="s">
        <v>515</v>
      </c>
      <c r="K828" s="183" t="s">
        <v>1421</v>
      </c>
    </row>
    <row r="829" spans="8:11" x14ac:dyDescent="0.25">
      <c r="H829" s="183" t="s">
        <v>511</v>
      </c>
      <c r="I829" s="183" t="s">
        <v>487</v>
      </c>
      <c r="J829" s="183" t="s">
        <v>519</v>
      </c>
      <c r="K829" s="183" t="s">
        <v>1422</v>
      </c>
    </row>
    <row r="830" spans="8:11" x14ac:dyDescent="0.25">
      <c r="H830" s="183" t="s">
        <v>511</v>
      </c>
      <c r="I830" s="183" t="s">
        <v>487</v>
      </c>
      <c r="J830" s="183" t="s">
        <v>522</v>
      </c>
      <c r="K830" s="183" t="s">
        <v>1423</v>
      </c>
    </row>
    <row r="831" spans="8:11" x14ac:dyDescent="0.25">
      <c r="H831" s="183" t="s">
        <v>511</v>
      </c>
      <c r="I831" s="183" t="s">
        <v>491</v>
      </c>
      <c r="J831" s="183" t="s">
        <v>480</v>
      </c>
      <c r="K831" s="183" t="s">
        <v>688</v>
      </c>
    </row>
    <row r="832" spans="8:11" x14ac:dyDescent="0.25">
      <c r="H832" s="183" t="s">
        <v>511</v>
      </c>
      <c r="I832" s="183" t="s">
        <v>491</v>
      </c>
      <c r="J832" s="183" t="s">
        <v>483</v>
      </c>
      <c r="K832" s="183" t="s">
        <v>1424</v>
      </c>
    </row>
    <row r="833" spans="8:11" x14ac:dyDescent="0.25">
      <c r="H833" s="183" t="s">
        <v>511</v>
      </c>
      <c r="I833" s="183" t="s">
        <v>491</v>
      </c>
      <c r="J833" s="183" t="s">
        <v>487</v>
      </c>
      <c r="K833" s="183" t="s">
        <v>1425</v>
      </c>
    </row>
    <row r="834" spans="8:11" x14ac:dyDescent="0.25">
      <c r="H834" s="183" t="s">
        <v>511</v>
      </c>
      <c r="I834" s="183" t="s">
        <v>491</v>
      </c>
      <c r="J834" s="183" t="s">
        <v>491</v>
      </c>
      <c r="K834" s="183" t="s">
        <v>1426</v>
      </c>
    </row>
    <row r="835" spans="8:11" x14ac:dyDescent="0.25">
      <c r="H835" s="183" t="s">
        <v>511</v>
      </c>
      <c r="I835" s="183" t="s">
        <v>491</v>
      </c>
      <c r="J835" s="183" t="s">
        <v>495</v>
      </c>
      <c r="K835" s="183" t="s">
        <v>1427</v>
      </c>
    </row>
    <row r="836" spans="8:11" x14ac:dyDescent="0.25">
      <c r="H836" s="183" t="s">
        <v>511</v>
      </c>
      <c r="I836" s="183" t="s">
        <v>491</v>
      </c>
      <c r="J836" s="183" t="s">
        <v>499</v>
      </c>
      <c r="K836" s="183" t="s">
        <v>1428</v>
      </c>
    </row>
    <row r="837" spans="8:11" x14ac:dyDescent="0.25">
      <c r="H837" s="183" t="s">
        <v>511</v>
      </c>
      <c r="I837" s="183" t="s">
        <v>491</v>
      </c>
      <c r="J837" s="183" t="s">
        <v>503</v>
      </c>
      <c r="K837" s="183" t="s">
        <v>1429</v>
      </c>
    </row>
    <row r="838" spans="8:11" x14ac:dyDescent="0.25">
      <c r="H838" s="183" t="s">
        <v>511</v>
      </c>
      <c r="I838" s="183" t="s">
        <v>491</v>
      </c>
      <c r="J838" s="183" t="s">
        <v>507</v>
      </c>
      <c r="K838" s="183" t="s">
        <v>1430</v>
      </c>
    </row>
    <row r="839" spans="8:11" x14ac:dyDescent="0.25">
      <c r="H839" s="183" t="s">
        <v>511</v>
      </c>
      <c r="I839" s="183" t="s">
        <v>491</v>
      </c>
      <c r="J839" s="183" t="s">
        <v>511</v>
      </c>
      <c r="K839" s="183" t="s">
        <v>1431</v>
      </c>
    </row>
    <row r="840" spans="8:11" x14ac:dyDescent="0.25">
      <c r="H840" s="183" t="s">
        <v>511</v>
      </c>
      <c r="I840" s="183" t="s">
        <v>491</v>
      </c>
      <c r="J840" s="183" t="s">
        <v>515</v>
      </c>
      <c r="K840" s="183" t="s">
        <v>917</v>
      </c>
    </row>
    <row r="841" spans="8:11" x14ac:dyDescent="0.25">
      <c r="H841" s="183" t="s">
        <v>511</v>
      </c>
      <c r="I841" s="183" t="s">
        <v>491</v>
      </c>
      <c r="J841" s="183" t="s">
        <v>519</v>
      </c>
      <c r="K841" s="183" t="s">
        <v>1356</v>
      </c>
    </row>
    <row r="842" spans="8:11" x14ac:dyDescent="0.25">
      <c r="H842" s="183" t="s">
        <v>511</v>
      </c>
      <c r="I842" s="183" t="s">
        <v>491</v>
      </c>
      <c r="J842" s="183" t="s">
        <v>522</v>
      </c>
      <c r="K842" s="183" t="s">
        <v>1432</v>
      </c>
    </row>
    <row r="843" spans="8:11" x14ac:dyDescent="0.25">
      <c r="H843" s="183" t="s">
        <v>511</v>
      </c>
      <c r="I843" s="183" t="s">
        <v>491</v>
      </c>
      <c r="J843" s="183" t="s">
        <v>526</v>
      </c>
      <c r="K843" s="183" t="s">
        <v>1433</v>
      </c>
    </row>
    <row r="844" spans="8:11" x14ac:dyDescent="0.25">
      <c r="H844" s="183" t="s">
        <v>511</v>
      </c>
      <c r="I844" s="183" t="s">
        <v>495</v>
      </c>
      <c r="J844" s="183" t="s">
        <v>480</v>
      </c>
      <c r="K844" s="183" t="s">
        <v>689</v>
      </c>
    </row>
    <row r="845" spans="8:11" x14ac:dyDescent="0.25">
      <c r="H845" s="183" t="s">
        <v>511</v>
      </c>
      <c r="I845" s="183" t="s">
        <v>495</v>
      </c>
      <c r="J845" s="183" t="s">
        <v>483</v>
      </c>
      <c r="K845" s="183" t="s">
        <v>1131</v>
      </c>
    </row>
    <row r="846" spans="8:11" x14ac:dyDescent="0.25">
      <c r="H846" s="183" t="s">
        <v>511</v>
      </c>
      <c r="I846" s="183" t="s">
        <v>495</v>
      </c>
      <c r="J846" s="183" t="s">
        <v>487</v>
      </c>
      <c r="K846" s="183" t="s">
        <v>1434</v>
      </c>
    </row>
    <row r="847" spans="8:11" x14ac:dyDescent="0.25">
      <c r="H847" s="183" t="s">
        <v>511</v>
      </c>
      <c r="I847" s="183" t="s">
        <v>495</v>
      </c>
      <c r="J847" s="183" t="s">
        <v>491</v>
      </c>
      <c r="K847" s="183" t="s">
        <v>1435</v>
      </c>
    </row>
    <row r="848" spans="8:11" x14ac:dyDescent="0.25">
      <c r="H848" s="183" t="s">
        <v>511</v>
      </c>
      <c r="I848" s="183" t="s">
        <v>495</v>
      </c>
      <c r="J848" s="183" t="s">
        <v>495</v>
      </c>
      <c r="K848" s="183" t="s">
        <v>713</v>
      </c>
    </row>
    <row r="849" spans="8:11" x14ac:dyDescent="0.25">
      <c r="H849" s="183" t="s">
        <v>511</v>
      </c>
      <c r="I849" s="183" t="s">
        <v>495</v>
      </c>
      <c r="J849" s="183" t="s">
        <v>499</v>
      </c>
      <c r="K849" s="183" t="s">
        <v>1436</v>
      </c>
    </row>
    <row r="850" spans="8:11" x14ac:dyDescent="0.25">
      <c r="H850" s="183" t="s">
        <v>511</v>
      </c>
      <c r="I850" s="183" t="s">
        <v>495</v>
      </c>
      <c r="J850" s="183" t="s">
        <v>503</v>
      </c>
      <c r="K850" s="183" t="s">
        <v>1437</v>
      </c>
    </row>
    <row r="851" spans="8:11" x14ac:dyDescent="0.25">
      <c r="H851" s="183" t="s">
        <v>511</v>
      </c>
      <c r="I851" s="183" t="s">
        <v>495</v>
      </c>
      <c r="J851" s="183" t="s">
        <v>507</v>
      </c>
      <c r="K851" s="183" t="s">
        <v>1438</v>
      </c>
    </row>
    <row r="852" spans="8:11" x14ac:dyDescent="0.25">
      <c r="H852" s="183" t="s">
        <v>511</v>
      </c>
      <c r="I852" s="183" t="s">
        <v>495</v>
      </c>
      <c r="J852" s="183" t="s">
        <v>511</v>
      </c>
      <c r="K852" s="183" t="s">
        <v>1439</v>
      </c>
    </row>
    <row r="853" spans="8:11" x14ac:dyDescent="0.25">
      <c r="H853" s="183" t="s">
        <v>511</v>
      </c>
      <c r="I853" s="183" t="s">
        <v>495</v>
      </c>
      <c r="J853" s="183" t="s">
        <v>515</v>
      </c>
      <c r="K853" s="183" t="s">
        <v>1440</v>
      </c>
    </row>
    <row r="854" spans="8:11" x14ac:dyDescent="0.25">
      <c r="H854" s="183" t="s">
        <v>511</v>
      </c>
      <c r="I854" s="183" t="s">
        <v>499</v>
      </c>
      <c r="J854" s="183" t="s">
        <v>480</v>
      </c>
      <c r="K854" s="183" t="s">
        <v>691</v>
      </c>
    </row>
    <row r="855" spans="8:11" x14ac:dyDescent="0.25">
      <c r="H855" s="183" t="s">
        <v>511</v>
      </c>
      <c r="I855" s="183" t="s">
        <v>499</v>
      </c>
      <c r="J855" s="183" t="s">
        <v>483</v>
      </c>
      <c r="K855" s="183" t="s">
        <v>1441</v>
      </c>
    </row>
    <row r="856" spans="8:11" x14ac:dyDescent="0.25">
      <c r="H856" s="183" t="s">
        <v>511</v>
      </c>
      <c r="I856" s="183" t="s">
        <v>499</v>
      </c>
      <c r="J856" s="183" t="s">
        <v>487</v>
      </c>
      <c r="K856" s="183" t="s">
        <v>1442</v>
      </c>
    </row>
    <row r="857" spans="8:11" x14ac:dyDescent="0.25">
      <c r="H857" s="183" t="s">
        <v>511</v>
      </c>
      <c r="I857" s="183" t="s">
        <v>499</v>
      </c>
      <c r="J857" s="183" t="s">
        <v>491</v>
      </c>
      <c r="K857" s="183" t="s">
        <v>1443</v>
      </c>
    </row>
    <row r="858" spans="8:11" x14ac:dyDescent="0.25">
      <c r="H858" s="183" t="s">
        <v>511</v>
      </c>
      <c r="I858" s="183" t="s">
        <v>499</v>
      </c>
      <c r="J858" s="183" t="s">
        <v>495</v>
      </c>
      <c r="K858" s="183" t="s">
        <v>1444</v>
      </c>
    </row>
    <row r="859" spans="8:11" x14ac:dyDescent="0.25">
      <c r="H859" s="183" t="s">
        <v>511</v>
      </c>
      <c r="I859" s="183" t="s">
        <v>499</v>
      </c>
      <c r="J859" s="183" t="s">
        <v>499</v>
      </c>
      <c r="K859" s="183" t="s">
        <v>1445</v>
      </c>
    </row>
    <row r="860" spans="8:11" x14ac:dyDescent="0.25">
      <c r="H860" s="183" t="s">
        <v>511</v>
      </c>
      <c r="I860" s="183" t="s">
        <v>499</v>
      </c>
      <c r="J860" s="183" t="s">
        <v>503</v>
      </c>
      <c r="K860" s="183" t="s">
        <v>1446</v>
      </c>
    </row>
    <row r="861" spans="8:11" x14ac:dyDescent="0.25">
      <c r="H861" s="183" t="s">
        <v>511</v>
      </c>
      <c r="I861" s="183" t="s">
        <v>499</v>
      </c>
      <c r="J861" s="183" t="s">
        <v>507</v>
      </c>
      <c r="K861" s="183" t="s">
        <v>1447</v>
      </c>
    </row>
    <row r="862" spans="8:11" x14ac:dyDescent="0.25">
      <c r="H862" s="183" t="s">
        <v>511</v>
      </c>
      <c r="I862" s="183" t="s">
        <v>499</v>
      </c>
      <c r="J862" s="183" t="s">
        <v>511</v>
      </c>
      <c r="K862" s="183" t="s">
        <v>1448</v>
      </c>
    </row>
    <row r="863" spans="8:11" x14ac:dyDescent="0.25">
      <c r="H863" s="183" t="s">
        <v>511</v>
      </c>
      <c r="I863" s="183" t="s">
        <v>499</v>
      </c>
      <c r="J863" s="183" t="s">
        <v>515</v>
      </c>
      <c r="K863" s="183" t="s">
        <v>1449</v>
      </c>
    </row>
    <row r="864" spans="8:11" x14ac:dyDescent="0.25">
      <c r="H864" s="183" t="s">
        <v>511</v>
      </c>
      <c r="I864" s="183" t="s">
        <v>499</v>
      </c>
      <c r="J864" s="183" t="s">
        <v>519</v>
      </c>
      <c r="K864" s="183" t="s">
        <v>1450</v>
      </c>
    </row>
    <row r="865" spans="8:11" x14ac:dyDescent="0.25">
      <c r="H865" s="183" t="s">
        <v>511</v>
      </c>
      <c r="I865" s="183" t="s">
        <v>499</v>
      </c>
      <c r="J865" s="183" t="s">
        <v>522</v>
      </c>
      <c r="K865" s="183" t="s">
        <v>1451</v>
      </c>
    </row>
    <row r="866" spans="8:11" x14ac:dyDescent="0.25">
      <c r="H866" s="183" t="s">
        <v>511</v>
      </c>
      <c r="I866" s="183" t="s">
        <v>499</v>
      </c>
      <c r="J866" s="183" t="s">
        <v>526</v>
      </c>
      <c r="K866" s="183" t="s">
        <v>1452</v>
      </c>
    </row>
    <row r="867" spans="8:11" x14ac:dyDescent="0.25">
      <c r="H867" s="183" t="s">
        <v>511</v>
      </c>
      <c r="I867" s="183" t="s">
        <v>499</v>
      </c>
      <c r="J867" s="183" t="s">
        <v>530</v>
      </c>
      <c r="K867" s="183" t="s">
        <v>1453</v>
      </c>
    </row>
    <row r="868" spans="8:11" x14ac:dyDescent="0.25">
      <c r="H868" s="183" t="s">
        <v>511</v>
      </c>
      <c r="I868" s="183" t="s">
        <v>499</v>
      </c>
      <c r="J868" s="183" t="s">
        <v>534</v>
      </c>
      <c r="K868" s="183" t="s">
        <v>1454</v>
      </c>
    </row>
    <row r="869" spans="8:11" x14ac:dyDescent="0.25">
      <c r="H869" s="183" t="s">
        <v>511</v>
      </c>
      <c r="I869" s="183" t="s">
        <v>499</v>
      </c>
      <c r="J869" s="183" t="s">
        <v>538</v>
      </c>
      <c r="K869" s="183" t="s">
        <v>1136</v>
      </c>
    </row>
    <row r="870" spans="8:11" x14ac:dyDescent="0.25">
      <c r="H870" s="183" t="s">
        <v>511</v>
      </c>
      <c r="I870" s="183" t="s">
        <v>503</v>
      </c>
      <c r="J870" s="183" t="s">
        <v>480</v>
      </c>
      <c r="K870" s="183" t="s">
        <v>701</v>
      </c>
    </row>
    <row r="871" spans="8:11" x14ac:dyDescent="0.25">
      <c r="H871" s="183" t="s">
        <v>511</v>
      </c>
      <c r="I871" s="183" t="s">
        <v>503</v>
      </c>
      <c r="J871" s="183" t="s">
        <v>483</v>
      </c>
      <c r="K871" s="183" t="s">
        <v>1455</v>
      </c>
    </row>
    <row r="872" spans="8:11" x14ac:dyDescent="0.25">
      <c r="H872" s="183" t="s">
        <v>511</v>
      </c>
      <c r="I872" s="183" t="s">
        <v>503</v>
      </c>
      <c r="J872" s="183" t="s">
        <v>487</v>
      </c>
      <c r="K872" s="183" t="s">
        <v>1456</v>
      </c>
    </row>
    <row r="873" spans="8:11" x14ac:dyDescent="0.25">
      <c r="H873" s="183" t="s">
        <v>511</v>
      </c>
      <c r="I873" s="183" t="s">
        <v>503</v>
      </c>
      <c r="J873" s="183" t="s">
        <v>491</v>
      </c>
      <c r="K873" s="183" t="s">
        <v>1457</v>
      </c>
    </row>
    <row r="874" spans="8:11" x14ac:dyDescent="0.25">
      <c r="H874" s="183" t="s">
        <v>511</v>
      </c>
      <c r="I874" s="183" t="s">
        <v>503</v>
      </c>
      <c r="J874" s="183" t="s">
        <v>495</v>
      </c>
      <c r="K874" s="183" t="s">
        <v>692</v>
      </c>
    </row>
    <row r="875" spans="8:11" x14ac:dyDescent="0.25">
      <c r="H875" s="183" t="s">
        <v>511</v>
      </c>
      <c r="I875" s="183" t="s">
        <v>503</v>
      </c>
      <c r="J875" s="183" t="s">
        <v>499</v>
      </c>
      <c r="K875" s="183" t="s">
        <v>1458</v>
      </c>
    </row>
    <row r="876" spans="8:11" x14ac:dyDescent="0.25">
      <c r="H876" s="183" t="s">
        <v>511</v>
      </c>
      <c r="I876" s="183" t="s">
        <v>503</v>
      </c>
      <c r="J876" s="183" t="s">
        <v>503</v>
      </c>
      <c r="K876" s="183" t="s">
        <v>1396</v>
      </c>
    </row>
    <row r="877" spans="8:11" x14ac:dyDescent="0.25">
      <c r="H877" s="183" t="s">
        <v>511</v>
      </c>
      <c r="I877" s="183" t="s">
        <v>503</v>
      </c>
      <c r="J877" s="183" t="s">
        <v>511</v>
      </c>
      <c r="K877" s="183" t="s">
        <v>1459</v>
      </c>
    </row>
    <row r="878" spans="8:11" x14ac:dyDescent="0.25">
      <c r="H878" s="183" t="s">
        <v>511</v>
      </c>
      <c r="I878" s="183" t="s">
        <v>503</v>
      </c>
      <c r="J878" s="183" t="s">
        <v>515</v>
      </c>
      <c r="K878" s="183" t="s">
        <v>1460</v>
      </c>
    </row>
    <row r="879" spans="8:11" x14ac:dyDescent="0.25">
      <c r="H879" s="183" t="s">
        <v>511</v>
      </c>
      <c r="I879" s="183" t="s">
        <v>503</v>
      </c>
      <c r="J879" s="183" t="s">
        <v>519</v>
      </c>
      <c r="K879" s="183" t="s">
        <v>1461</v>
      </c>
    </row>
    <row r="880" spans="8:11" x14ac:dyDescent="0.25">
      <c r="H880" s="183" t="s">
        <v>511</v>
      </c>
      <c r="I880" s="183" t="s">
        <v>503</v>
      </c>
      <c r="J880" s="183" t="s">
        <v>526</v>
      </c>
      <c r="K880" s="183" t="s">
        <v>1462</v>
      </c>
    </row>
    <row r="881" spans="8:11" x14ac:dyDescent="0.25">
      <c r="H881" s="183" t="s">
        <v>511</v>
      </c>
      <c r="I881" s="183" t="s">
        <v>503</v>
      </c>
      <c r="J881" s="183" t="s">
        <v>530</v>
      </c>
      <c r="K881" s="183" t="s">
        <v>1463</v>
      </c>
    </row>
    <row r="882" spans="8:11" x14ac:dyDescent="0.25">
      <c r="H882" s="183" t="s">
        <v>511</v>
      </c>
      <c r="I882" s="183" t="s">
        <v>503</v>
      </c>
      <c r="J882" s="183" t="s">
        <v>534</v>
      </c>
      <c r="K882" s="183" t="s">
        <v>1464</v>
      </c>
    </row>
    <row r="883" spans="8:11" x14ac:dyDescent="0.25">
      <c r="H883" s="183" t="s">
        <v>511</v>
      </c>
      <c r="I883" s="183" t="s">
        <v>503</v>
      </c>
      <c r="J883" s="183" t="s">
        <v>538</v>
      </c>
      <c r="K883" s="183" t="s">
        <v>1465</v>
      </c>
    </row>
    <row r="884" spans="8:11" x14ac:dyDescent="0.25">
      <c r="H884" s="183" t="s">
        <v>511</v>
      </c>
      <c r="I884" s="183" t="s">
        <v>503</v>
      </c>
      <c r="J884" s="183" t="s">
        <v>542</v>
      </c>
      <c r="K884" s="183" t="s">
        <v>1466</v>
      </c>
    </row>
    <row r="885" spans="8:11" x14ac:dyDescent="0.25">
      <c r="H885" s="183" t="s">
        <v>511</v>
      </c>
      <c r="I885" s="183" t="s">
        <v>503</v>
      </c>
      <c r="J885" s="183" t="s">
        <v>546</v>
      </c>
      <c r="K885" s="183" t="s">
        <v>1467</v>
      </c>
    </row>
    <row r="886" spans="8:11" x14ac:dyDescent="0.25">
      <c r="H886" s="183" t="s">
        <v>515</v>
      </c>
      <c r="I886" s="183" t="s">
        <v>480</v>
      </c>
      <c r="J886" s="183" t="s">
        <v>480</v>
      </c>
      <c r="K886" s="183" t="s">
        <v>516</v>
      </c>
    </row>
    <row r="887" spans="8:11" x14ac:dyDescent="0.25">
      <c r="H887" s="183" t="s">
        <v>515</v>
      </c>
      <c r="I887" s="183" t="s">
        <v>480</v>
      </c>
      <c r="J887" s="183" t="s">
        <v>483</v>
      </c>
      <c r="K887" s="183" t="s">
        <v>1468</v>
      </c>
    </row>
    <row r="888" spans="8:11" x14ac:dyDescent="0.25">
      <c r="H888" s="183" t="s">
        <v>515</v>
      </c>
      <c r="I888" s="183" t="s">
        <v>480</v>
      </c>
      <c r="J888" s="183" t="s">
        <v>487</v>
      </c>
      <c r="K888" s="183" t="s">
        <v>1469</v>
      </c>
    </row>
    <row r="889" spans="8:11" x14ac:dyDescent="0.25">
      <c r="H889" s="183" t="s">
        <v>515</v>
      </c>
      <c r="I889" s="183" t="s">
        <v>480</v>
      </c>
      <c r="J889" s="183" t="s">
        <v>491</v>
      </c>
      <c r="K889" s="183" t="s">
        <v>1470</v>
      </c>
    </row>
    <row r="890" spans="8:11" x14ac:dyDescent="0.25">
      <c r="H890" s="183" t="s">
        <v>515</v>
      </c>
      <c r="I890" s="183" t="s">
        <v>480</v>
      </c>
      <c r="J890" s="183" t="s">
        <v>495</v>
      </c>
      <c r="K890" s="183" t="s">
        <v>1471</v>
      </c>
    </row>
    <row r="891" spans="8:11" x14ac:dyDescent="0.25">
      <c r="H891" s="183" t="s">
        <v>515</v>
      </c>
      <c r="I891" s="183" t="s">
        <v>480</v>
      </c>
      <c r="J891" s="183" t="s">
        <v>499</v>
      </c>
      <c r="K891" s="183" t="s">
        <v>1472</v>
      </c>
    </row>
    <row r="892" spans="8:11" x14ac:dyDescent="0.25">
      <c r="H892" s="183" t="s">
        <v>515</v>
      </c>
      <c r="I892" s="183" t="s">
        <v>480</v>
      </c>
      <c r="J892" s="183" t="s">
        <v>503</v>
      </c>
      <c r="K892" s="183" t="s">
        <v>1473</v>
      </c>
    </row>
    <row r="893" spans="8:11" x14ac:dyDescent="0.25">
      <c r="H893" s="183" t="s">
        <v>515</v>
      </c>
      <c r="I893" s="183" t="s">
        <v>480</v>
      </c>
      <c r="J893" s="183" t="s">
        <v>507</v>
      </c>
      <c r="K893" s="183" t="s">
        <v>1474</v>
      </c>
    </row>
    <row r="894" spans="8:11" x14ac:dyDescent="0.25">
      <c r="H894" s="183" t="s">
        <v>515</v>
      </c>
      <c r="I894" s="183" t="s">
        <v>480</v>
      </c>
      <c r="J894" s="183" t="s">
        <v>511</v>
      </c>
      <c r="K894" s="183" t="s">
        <v>1475</v>
      </c>
    </row>
    <row r="895" spans="8:11" x14ac:dyDescent="0.25">
      <c r="H895" s="183" t="s">
        <v>515</v>
      </c>
      <c r="I895" s="183" t="s">
        <v>480</v>
      </c>
      <c r="J895" s="183" t="s">
        <v>515</v>
      </c>
      <c r="K895" s="183" t="s">
        <v>1476</v>
      </c>
    </row>
    <row r="896" spans="8:11" x14ac:dyDescent="0.25">
      <c r="H896" s="183" t="s">
        <v>515</v>
      </c>
      <c r="I896" s="183" t="s">
        <v>480</v>
      </c>
      <c r="J896" s="183" t="s">
        <v>519</v>
      </c>
      <c r="K896" s="183" t="s">
        <v>1477</v>
      </c>
    </row>
    <row r="897" spans="8:11" x14ac:dyDescent="0.25">
      <c r="H897" s="183" t="s">
        <v>515</v>
      </c>
      <c r="I897" s="183" t="s">
        <v>483</v>
      </c>
      <c r="J897" s="183" t="s">
        <v>480</v>
      </c>
      <c r="K897" s="183" t="s">
        <v>696</v>
      </c>
    </row>
    <row r="898" spans="8:11" x14ac:dyDescent="0.25">
      <c r="H898" s="183" t="s">
        <v>515</v>
      </c>
      <c r="I898" s="183" t="s">
        <v>483</v>
      </c>
      <c r="J898" s="183" t="s">
        <v>483</v>
      </c>
      <c r="K898" s="183" t="s">
        <v>1478</v>
      </c>
    </row>
    <row r="899" spans="8:11" x14ac:dyDescent="0.25">
      <c r="H899" s="183" t="s">
        <v>515</v>
      </c>
      <c r="I899" s="183" t="s">
        <v>483</v>
      </c>
      <c r="J899" s="183" t="s">
        <v>487</v>
      </c>
      <c r="K899" s="183" t="s">
        <v>1479</v>
      </c>
    </row>
    <row r="900" spans="8:11" x14ac:dyDescent="0.25">
      <c r="H900" s="183" t="s">
        <v>515</v>
      </c>
      <c r="I900" s="183" t="s">
        <v>483</v>
      </c>
      <c r="J900" s="183" t="s">
        <v>491</v>
      </c>
      <c r="K900" s="183" t="s">
        <v>1480</v>
      </c>
    </row>
    <row r="901" spans="8:11" x14ac:dyDescent="0.25">
      <c r="H901" s="183" t="s">
        <v>515</v>
      </c>
      <c r="I901" s="183" t="s">
        <v>483</v>
      </c>
      <c r="J901" s="183" t="s">
        <v>495</v>
      </c>
      <c r="K901" s="183" t="s">
        <v>1481</v>
      </c>
    </row>
    <row r="902" spans="8:11" x14ac:dyDescent="0.25">
      <c r="H902" s="183" t="s">
        <v>515</v>
      </c>
      <c r="I902" s="183" t="s">
        <v>483</v>
      </c>
      <c r="J902" s="183" t="s">
        <v>499</v>
      </c>
      <c r="K902" s="183" t="s">
        <v>1482</v>
      </c>
    </row>
    <row r="903" spans="8:11" x14ac:dyDescent="0.25">
      <c r="H903" s="183" t="s">
        <v>515</v>
      </c>
      <c r="I903" s="183" t="s">
        <v>483</v>
      </c>
      <c r="J903" s="183" t="s">
        <v>503</v>
      </c>
      <c r="K903" s="183" t="s">
        <v>1483</v>
      </c>
    </row>
    <row r="904" spans="8:11" x14ac:dyDescent="0.25">
      <c r="H904" s="183" t="s">
        <v>515</v>
      </c>
      <c r="I904" s="183" t="s">
        <v>483</v>
      </c>
      <c r="J904" s="183" t="s">
        <v>507</v>
      </c>
      <c r="K904" s="183" t="s">
        <v>1484</v>
      </c>
    </row>
    <row r="905" spans="8:11" x14ac:dyDescent="0.25">
      <c r="H905" s="183" t="s">
        <v>515</v>
      </c>
      <c r="I905" s="183" t="s">
        <v>487</v>
      </c>
      <c r="J905" s="183" t="s">
        <v>480</v>
      </c>
      <c r="K905" s="183" t="s">
        <v>609</v>
      </c>
    </row>
    <row r="906" spans="8:11" x14ac:dyDescent="0.25">
      <c r="H906" s="183" t="s">
        <v>515</v>
      </c>
      <c r="I906" s="183" t="s">
        <v>487</v>
      </c>
      <c r="J906" s="183" t="s">
        <v>503</v>
      </c>
      <c r="K906" s="183" t="s">
        <v>1485</v>
      </c>
    </row>
    <row r="907" spans="8:11" x14ac:dyDescent="0.25">
      <c r="H907" s="183" t="s">
        <v>515</v>
      </c>
      <c r="I907" s="183" t="s">
        <v>487</v>
      </c>
      <c r="J907" s="183" t="s">
        <v>519</v>
      </c>
      <c r="K907" s="183" t="s">
        <v>1486</v>
      </c>
    </row>
    <row r="908" spans="8:11" x14ac:dyDescent="0.25">
      <c r="H908" s="183" t="s">
        <v>515</v>
      </c>
      <c r="I908" s="183" t="s">
        <v>487</v>
      </c>
      <c r="J908" s="183" t="s">
        <v>526</v>
      </c>
      <c r="K908" s="183" t="s">
        <v>1487</v>
      </c>
    </row>
    <row r="909" spans="8:11" x14ac:dyDescent="0.25">
      <c r="H909" s="183" t="s">
        <v>515</v>
      </c>
      <c r="I909" s="183" t="s">
        <v>487</v>
      </c>
      <c r="J909" s="183" t="s">
        <v>538</v>
      </c>
      <c r="K909" s="183" t="s">
        <v>1488</v>
      </c>
    </row>
    <row r="910" spans="8:11" x14ac:dyDescent="0.25">
      <c r="H910" s="183" t="s">
        <v>515</v>
      </c>
      <c r="I910" s="183" t="s">
        <v>487</v>
      </c>
      <c r="J910" s="183" t="s">
        <v>542</v>
      </c>
      <c r="K910" s="183" t="s">
        <v>1489</v>
      </c>
    </row>
    <row r="911" spans="8:11" x14ac:dyDescent="0.25">
      <c r="H911" s="183" t="s">
        <v>515</v>
      </c>
      <c r="I911" s="183" t="s">
        <v>487</v>
      </c>
      <c r="J911" s="183" t="s">
        <v>558</v>
      </c>
      <c r="K911" s="183" t="s">
        <v>1490</v>
      </c>
    </row>
    <row r="912" spans="8:11" x14ac:dyDescent="0.25">
      <c r="H912" s="183" t="s">
        <v>515</v>
      </c>
      <c r="I912" s="183" t="s">
        <v>487</v>
      </c>
      <c r="J912" s="183" t="s">
        <v>562</v>
      </c>
      <c r="K912" s="183" t="s">
        <v>1491</v>
      </c>
    </row>
    <row r="913" spans="8:11" x14ac:dyDescent="0.25">
      <c r="H913" s="183" t="s">
        <v>515</v>
      </c>
      <c r="I913" s="183" t="s">
        <v>487</v>
      </c>
      <c r="J913" s="183" t="s">
        <v>566</v>
      </c>
      <c r="K913" s="183" t="s">
        <v>1492</v>
      </c>
    </row>
    <row r="914" spans="8:11" x14ac:dyDescent="0.25">
      <c r="H914" s="183" t="s">
        <v>515</v>
      </c>
      <c r="I914" s="183" t="s">
        <v>491</v>
      </c>
      <c r="J914" s="183" t="s">
        <v>480</v>
      </c>
      <c r="K914" s="183" t="s">
        <v>699</v>
      </c>
    </row>
    <row r="915" spans="8:11" x14ac:dyDescent="0.25">
      <c r="H915" s="183" t="s">
        <v>515</v>
      </c>
      <c r="I915" s="183" t="s">
        <v>491</v>
      </c>
      <c r="J915" s="183" t="s">
        <v>483</v>
      </c>
      <c r="K915" s="183" t="s">
        <v>1493</v>
      </c>
    </row>
    <row r="916" spans="8:11" x14ac:dyDescent="0.25">
      <c r="H916" s="183" t="s">
        <v>515</v>
      </c>
      <c r="I916" s="183" t="s">
        <v>491</v>
      </c>
      <c r="J916" s="183" t="s">
        <v>487</v>
      </c>
      <c r="K916" s="183" t="s">
        <v>690</v>
      </c>
    </row>
    <row r="917" spans="8:11" x14ac:dyDescent="0.25">
      <c r="H917" s="183" t="s">
        <v>515</v>
      </c>
      <c r="I917" s="183" t="s">
        <v>491</v>
      </c>
      <c r="J917" s="183" t="s">
        <v>491</v>
      </c>
      <c r="K917" s="183" t="s">
        <v>1494</v>
      </c>
    </row>
    <row r="918" spans="8:11" x14ac:dyDescent="0.25">
      <c r="H918" s="183" t="s">
        <v>515</v>
      </c>
      <c r="I918" s="183" t="s">
        <v>495</v>
      </c>
      <c r="J918" s="183" t="s">
        <v>480</v>
      </c>
      <c r="K918" s="183" t="s">
        <v>1495</v>
      </c>
    </row>
    <row r="919" spans="8:11" x14ac:dyDescent="0.25">
      <c r="H919" s="183" t="s">
        <v>515</v>
      </c>
      <c r="I919" s="183" t="s">
        <v>495</v>
      </c>
      <c r="J919" s="183" t="s">
        <v>483</v>
      </c>
      <c r="K919" s="183" t="s">
        <v>1496</v>
      </c>
    </row>
    <row r="920" spans="8:11" x14ac:dyDescent="0.25">
      <c r="H920" s="183" t="s">
        <v>515</v>
      </c>
      <c r="I920" s="183" t="s">
        <v>495</v>
      </c>
      <c r="J920" s="183" t="s">
        <v>487</v>
      </c>
      <c r="K920" s="183" t="s">
        <v>1497</v>
      </c>
    </row>
    <row r="921" spans="8:11" x14ac:dyDescent="0.25">
      <c r="H921" s="183" t="s">
        <v>515</v>
      </c>
      <c r="I921" s="183" t="s">
        <v>495</v>
      </c>
      <c r="J921" s="183" t="s">
        <v>491</v>
      </c>
      <c r="K921" s="183" t="s">
        <v>1498</v>
      </c>
    </row>
    <row r="922" spans="8:11" x14ac:dyDescent="0.25">
      <c r="H922" s="183" t="s">
        <v>515</v>
      </c>
      <c r="I922" s="183" t="s">
        <v>495</v>
      </c>
      <c r="J922" s="183" t="s">
        <v>495</v>
      </c>
      <c r="K922" s="183" t="s">
        <v>1499</v>
      </c>
    </row>
    <row r="923" spans="8:11" x14ac:dyDescent="0.25">
      <c r="H923" s="183" t="s">
        <v>515</v>
      </c>
      <c r="I923" s="183" t="s">
        <v>495</v>
      </c>
      <c r="J923" s="183" t="s">
        <v>499</v>
      </c>
      <c r="K923" s="183" t="s">
        <v>1006</v>
      </c>
    </row>
    <row r="924" spans="8:11" x14ac:dyDescent="0.25">
      <c r="H924" s="183" t="s">
        <v>515</v>
      </c>
      <c r="I924" s="183" t="s">
        <v>495</v>
      </c>
      <c r="J924" s="183" t="s">
        <v>503</v>
      </c>
      <c r="K924" s="183" t="s">
        <v>1500</v>
      </c>
    </row>
    <row r="925" spans="8:11" x14ac:dyDescent="0.25">
      <c r="H925" s="183" t="s">
        <v>515</v>
      </c>
      <c r="I925" s="183" t="s">
        <v>495</v>
      </c>
      <c r="J925" s="183" t="s">
        <v>507</v>
      </c>
      <c r="K925" s="183" t="s">
        <v>1501</v>
      </c>
    </row>
    <row r="926" spans="8:11" x14ac:dyDescent="0.25">
      <c r="H926" s="183" t="s">
        <v>515</v>
      </c>
      <c r="I926" s="183" t="s">
        <v>495</v>
      </c>
      <c r="J926" s="183" t="s">
        <v>511</v>
      </c>
      <c r="K926" s="183" t="s">
        <v>1502</v>
      </c>
    </row>
    <row r="927" spans="8:11" x14ac:dyDescent="0.25">
      <c r="H927" s="183" t="s">
        <v>515</v>
      </c>
      <c r="I927" s="183" t="s">
        <v>495</v>
      </c>
      <c r="J927" s="183" t="s">
        <v>515</v>
      </c>
      <c r="K927" s="183" t="s">
        <v>1503</v>
      </c>
    </row>
    <row r="928" spans="8:11" x14ac:dyDescent="0.25">
      <c r="H928" s="183" t="s">
        <v>515</v>
      </c>
      <c r="I928" s="183" t="s">
        <v>495</v>
      </c>
      <c r="J928" s="183" t="s">
        <v>519</v>
      </c>
      <c r="K928" s="183" t="s">
        <v>1504</v>
      </c>
    </row>
    <row r="929" spans="8:11" x14ac:dyDescent="0.25">
      <c r="H929" s="183" t="s">
        <v>515</v>
      </c>
      <c r="I929" s="183" t="s">
        <v>499</v>
      </c>
      <c r="J929" s="183" t="s">
        <v>480</v>
      </c>
      <c r="K929" s="183" t="s">
        <v>1505</v>
      </c>
    </row>
    <row r="930" spans="8:11" x14ac:dyDescent="0.25">
      <c r="H930" s="183" t="s">
        <v>515</v>
      </c>
      <c r="I930" s="183" t="s">
        <v>499</v>
      </c>
      <c r="J930" s="183" t="s">
        <v>483</v>
      </c>
      <c r="K930" s="183" t="s">
        <v>1506</v>
      </c>
    </row>
    <row r="931" spans="8:11" x14ac:dyDescent="0.25">
      <c r="H931" s="183" t="s">
        <v>515</v>
      </c>
      <c r="I931" s="183" t="s">
        <v>499</v>
      </c>
      <c r="J931" s="183" t="s">
        <v>487</v>
      </c>
      <c r="K931" s="183" t="s">
        <v>1507</v>
      </c>
    </row>
    <row r="932" spans="8:11" x14ac:dyDescent="0.25">
      <c r="H932" s="183" t="s">
        <v>515</v>
      </c>
      <c r="I932" s="183" t="s">
        <v>499</v>
      </c>
      <c r="J932" s="183" t="s">
        <v>491</v>
      </c>
      <c r="K932" s="183" t="s">
        <v>1508</v>
      </c>
    </row>
    <row r="933" spans="8:11" x14ac:dyDescent="0.25">
      <c r="H933" s="183" t="s">
        <v>515</v>
      </c>
      <c r="I933" s="183" t="s">
        <v>499</v>
      </c>
      <c r="J933" s="183" t="s">
        <v>495</v>
      </c>
      <c r="K933" s="183" t="s">
        <v>1509</v>
      </c>
    </row>
    <row r="934" spans="8:11" x14ac:dyDescent="0.25">
      <c r="H934" s="183" t="s">
        <v>515</v>
      </c>
      <c r="I934" s="183" t="s">
        <v>499</v>
      </c>
      <c r="J934" s="183" t="s">
        <v>499</v>
      </c>
      <c r="K934" s="183" t="s">
        <v>1510</v>
      </c>
    </row>
    <row r="935" spans="8:11" x14ac:dyDescent="0.25">
      <c r="H935" s="183" t="s">
        <v>515</v>
      </c>
      <c r="I935" s="183" t="s">
        <v>503</v>
      </c>
      <c r="J935" s="183" t="s">
        <v>480</v>
      </c>
      <c r="K935" s="183" t="s">
        <v>1511</v>
      </c>
    </row>
    <row r="936" spans="8:11" x14ac:dyDescent="0.25">
      <c r="H936" s="183" t="s">
        <v>515</v>
      </c>
      <c r="I936" s="183" t="s">
        <v>503</v>
      </c>
      <c r="J936" s="183" t="s">
        <v>483</v>
      </c>
      <c r="K936" s="183" t="s">
        <v>1512</v>
      </c>
    </row>
    <row r="937" spans="8:11" x14ac:dyDescent="0.25">
      <c r="H937" s="183" t="s">
        <v>515</v>
      </c>
      <c r="I937" s="183" t="s">
        <v>503</v>
      </c>
      <c r="J937" s="183" t="s">
        <v>487</v>
      </c>
      <c r="K937" s="183" t="s">
        <v>1513</v>
      </c>
    </row>
    <row r="938" spans="8:11" x14ac:dyDescent="0.25">
      <c r="H938" s="183" t="s">
        <v>515</v>
      </c>
      <c r="I938" s="183" t="s">
        <v>507</v>
      </c>
      <c r="J938" s="183" t="s">
        <v>480</v>
      </c>
      <c r="K938" s="183" t="s">
        <v>1514</v>
      </c>
    </row>
    <row r="939" spans="8:11" x14ac:dyDescent="0.25">
      <c r="H939" s="183" t="s">
        <v>515</v>
      </c>
      <c r="I939" s="183" t="s">
        <v>507</v>
      </c>
      <c r="J939" s="183" t="s">
        <v>483</v>
      </c>
      <c r="K939" s="183" t="s">
        <v>1515</v>
      </c>
    </row>
    <row r="940" spans="8:11" x14ac:dyDescent="0.25">
      <c r="H940" s="183" t="s">
        <v>515</v>
      </c>
      <c r="I940" s="183" t="s">
        <v>507</v>
      </c>
      <c r="J940" s="183" t="s">
        <v>487</v>
      </c>
      <c r="K940" s="183" t="s">
        <v>1516</v>
      </c>
    </row>
    <row r="941" spans="8:11" x14ac:dyDescent="0.25">
      <c r="H941" s="183" t="s">
        <v>515</v>
      </c>
      <c r="I941" s="183" t="s">
        <v>507</v>
      </c>
      <c r="J941" s="183" t="s">
        <v>491</v>
      </c>
      <c r="K941" s="183" t="s">
        <v>1517</v>
      </c>
    </row>
    <row r="942" spans="8:11" x14ac:dyDescent="0.25">
      <c r="H942" s="183" t="s">
        <v>515</v>
      </c>
      <c r="I942" s="183" t="s">
        <v>511</v>
      </c>
      <c r="J942" s="183" t="s">
        <v>480</v>
      </c>
      <c r="K942" s="183" t="s">
        <v>708</v>
      </c>
    </row>
    <row r="943" spans="8:11" x14ac:dyDescent="0.25">
      <c r="H943" s="183" t="s">
        <v>515</v>
      </c>
      <c r="I943" s="183" t="s">
        <v>511</v>
      </c>
      <c r="J943" s="183" t="s">
        <v>483</v>
      </c>
      <c r="K943" s="183" t="s">
        <v>1518</v>
      </c>
    </row>
    <row r="944" spans="8:11" x14ac:dyDescent="0.25">
      <c r="H944" s="183" t="s">
        <v>515</v>
      </c>
      <c r="I944" s="183" t="s">
        <v>511</v>
      </c>
      <c r="J944" s="183" t="s">
        <v>487</v>
      </c>
      <c r="K944" s="183" t="s">
        <v>1519</v>
      </c>
    </row>
    <row r="945" spans="8:11" x14ac:dyDescent="0.25">
      <c r="H945" s="183" t="s">
        <v>515</v>
      </c>
      <c r="I945" s="183" t="s">
        <v>511</v>
      </c>
      <c r="J945" s="183" t="s">
        <v>491</v>
      </c>
      <c r="K945" s="183" t="s">
        <v>1520</v>
      </c>
    </row>
    <row r="946" spans="8:11" x14ac:dyDescent="0.25">
      <c r="H946" s="183" t="s">
        <v>515</v>
      </c>
      <c r="I946" s="183" t="s">
        <v>511</v>
      </c>
      <c r="J946" s="183" t="s">
        <v>495</v>
      </c>
      <c r="K946" s="183" t="s">
        <v>1521</v>
      </c>
    </row>
    <row r="947" spans="8:11" x14ac:dyDescent="0.25">
      <c r="H947" s="183" t="s">
        <v>515</v>
      </c>
      <c r="I947" s="183" t="s">
        <v>515</v>
      </c>
      <c r="J947" s="183" t="s">
        <v>480</v>
      </c>
      <c r="K947" s="183" t="s">
        <v>1199</v>
      </c>
    </row>
    <row r="948" spans="8:11" x14ac:dyDescent="0.25">
      <c r="H948" s="183" t="s">
        <v>515</v>
      </c>
      <c r="I948" s="183" t="s">
        <v>515</v>
      </c>
      <c r="J948" s="183" t="s">
        <v>483</v>
      </c>
      <c r="K948" s="183" t="s">
        <v>1522</v>
      </c>
    </row>
    <row r="949" spans="8:11" x14ac:dyDescent="0.25">
      <c r="H949" s="183" t="s">
        <v>515</v>
      </c>
      <c r="I949" s="183" t="s">
        <v>515</v>
      </c>
      <c r="J949" s="183" t="s">
        <v>487</v>
      </c>
      <c r="K949" s="183" t="s">
        <v>1523</v>
      </c>
    </row>
    <row r="950" spans="8:11" x14ac:dyDescent="0.25">
      <c r="H950" s="183" t="s">
        <v>515</v>
      </c>
      <c r="I950" s="183" t="s">
        <v>515</v>
      </c>
      <c r="J950" s="183" t="s">
        <v>491</v>
      </c>
      <c r="K950" s="183" t="s">
        <v>1524</v>
      </c>
    </row>
    <row r="951" spans="8:11" x14ac:dyDescent="0.25">
      <c r="H951" s="183" t="s">
        <v>515</v>
      </c>
      <c r="I951" s="183" t="s">
        <v>515</v>
      </c>
      <c r="J951" s="183" t="s">
        <v>495</v>
      </c>
      <c r="K951" s="183" t="s">
        <v>1525</v>
      </c>
    </row>
    <row r="952" spans="8:11" x14ac:dyDescent="0.25">
      <c r="H952" s="183" t="s">
        <v>515</v>
      </c>
      <c r="I952" s="183" t="s">
        <v>515</v>
      </c>
      <c r="J952" s="183" t="s">
        <v>499</v>
      </c>
      <c r="K952" s="183" t="s">
        <v>1526</v>
      </c>
    </row>
    <row r="953" spans="8:11" x14ac:dyDescent="0.25">
      <c r="H953" s="183" t="s">
        <v>515</v>
      </c>
      <c r="I953" s="183" t="s">
        <v>515</v>
      </c>
      <c r="J953" s="183" t="s">
        <v>503</v>
      </c>
      <c r="K953" s="183" t="s">
        <v>1527</v>
      </c>
    </row>
    <row r="954" spans="8:11" x14ac:dyDescent="0.25">
      <c r="H954" s="183" t="s">
        <v>515</v>
      </c>
      <c r="I954" s="183" t="s">
        <v>519</v>
      </c>
      <c r="J954" s="183" t="s">
        <v>480</v>
      </c>
      <c r="K954" s="183" t="s">
        <v>1528</v>
      </c>
    </row>
    <row r="955" spans="8:11" x14ac:dyDescent="0.25">
      <c r="H955" s="183" t="s">
        <v>515</v>
      </c>
      <c r="I955" s="183" t="s">
        <v>519</v>
      </c>
      <c r="J955" s="183" t="s">
        <v>483</v>
      </c>
      <c r="K955" s="183" t="s">
        <v>1529</v>
      </c>
    </row>
    <row r="956" spans="8:11" x14ac:dyDescent="0.25">
      <c r="H956" s="183" t="s">
        <v>515</v>
      </c>
      <c r="I956" s="183" t="s">
        <v>519</v>
      </c>
      <c r="J956" s="183" t="s">
        <v>487</v>
      </c>
      <c r="K956" s="183" t="s">
        <v>1530</v>
      </c>
    </row>
    <row r="957" spans="8:11" x14ac:dyDescent="0.25">
      <c r="H957" s="183" t="s">
        <v>515</v>
      </c>
      <c r="I957" s="183" t="s">
        <v>519</v>
      </c>
      <c r="J957" s="183" t="s">
        <v>491</v>
      </c>
      <c r="K957" s="183" t="s">
        <v>1531</v>
      </c>
    </row>
    <row r="958" spans="8:11" x14ac:dyDescent="0.25">
      <c r="H958" s="183" t="s">
        <v>515</v>
      </c>
      <c r="I958" s="183" t="s">
        <v>519</v>
      </c>
      <c r="J958" s="183" t="s">
        <v>495</v>
      </c>
      <c r="K958" s="183" t="s">
        <v>1532</v>
      </c>
    </row>
    <row r="959" spans="8:11" x14ac:dyDescent="0.25">
      <c r="H959" s="183" t="s">
        <v>515</v>
      </c>
      <c r="I959" s="183" t="s">
        <v>519</v>
      </c>
      <c r="J959" s="183" t="s">
        <v>499</v>
      </c>
      <c r="K959" s="183" t="s">
        <v>1533</v>
      </c>
    </row>
    <row r="960" spans="8:11" x14ac:dyDescent="0.25">
      <c r="H960" s="183" t="s">
        <v>515</v>
      </c>
      <c r="I960" s="183" t="s">
        <v>519</v>
      </c>
      <c r="J960" s="183" t="s">
        <v>503</v>
      </c>
      <c r="K960" s="183" t="s">
        <v>1096</v>
      </c>
    </row>
    <row r="961" spans="8:11" x14ac:dyDescent="0.25">
      <c r="H961" s="183" t="s">
        <v>515</v>
      </c>
      <c r="I961" s="183" t="s">
        <v>519</v>
      </c>
      <c r="J961" s="183" t="s">
        <v>507</v>
      </c>
      <c r="K961" s="183" t="s">
        <v>1534</v>
      </c>
    </row>
    <row r="962" spans="8:11" x14ac:dyDescent="0.25">
      <c r="H962" s="183" t="s">
        <v>519</v>
      </c>
      <c r="I962" s="183" t="s">
        <v>480</v>
      </c>
      <c r="J962" s="183" t="s">
        <v>480</v>
      </c>
      <c r="K962" s="183" t="s">
        <v>520</v>
      </c>
    </row>
    <row r="963" spans="8:11" x14ac:dyDescent="0.25">
      <c r="H963" s="183" t="s">
        <v>519</v>
      </c>
      <c r="I963" s="183" t="s">
        <v>480</v>
      </c>
      <c r="J963" s="183" t="s">
        <v>483</v>
      </c>
      <c r="K963" s="183" t="s">
        <v>1535</v>
      </c>
    </row>
    <row r="964" spans="8:11" x14ac:dyDescent="0.25">
      <c r="H964" s="183" t="s">
        <v>519</v>
      </c>
      <c r="I964" s="183" t="s">
        <v>480</v>
      </c>
      <c r="J964" s="183" t="s">
        <v>487</v>
      </c>
      <c r="K964" s="183" t="s">
        <v>1536</v>
      </c>
    </row>
    <row r="965" spans="8:11" x14ac:dyDescent="0.25">
      <c r="H965" s="183" t="s">
        <v>519</v>
      </c>
      <c r="I965" s="183" t="s">
        <v>480</v>
      </c>
      <c r="J965" s="183" t="s">
        <v>491</v>
      </c>
      <c r="K965" s="183" t="s">
        <v>1537</v>
      </c>
    </row>
    <row r="966" spans="8:11" x14ac:dyDescent="0.25">
      <c r="H966" s="183" t="s">
        <v>519</v>
      </c>
      <c r="I966" s="183" t="s">
        <v>480</v>
      </c>
      <c r="J966" s="183" t="s">
        <v>495</v>
      </c>
      <c r="K966" s="183" t="s">
        <v>1538</v>
      </c>
    </row>
    <row r="967" spans="8:11" x14ac:dyDescent="0.25">
      <c r="H967" s="183" t="s">
        <v>519</v>
      </c>
      <c r="I967" s="183" t="s">
        <v>480</v>
      </c>
      <c r="J967" s="183" t="s">
        <v>499</v>
      </c>
      <c r="K967" s="183" t="s">
        <v>1539</v>
      </c>
    </row>
    <row r="968" spans="8:11" x14ac:dyDescent="0.25">
      <c r="H968" s="183" t="s">
        <v>519</v>
      </c>
      <c r="I968" s="183" t="s">
        <v>480</v>
      </c>
      <c r="J968" s="183" t="s">
        <v>503</v>
      </c>
      <c r="K968" s="183" t="s">
        <v>1540</v>
      </c>
    </row>
    <row r="969" spans="8:11" x14ac:dyDescent="0.25">
      <c r="H969" s="183" t="s">
        <v>519</v>
      </c>
      <c r="I969" s="183" t="s">
        <v>480</v>
      </c>
      <c r="J969" s="183" t="s">
        <v>507</v>
      </c>
      <c r="K969" s="183" t="s">
        <v>1541</v>
      </c>
    </row>
    <row r="970" spans="8:11" x14ac:dyDescent="0.25">
      <c r="H970" s="183" t="s">
        <v>519</v>
      </c>
      <c r="I970" s="183" t="s">
        <v>480</v>
      </c>
      <c r="J970" s="183" t="s">
        <v>511</v>
      </c>
      <c r="K970" s="183" t="s">
        <v>1542</v>
      </c>
    </row>
    <row r="971" spans="8:11" x14ac:dyDescent="0.25">
      <c r="H971" s="183" t="s">
        <v>519</v>
      </c>
      <c r="I971" s="183" t="s">
        <v>480</v>
      </c>
      <c r="J971" s="183" t="s">
        <v>515</v>
      </c>
      <c r="K971" s="183" t="s">
        <v>1109</v>
      </c>
    </row>
    <row r="972" spans="8:11" x14ac:dyDescent="0.25">
      <c r="H972" s="183" t="s">
        <v>519</v>
      </c>
      <c r="I972" s="183" t="s">
        <v>480</v>
      </c>
      <c r="J972" s="183" t="s">
        <v>519</v>
      </c>
      <c r="K972" s="183" t="s">
        <v>1306</v>
      </c>
    </row>
    <row r="973" spans="8:11" x14ac:dyDescent="0.25">
      <c r="H973" s="183" t="s">
        <v>519</v>
      </c>
      <c r="I973" s="183" t="s">
        <v>480</v>
      </c>
      <c r="J973" s="183" t="s">
        <v>522</v>
      </c>
      <c r="K973" s="183" t="s">
        <v>1543</v>
      </c>
    </row>
    <row r="974" spans="8:11" x14ac:dyDescent="0.25">
      <c r="H974" s="183" t="s">
        <v>519</v>
      </c>
      <c r="I974" s="183" t="s">
        <v>480</v>
      </c>
      <c r="J974" s="183" t="s">
        <v>526</v>
      </c>
      <c r="K974" s="183" t="s">
        <v>1544</v>
      </c>
    </row>
    <row r="975" spans="8:11" x14ac:dyDescent="0.25">
      <c r="H975" s="183" t="s">
        <v>519</v>
      </c>
      <c r="I975" s="183" t="s">
        <v>480</v>
      </c>
      <c r="J975" s="183" t="s">
        <v>530</v>
      </c>
      <c r="K975" s="183" t="s">
        <v>1545</v>
      </c>
    </row>
    <row r="976" spans="8:11" x14ac:dyDescent="0.25">
      <c r="H976" s="183" t="s">
        <v>519</v>
      </c>
      <c r="I976" s="183" t="s">
        <v>483</v>
      </c>
      <c r="J976" s="183" t="s">
        <v>480</v>
      </c>
      <c r="K976" s="183" t="s">
        <v>1546</v>
      </c>
    </row>
    <row r="977" spans="8:11" x14ac:dyDescent="0.25">
      <c r="H977" s="183" t="s">
        <v>519</v>
      </c>
      <c r="I977" s="183" t="s">
        <v>483</v>
      </c>
      <c r="J977" s="183" t="s">
        <v>483</v>
      </c>
      <c r="K977" s="183" t="s">
        <v>1547</v>
      </c>
    </row>
    <row r="978" spans="8:11" x14ac:dyDescent="0.25">
      <c r="H978" s="183" t="s">
        <v>519</v>
      </c>
      <c r="I978" s="183" t="s">
        <v>483</v>
      </c>
      <c r="J978" s="183" t="s">
        <v>487</v>
      </c>
      <c r="K978" s="183" t="s">
        <v>1548</v>
      </c>
    </row>
    <row r="979" spans="8:11" x14ac:dyDescent="0.25">
      <c r="H979" s="183" t="s">
        <v>519</v>
      </c>
      <c r="I979" s="183" t="s">
        <v>483</v>
      </c>
      <c r="J979" s="183" t="s">
        <v>491</v>
      </c>
      <c r="K979" s="183" t="s">
        <v>1549</v>
      </c>
    </row>
    <row r="980" spans="8:11" x14ac:dyDescent="0.25">
      <c r="H980" s="183" t="s">
        <v>519</v>
      </c>
      <c r="I980" s="183" t="s">
        <v>483</v>
      </c>
      <c r="J980" s="183" t="s">
        <v>495</v>
      </c>
      <c r="K980" s="183" t="s">
        <v>1435</v>
      </c>
    </row>
    <row r="981" spans="8:11" x14ac:dyDescent="0.25">
      <c r="H981" s="183" t="s">
        <v>519</v>
      </c>
      <c r="I981" s="183" t="s">
        <v>483</v>
      </c>
      <c r="J981" s="183" t="s">
        <v>499</v>
      </c>
      <c r="K981" s="183" t="s">
        <v>1550</v>
      </c>
    </row>
    <row r="982" spans="8:11" x14ac:dyDescent="0.25">
      <c r="H982" s="183" t="s">
        <v>519</v>
      </c>
      <c r="I982" s="183" t="s">
        <v>483</v>
      </c>
      <c r="J982" s="183" t="s">
        <v>503</v>
      </c>
      <c r="K982" s="183" t="s">
        <v>1540</v>
      </c>
    </row>
    <row r="983" spans="8:11" x14ac:dyDescent="0.25">
      <c r="H983" s="183" t="s">
        <v>519</v>
      </c>
      <c r="I983" s="183" t="s">
        <v>483</v>
      </c>
      <c r="J983" s="183" t="s">
        <v>507</v>
      </c>
      <c r="K983" s="183" t="s">
        <v>1551</v>
      </c>
    </row>
    <row r="984" spans="8:11" x14ac:dyDescent="0.25">
      <c r="H984" s="183" t="s">
        <v>519</v>
      </c>
      <c r="I984" s="183" t="s">
        <v>483</v>
      </c>
      <c r="J984" s="183" t="s">
        <v>511</v>
      </c>
      <c r="K984" s="183" t="s">
        <v>1552</v>
      </c>
    </row>
    <row r="985" spans="8:11" x14ac:dyDescent="0.25">
      <c r="H985" s="183" t="s">
        <v>519</v>
      </c>
      <c r="I985" s="183" t="s">
        <v>483</v>
      </c>
      <c r="J985" s="183" t="s">
        <v>515</v>
      </c>
      <c r="K985" s="183" t="s">
        <v>1553</v>
      </c>
    </row>
    <row r="986" spans="8:11" x14ac:dyDescent="0.25">
      <c r="H986" s="183" t="s">
        <v>519</v>
      </c>
      <c r="I986" s="183" t="s">
        <v>483</v>
      </c>
      <c r="J986" s="183" t="s">
        <v>519</v>
      </c>
      <c r="K986" s="183" t="s">
        <v>1554</v>
      </c>
    </row>
    <row r="987" spans="8:11" x14ac:dyDescent="0.25">
      <c r="H987" s="183" t="s">
        <v>519</v>
      </c>
      <c r="I987" s="183" t="s">
        <v>487</v>
      </c>
      <c r="J987" s="183" t="s">
        <v>480</v>
      </c>
      <c r="K987" s="183" t="s">
        <v>716</v>
      </c>
    </row>
    <row r="988" spans="8:11" x14ac:dyDescent="0.25">
      <c r="H988" s="183" t="s">
        <v>519</v>
      </c>
      <c r="I988" s="183" t="s">
        <v>487</v>
      </c>
      <c r="J988" s="183" t="s">
        <v>483</v>
      </c>
      <c r="K988" s="183" t="s">
        <v>1555</v>
      </c>
    </row>
    <row r="989" spans="8:11" x14ac:dyDescent="0.25">
      <c r="H989" s="183" t="s">
        <v>519</v>
      </c>
      <c r="I989" s="183" t="s">
        <v>487</v>
      </c>
      <c r="J989" s="183" t="s">
        <v>487</v>
      </c>
      <c r="K989" s="183" t="s">
        <v>1556</v>
      </c>
    </row>
    <row r="990" spans="8:11" x14ac:dyDescent="0.25">
      <c r="H990" s="183" t="s">
        <v>519</v>
      </c>
      <c r="I990" s="183" t="s">
        <v>487</v>
      </c>
      <c r="J990" s="183" t="s">
        <v>491</v>
      </c>
      <c r="K990" s="183" t="s">
        <v>1557</v>
      </c>
    </row>
    <row r="991" spans="8:11" x14ac:dyDescent="0.25">
      <c r="H991" s="183" t="s">
        <v>519</v>
      </c>
      <c r="I991" s="183" t="s">
        <v>487</v>
      </c>
      <c r="J991" s="183" t="s">
        <v>495</v>
      </c>
      <c r="K991" s="183" t="s">
        <v>674</v>
      </c>
    </row>
    <row r="992" spans="8:11" x14ac:dyDescent="0.25">
      <c r="H992" s="183" t="s">
        <v>519</v>
      </c>
      <c r="I992" s="183" t="s">
        <v>491</v>
      </c>
      <c r="J992" s="183" t="s">
        <v>480</v>
      </c>
      <c r="K992" s="183" t="s">
        <v>718</v>
      </c>
    </row>
    <row r="993" spans="8:11" x14ac:dyDescent="0.25">
      <c r="H993" s="183" t="s">
        <v>519</v>
      </c>
      <c r="I993" s="183" t="s">
        <v>491</v>
      </c>
      <c r="J993" s="183" t="s">
        <v>483</v>
      </c>
      <c r="K993" s="183" t="s">
        <v>1558</v>
      </c>
    </row>
    <row r="994" spans="8:11" x14ac:dyDescent="0.25">
      <c r="H994" s="183" t="s">
        <v>519</v>
      </c>
      <c r="I994" s="183" t="s">
        <v>491</v>
      </c>
      <c r="J994" s="183" t="s">
        <v>487</v>
      </c>
      <c r="K994" s="183" t="s">
        <v>1084</v>
      </c>
    </row>
    <row r="995" spans="8:11" x14ac:dyDescent="0.25">
      <c r="H995" s="183" t="s">
        <v>519</v>
      </c>
      <c r="I995" s="183" t="s">
        <v>491</v>
      </c>
      <c r="J995" s="183" t="s">
        <v>491</v>
      </c>
      <c r="K995" s="183" t="s">
        <v>655</v>
      </c>
    </row>
    <row r="996" spans="8:11" x14ac:dyDescent="0.25">
      <c r="H996" s="183" t="s">
        <v>519</v>
      </c>
      <c r="I996" s="183" t="s">
        <v>491</v>
      </c>
      <c r="J996" s="183" t="s">
        <v>495</v>
      </c>
      <c r="K996" s="183" t="s">
        <v>1559</v>
      </c>
    </row>
    <row r="997" spans="8:11" x14ac:dyDescent="0.25">
      <c r="H997" s="183" t="s">
        <v>519</v>
      </c>
      <c r="I997" s="183" t="s">
        <v>495</v>
      </c>
      <c r="J997" s="183" t="s">
        <v>480</v>
      </c>
      <c r="K997" s="183" t="s">
        <v>720</v>
      </c>
    </row>
    <row r="998" spans="8:11" x14ac:dyDescent="0.25">
      <c r="H998" s="183" t="s">
        <v>519</v>
      </c>
      <c r="I998" s="183" t="s">
        <v>495</v>
      </c>
      <c r="J998" s="183" t="s">
        <v>483</v>
      </c>
      <c r="K998" s="183" t="s">
        <v>1560</v>
      </c>
    </row>
    <row r="999" spans="8:11" x14ac:dyDescent="0.25">
      <c r="H999" s="183" t="s">
        <v>519</v>
      </c>
      <c r="I999" s="183" t="s">
        <v>495</v>
      </c>
      <c r="J999" s="183" t="s">
        <v>487</v>
      </c>
      <c r="K999" s="183" t="s">
        <v>1561</v>
      </c>
    </row>
    <row r="1000" spans="8:11" x14ac:dyDescent="0.25">
      <c r="H1000" s="183" t="s">
        <v>519</v>
      </c>
      <c r="I1000" s="183" t="s">
        <v>495</v>
      </c>
      <c r="J1000" s="183" t="s">
        <v>491</v>
      </c>
      <c r="K1000" s="183" t="s">
        <v>695</v>
      </c>
    </row>
    <row r="1001" spans="8:11" x14ac:dyDescent="0.25">
      <c r="H1001" s="183" t="s">
        <v>519</v>
      </c>
      <c r="I1001" s="183" t="s">
        <v>495</v>
      </c>
      <c r="J1001" s="183" t="s">
        <v>495</v>
      </c>
      <c r="K1001" s="183" t="s">
        <v>1562</v>
      </c>
    </row>
    <row r="1002" spans="8:11" x14ac:dyDescent="0.25">
      <c r="H1002" s="183" t="s">
        <v>519</v>
      </c>
      <c r="I1002" s="183" t="s">
        <v>495</v>
      </c>
      <c r="J1002" s="183" t="s">
        <v>499</v>
      </c>
      <c r="K1002" s="183" t="s">
        <v>1563</v>
      </c>
    </row>
    <row r="1003" spans="8:11" x14ac:dyDescent="0.25">
      <c r="H1003" s="183" t="s">
        <v>519</v>
      </c>
      <c r="I1003" s="183" t="s">
        <v>495</v>
      </c>
      <c r="J1003" s="183" t="s">
        <v>503</v>
      </c>
      <c r="K1003" s="183" t="s">
        <v>1564</v>
      </c>
    </row>
    <row r="1004" spans="8:11" x14ac:dyDescent="0.25">
      <c r="H1004" s="183" t="s">
        <v>519</v>
      </c>
      <c r="I1004" s="183" t="s">
        <v>495</v>
      </c>
      <c r="J1004" s="183" t="s">
        <v>507</v>
      </c>
      <c r="K1004" s="183" t="s">
        <v>1565</v>
      </c>
    </row>
    <row r="1005" spans="8:11" x14ac:dyDescent="0.25">
      <c r="H1005" s="183" t="s">
        <v>522</v>
      </c>
      <c r="I1005" s="183" t="s">
        <v>480</v>
      </c>
      <c r="J1005" s="183" t="s">
        <v>480</v>
      </c>
      <c r="K1005" s="183" t="s">
        <v>722</v>
      </c>
    </row>
    <row r="1006" spans="8:11" x14ac:dyDescent="0.25">
      <c r="H1006" s="183" t="s">
        <v>522</v>
      </c>
      <c r="I1006" s="183" t="s">
        <v>480</v>
      </c>
      <c r="J1006" s="183" t="s">
        <v>491</v>
      </c>
      <c r="K1006" s="183" t="s">
        <v>1566</v>
      </c>
    </row>
    <row r="1007" spans="8:11" x14ac:dyDescent="0.25">
      <c r="H1007" s="183" t="s">
        <v>522</v>
      </c>
      <c r="I1007" s="183" t="s">
        <v>480</v>
      </c>
      <c r="J1007" s="183" t="s">
        <v>495</v>
      </c>
      <c r="K1007" s="183" t="s">
        <v>1567</v>
      </c>
    </row>
    <row r="1008" spans="8:11" x14ac:dyDescent="0.25">
      <c r="H1008" s="183" t="s">
        <v>522</v>
      </c>
      <c r="I1008" s="183" t="s">
        <v>480</v>
      </c>
      <c r="J1008" s="183" t="s">
        <v>499</v>
      </c>
      <c r="K1008" s="183" t="s">
        <v>1568</v>
      </c>
    </row>
    <row r="1009" spans="8:11" x14ac:dyDescent="0.25">
      <c r="H1009" s="183" t="s">
        <v>522</v>
      </c>
      <c r="I1009" s="183" t="s">
        <v>480</v>
      </c>
      <c r="J1009" s="183" t="s">
        <v>503</v>
      </c>
      <c r="K1009" s="183" t="s">
        <v>1569</v>
      </c>
    </row>
    <row r="1010" spans="8:11" x14ac:dyDescent="0.25">
      <c r="H1010" s="183" t="s">
        <v>522</v>
      </c>
      <c r="I1010" s="183" t="s">
        <v>480</v>
      </c>
      <c r="J1010" s="183" t="s">
        <v>507</v>
      </c>
      <c r="K1010" s="183" t="s">
        <v>1570</v>
      </c>
    </row>
    <row r="1011" spans="8:11" x14ac:dyDescent="0.25">
      <c r="H1011" s="183" t="s">
        <v>522</v>
      </c>
      <c r="I1011" s="183" t="s">
        <v>480</v>
      </c>
      <c r="J1011" s="183" t="s">
        <v>519</v>
      </c>
      <c r="K1011" s="183" t="s">
        <v>1571</v>
      </c>
    </row>
    <row r="1012" spans="8:11" x14ac:dyDescent="0.25">
      <c r="H1012" s="183" t="s">
        <v>522</v>
      </c>
      <c r="I1012" s="183" t="s">
        <v>480</v>
      </c>
      <c r="J1012" s="183" t="s">
        <v>522</v>
      </c>
      <c r="K1012" s="183" t="s">
        <v>1185</v>
      </c>
    </row>
    <row r="1013" spans="8:11" x14ac:dyDescent="0.25">
      <c r="H1013" s="183" t="s">
        <v>522</v>
      </c>
      <c r="I1013" s="183" t="s">
        <v>480</v>
      </c>
      <c r="J1013" s="183" t="s">
        <v>526</v>
      </c>
      <c r="K1013" s="183" t="s">
        <v>1572</v>
      </c>
    </row>
    <row r="1014" spans="8:11" x14ac:dyDescent="0.25">
      <c r="H1014" s="183" t="s">
        <v>522</v>
      </c>
      <c r="I1014" s="183" t="s">
        <v>480</v>
      </c>
      <c r="J1014" s="183" t="s">
        <v>530</v>
      </c>
      <c r="K1014" s="183" t="s">
        <v>1573</v>
      </c>
    </row>
    <row r="1015" spans="8:11" x14ac:dyDescent="0.25">
      <c r="H1015" s="183" t="s">
        <v>522</v>
      </c>
      <c r="I1015" s="183" t="s">
        <v>480</v>
      </c>
      <c r="J1015" s="183" t="s">
        <v>538</v>
      </c>
      <c r="K1015" s="183" t="s">
        <v>1574</v>
      </c>
    </row>
    <row r="1016" spans="8:11" x14ac:dyDescent="0.25">
      <c r="H1016" s="183" t="s">
        <v>522</v>
      </c>
      <c r="I1016" s="183" t="s">
        <v>480</v>
      </c>
      <c r="J1016" s="183" t="s">
        <v>542</v>
      </c>
      <c r="K1016" s="183" t="s">
        <v>1575</v>
      </c>
    </row>
    <row r="1017" spans="8:11" x14ac:dyDescent="0.25">
      <c r="H1017" s="183" t="s">
        <v>522</v>
      </c>
      <c r="I1017" s="183" t="s">
        <v>480</v>
      </c>
      <c r="J1017" s="183" t="s">
        <v>550</v>
      </c>
      <c r="K1017" s="183" t="s">
        <v>1576</v>
      </c>
    </row>
    <row r="1018" spans="8:11" x14ac:dyDescent="0.25">
      <c r="H1018" s="183" t="s">
        <v>522</v>
      </c>
      <c r="I1018" s="183" t="s">
        <v>480</v>
      </c>
      <c r="J1018" s="183" t="s">
        <v>554</v>
      </c>
      <c r="K1018" s="183" t="s">
        <v>1577</v>
      </c>
    </row>
    <row r="1019" spans="8:11" x14ac:dyDescent="0.25">
      <c r="H1019" s="183" t="s">
        <v>522</v>
      </c>
      <c r="I1019" s="183" t="s">
        <v>480</v>
      </c>
      <c r="J1019" s="183" t="s">
        <v>558</v>
      </c>
      <c r="K1019" s="183" t="s">
        <v>1578</v>
      </c>
    </row>
    <row r="1020" spans="8:11" x14ac:dyDescent="0.25">
      <c r="H1020" s="183" t="s">
        <v>522</v>
      </c>
      <c r="I1020" s="183" t="s">
        <v>480</v>
      </c>
      <c r="J1020" s="183" t="s">
        <v>562</v>
      </c>
      <c r="K1020" s="183" t="s">
        <v>1579</v>
      </c>
    </row>
    <row r="1021" spans="8:11" x14ac:dyDescent="0.25">
      <c r="H1021" s="183" t="s">
        <v>522</v>
      </c>
      <c r="I1021" s="183" t="s">
        <v>480</v>
      </c>
      <c r="J1021" s="183" t="s">
        <v>570</v>
      </c>
      <c r="K1021" s="183" t="s">
        <v>769</v>
      </c>
    </row>
    <row r="1022" spans="8:11" x14ac:dyDescent="0.25">
      <c r="H1022" s="183" t="s">
        <v>522</v>
      </c>
      <c r="I1022" s="183" t="s">
        <v>480</v>
      </c>
      <c r="J1022" s="183" t="s">
        <v>574</v>
      </c>
      <c r="K1022" s="183" t="s">
        <v>1580</v>
      </c>
    </row>
    <row r="1023" spans="8:11" x14ac:dyDescent="0.25">
      <c r="H1023" s="183" t="s">
        <v>522</v>
      </c>
      <c r="I1023" s="183" t="s">
        <v>480</v>
      </c>
      <c r="J1023" s="183" t="s">
        <v>1022</v>
      </c>
      <c r="K1023" s="183" t="s">
        <v>1259</v>
      </c>
    </row>
    <row r="1024" spans="8:11" x14ac:dyDescent="0.25">
      <c r="H1024" s="183" t="s">
        <v>522</v>
      </c>
      <c r="I1024" s="183" t="s">
        <v>480</v>
      </c>
      <c r="J1024" s="183" t="s">
        <v>1024</v>
      </c>
      <c r="K1024" s="183" t="s">
        <v>1581</v>
      </c>
    </row>
    <row r="1025" spans="8:11" x14ac:dyDescent="0.25">
      <c r="H1025" s="183" t="s">
        <v>522</v>
      </c>
      <c r="I1025" s="183" t="s">
        <v>480</v>
      </c>
      <c r="J1025" s="183" t="s">
        <v>1026</v>
      </c>
      <c r="K1025" s="183" t="s">
        <v>1582</v>
      </c>
    </row>
    <row r="1026" spans="8:11" x14ac:dyDescent="0.25">
      <c r="H1026" s="183" t="s">
        <v>522</v>
      </c>
      <c r="I1026" s="183" t="s">
        <v>480</v>
      </c>
      <c r="J1026" s="183" t="s">
        <v>1028</v>
      </c>
      <c r="K1026" s="183" t="s">
        <v>1583</v>
      </c>
    </row>
    <row r="1027" spans="8:11" x14ac:dyDescent="0.25">
      <c r="H1027" s="183" t="s">
        <v>522</v>
      </c>
      <c r="I1027" s="183" t="s">
        <v>480</v>
      </c>
      <c r="J1027" s="183" t="s">
        <v>1584</v>
      </c>
      <c r="K1027" s="183" t="s">
        <v>1585</v>
      </c>
    </row>
    <row r="1028" spans="8:11" x14ac:dyDescent="0.25">
      <c r="H1028" s="183" t="s">
        <v>522</v>
      </c>
      <c r="I1028" s="183" t="s">
        <v>480</v>
      </c>
      <c r="J1028" s="183" t="s">
        <v>1586</v>
      </c>
      <c r="K1028" s="183" t="s">
        <v>1587</v>
      </c>
    </row>
    <row r="1029" spans="8:11" x14ac:dyDescent="0.25">
      <c r="H1029" s="183" t="s">
        <v>522</v>
      </c>
      <c r="I1029" s="183" t="s">
        <v>480</v>
      </c>
      <c r="J1029" s="183" t="s">
        <v>1588</v>
      </c>
      <c r="K1029" s="183" t="s">
        <v>1589</v>
      </c>
    </row>
    <row r="1030" spans="8:11" x14ac:dyDescent="0.25">
      <c r="H1030" s="183" t="s">
        <v>522</v>
      </c>
      <c r="I1030" s="183" t="s">
        <v>480</v>
      </c>
      <c r="J1030" s="183" t="s">
        <v>1590</v>
      </c>
      <c r="K1030" s="183" t="s">
        <v>1591</v>
      </c>
    </row>
    <row r="1031" spans="8:11" x14ac:dyDescent="0.25">
      <c r="H1031" s="183" t="s">
        <v>522</v>
      </c>
      <c r="I1031" s="183" t="s">
        <v>480</v>
      </c>
      <c r="J1031" s="183" t="s">
        <v>1592</v>
      </c>
      <c r="K1031" s="183" t="s">
        <v>1593</v>
      </c>
    </row>
    <row r="1032" spans="8:11" x14ac:dyDescent="0.25">
      <c r="H1032" s="183" t="s">
        <v>522</v>
      </c>
      <c r="I1032" s="183" t="s">
        <v>480</v>
      </c>
      <c r="J1032" s="183" t="s">
        <v>1594</v>
      </c>
      <c r="K1032" s="183" t="s">
        <v>1595</v>
      </c>
    </row>
    <row r="1033" spans="8:11" x14ac:dyDescent="0.25">
      <c r="H1033" s="183" t="s">
        <v>522</v>
      </c>
      <c r="I1033" s="183" t="s">
        <v>483</v>
      </c>
      <c r="J1033" s="183" t="s">
        <v>480</v>
      </c>
      <c r="K1033" s="183" t="s">
        <v>724</v>
      </c>
    </row>
    <row r="1034" spans="8:11" x14ac:dyDescent="0.25">
      <c r="H1034" s="183" t="s">
        <v>522</v>
      </c>
      <c r="I1034" s="183" t="s">
        <v>483</v>
      </c>
      <c r="J1034" s="183" t="s">
        <v>483</v>
      </c>
      <c r="K1034" s="183" t="s">
        <v>790</v>
      </c>
    </row>
    <row r="1035" spans="8:11" x14ac:dyDescent="0.25">
      <c r="H1035" s="183" t="s">
        <v>522</v>
      </c>
      <c r="I1035" s="183" t="s">
        <v>483</v>
      </c>
      <c r="J1035" s="183" t="s">
        <v>487</v>
      </c>
      <c r="K1035" s="183" t="s">
        <v>1596</v>
      </c>
    </row>
    <row r="1036" spans="8:11" x14ac:dyDescent="0.25">
      <c r="H1036" s="183" t="s">
        <v>522</v>
      </c>
      <c r="I1036" s="183" t="s">
        <v>483</v>
      </c>
      <c r="J1036" s="183" t="s">
        <v>491</v>
      </c>
      <c r="K1036" s="183" t="s">
        <v>1597</v>
      </c>
    </row>
    <row r="1037" spans="8:11" x14ac:dyDescent="0.25">
      <c r="H1037" s="183" t="s">
        <v>522</v>
      </c>
      <c r="I1037" s="183" t="s">
        <v>483</v>
      </c>
      <c r="J1037" s="183" t="s">
        <v>495</v>
      </c>
      <c r="K1037" s="183" t="s">
        <v>875</v>
      </c>
    </row>
    <row r="1038" spans="8:11" x14ac:dyDescent="0.25">
      <c r="H1038" s="183" t="s">
        <v>522</v>
      </c>
      <c r="I1038" s="183" t="s">
        <v>483</v>
      </c>
      <c r="J1038" s="183" t="s">
        <v>499</v>
      </c>
      <c r="K1038" s="183" t="s">
        <v>1598</v>
      </c>
    </row>
    <row r="1039" spans="8:11" x14ac:dyDescent="0.25">
      <c r="H1039" s="183" t="s">
        <v>522</v>
      </c>
      <c r="I1039" s="183" t="s">
        <v>483</v>
      </c>
      <c r="J1039" s="183" t="s">
        <v>503</v>
      </c>
      <c r="K1039" s="183" t="s">
        <v>1599</v>
      </c>
    </row>
    <row r="1040" spans="8:11" x14ac:dyDescent="0.25">
      <c r="H1040" s="183" t="s">
        <v>522</v>
      </c>
      <c r="I1040" s="183" t="s">
        <v>483</v>
      </c>
      <c r="J1040" s="183" t="s">
        <v>507</v>
      </c>
      <c r="K1040" s="183" t="s">
        <v>1600</v>
      </c>
    </row>
    <row r="1041" spans="8:11" x14ac:dyDescent="0.25">
      <c r="H1041" s="183" t="s">
        <v>522</v>
      </c>
      <c r="I1041" s="183" t="s">
        <v>483</v>
      </c>
      <c r="J1041" s="183" t="s">
        <v>511</v>
      </c>
      <c r="K1041" s="183" t="s">
        <v>529</v>
      </c>
    </row>
    <row r="1042" spans="8:11" x14ac:dyDescent="0.25">
      <c r="H1042" s="183" t="s">
        <v>522</v>
      </c>
      <c r="I1042" s="183" t="s">
        <v>483</v>
      </c>
      <c r="J1042" s="183" t="s">
        <v>515</v>
      </c>
      <c r="K1042" s="183" t="s">
        <v>1601</v>
      </c>
    </row>
    <row r="1043" spans="8:11" x14ac:dyDescent="0.25">
      <c r="H1043" s="183" t="s">
        <v>522</v>
      </c>
      <c r="I1043" s="183" t="s">
        <v>483</v>
      </c>
      <c r="J1043" s="183" t="s">
        <v>519</v>
      </c>
      <c r="K1043" s="183" t="s">
        <v>1602</v>
      </c>
    </row>
    <row r="1044" spans="8:11" x14ac:dyDescent="0.25">
      <c r="H1044" s="183" t="s">
        <v>522</v>
      </c>
      <c r="I1044" s="183" t="s">
        <v>483</v>
      </c>
      <c r="J1044" s="183" t="s">
        <v>522</v>
      </c>
      <c r="K1044" s="183" t="s">
        <v>1603</v>
      </c>
    </row>
    <row r="1045" spans="8:11" x14ac:dyDescent="0.25">
      <c r="H1045" s="183" t="s">
        <v>522</v>
      </c>
      <c r="I1045" s="183" t="s">
        <v>483</v>
      </c>
      <c r="J1045" s="183" t="s">
        <v>526</v>
      </c>
      <c r="K1045" s="183" t="s">
        <v>1604</v>
      </c>
    </row>
    <row r="1046" spans="8:11" x14ac:dyDescent="0.25">
      <c r="H1046" s="183" t="s">
        <v>522</v>
      </c>
      <c r="I1046" s="183" t="s">
        <v>483</v>
      </c>
      <c r="J1046" s="183" t="s">
        <v>530</v>
      </c>
      <c r="K1046" s="183" t="s">
        <v>1605</v>
      </c>
    </row>
    <row r="1047" spans="8:11" x14ac:dyDescent="0.25">
      <c r="H1047" s="183" t="s">
        <v>522</v>
      </c>
      <c r="I1047" s="183" t="s">
        <v>483</v>
      </c>
      <c r="J1047" s="183" t="s">
        <v>534</v>
      </c>
      <c r="K1047" s="183" t="s">
        <v>1606</v>
      </c>
    </row>
    <row r="1048" spans="8:11" x14ac:dyDescent="0.25">
      <c r="H1048" s="183" t="s">
        <v>522</v>
      </c>
      <c r="I1048" s="183" t="s">
        <v>487</v>
      </c>
      <c r="J1048" s="183" t="s">
        <v>480</v>
      </c>
      <c r="K1048" s="183" t="s">
        <v>726</v>
      </c>
    </row>
    <row r="1049" spans="8:11" x14ac:dyDescent="0.25">
      <c r="H1049" s="183" t="s">
        <v>522</v>
      </c>
      <c r="I1049" s="183" t="s">
        <v>487</v>
      </c>
      <c r="J1049" s="183" t="s">
        <v>483</v>
      </c>
      <c r="K1049" s="183" t="s">
        <v>1607</v>
      </c>
    </row>
    <row r="1050" spans="8:11" x14ac:dyDescent="0.25">
      <c r="H1050" s="183" t="s">
        <v>522</v>
      </c>
      <c r="I1050" s="183" t="s">
        <v>487</v>
      </c>
      <c r="J1050" s="183" t="s">
        <v>487</v>
      </c>
      <c r="K1050" s="183" t="s">
        <v>1608</v>
      </c>
    </row>
    <row r="1051" spans="8:11" x14ac:dyDescent="0.25">
      <c r="H1051" s="183" t="s">
        <v>522</v>
      </c>
      <c r="I1051" s="183" t="s">
        <v>487</v>
      </c>
      <c r="J1051" s="183" t="s">
        <v>491</v>
      </c>
      <c r="K1051" s="183" t="s">
        <v>1609</v>
      </c>
    </row>
    <row r="1052" spans="8:11" x14ac:dyDescent="0.25">
      <c r="H1052" s="183" t="s">
        <v>522</v>
      </c>
      <c r="I1052" s="183" t="s">
        <v>487</v>
      </c>
      <c r="J1052" s="183" t="s">
        <v>495</v>
      </c>
      <c r="K1052" s="183" t="s">
        <v>1610</v>
      </c>
    </row>
    <row r="1053" spans="8:11" x14ac:dyDescent="0.25">
      <c r="H1053" s="183" t="s">
        <v>522</v>
      </c>
      <c r="I1053" s="183" t="s">
        <v>487</v>
      </c>
      <c r="J1053" s="183" t="s">
        <v>499</v>
      </c>
      <c r="K1053" s="183" t="s">
        <v>1611</v>
      </c>
    </row>
    <row r="1054" spans="8:11" x14ac:dyDescent="0.25">
      <c r="H1054" s="183" t="s">
        <v>522</v>
      </c>
      <c r="I1054" s="183" t="s">
        <v>491</v>
      </c>
      <c r="J1054" s="183" t="s">
        <v>480</v>
      </c>
      <c r="K1054" s="183" t="s">
        <v>728</v>
      </c>
    </row>
    <row r="1055" spans="8:11" x14ac:dyDescent="0.25">
      <c r="H1055" s="183" t="s">
        <v>522</v>
      </c>
      <c r="I1055" s="183" t="s">
        <v>491</v>
      </c>
      <c r="J1055" s="183" t="s">
        <v>483</v>
      </c>
      <c r="K1055" s="183" t="s">
        <v>1612</v>
      </c>
    </row>
    <row r="1056" spans="8:11" x14ac:dyDescent="0.25">
      <c r="H1056" s="183" t="s">
        <v>522</v>
      </c>
      <c r="I1056" s="183" t="s">
        <v>491</v>
      </c>
      <c r="J1056" s="183" t="s">
        <v>487</v>
      </c>
      <c r="K1056" s="183" t="s">
        <v>1613</v>
      </c>
    </row>
    <row r="1057" spans="8:11" x14ac:dyDescent="0.25">
      <c r="H1057" s="183" t="s">
        <v>522</v>
      </c>
      <c r="I1057" s="183" t="s">
        <v>491</v>
      </c>
      <c r="J1057" s="183" t="s">
        <v>491</v>
      </c>
      <c r="K1057" s="183" t="s">
        <v>1614</v>
      </c>
    </row>
    <row r="1058" spans="8:11" x14ac:dyDescent="0.25">
      <c r="H1058" s="183" t="s">
        <v>522</v>
      </c>
      <c r="I1058" s="183" t="s">
        <v>491</v>
      </c>
      <c r="J1058" s="183" t="s">
        <v>495</v>
      </c>
      <c r="K1058" s="183" t="s">
        <v>1615</v>
      </c>
    </row>
    <row r="1059" spans="8:11" x14ac:dyDescent="0.25">
      <c r="H1059" s="183" t="s">
        <v>522</v>
      </c>
      <c r="I1059" s="183" t="s">
        <v>491</v>
      </c>
      <c r="J1059" s="183" t="s">
        <v>499</v>
      </c>
      <c r="K1059" s="183" t="s">
        <v>1616</v>
      </c>
    </row>
    <row r="1060" spans="8:11" x14ac:dyDescent="0.25">
      <c r="H1060" s="183" t="s">
        <v>522</v>
      </c>
      <c r="I1060" s="183" t="s">
        <v>491</v>
      </c>
      <c r="J1060" s="183" t="s">
        <v>503</v>
      </c>
      <c r="K1060" s="183" t="s">
        <v>1617</v>
      </c>
    </row>
    <row r="1061" spans="8:11" x14ac:dyDescent="0.25">
      <c r="H1061" s="183" t="s">
        <v>522</v>
      </c>
      <c r="I1061" s="183" t="s">
        <v>491</v>
      </c>
      <c r="J1061" s="183" t="s">
        <v>507</v>
      </c>
      <c r="K1061" s="183" t="s">
        <v>1618</v>
      </c>
    </row>
    <row r="1062" spans="8:11" x14ac:dyDescent="0.25">
      <c r="H1062" s="183" t="s">
        <v>522</v>
      </c>
      <c r="I1062" s="183" t="s">
        <v>491</v>
      </c>
      <c r="J1062" s="183" t="s">
        <v>511</v>
      </c>
      <c r="K1062" s="183" t="s">
        <v>1619</v>
      </c>
    </row>
    <row r="1063" spans="8:11" x14ac:dyDescent="0.25">
      <c r="H1063" s="183" t="s">
        <v>522</v>
      </c>
      <c r="I1063" s="183" t="s">
        <v>491</v>
      </c>
      <c r="J1063" s="183" t="s">
        <v>515</v>
      </c>
      <c r="K1063" s="183" t="s">
        <v>1620</v>
      </c>
    </row>
    <row r="1064" spans="8:11" x14ac:dyDescent="0.25">
      <c r="H1064" s="183" t="s">
        <v>522</v>
      </c>
      <c r="I1064" s="183" t="s">
        <v>491</v>
      </c>
      <c r="J1064" s="183" t="s">
        <v>519</v>
      </c>
      <c r="K1064" s="183" t="s">
        <v>1621</v>
      </c>
    </row>
    <row r="1065" spans="8:11" x14ac:dyDescent="0.25">
      <c r="H1065" s="183" t="s">
        <v>522</v>
      </c>
      <c r="I1065" s="183" t="s">
        <v>491</v>
      </c>
      <c r="J1065" s="183" t="s">
        <v>522</v>
      </c>
      <c r="K1065" s="183" t="s">
        <v>746</v>
      </c>
    </row>
    <row r="1066" spans="8:11" x14ac:dyDescent="0.25">
      <c r="H1066" s="183" t="s">
        <v>522</v>
      </c>
      <c r="I1066" s="183" t="s">
        <v>491</v>
      </c>
      <c r="J1066" s="183" t="s">
        <v>526</v>
      </c>
      <c r="K1066" s="183" t="s">
        <v>1622</v>
      </c>
    </row>
    <row r="1067" spans="8:11" x14ac:dyDescent="0.25">
      <c r="H1067" s="183" t="s">
        <v>522</v>
      </c>
      <c r="I1067" s="183" t="s">
        <v>491</v>
      </c>
      <c r="J1067" s="183" t="s">
        <v>530</v>
      </c>
      <c r="K1067" s="183" t="s">
        <v>1623</v>
      </c>
    </row>
    <row r="1068" spans="8:11" x14ac:dyDescent="0.25">
      <c r="H1068" s="183" t="s">
        <v>522</v>
      </c>
      <c r="I1068" s="183" t="s">
        <v>491</v>
      </c>
      <c r="J1068" s="183" t="s">
        <v>534</v>
      </c>
      <c r="K1068" s="183" t="s">
        <v>1624</v>
      </c>
    </row>
    <row r="1069" spans="8:11" x14ac:dyDescent="0.25">
      <c r="H1069" s="183" t="s">
        <v>522</v>
      </c>
      <c r="I1069" s="183" t="s">
        <v>491</v>
      </c>
      <c r="J1069" s="183" t="s">
        <v>538</v>
      </c>
      <c r="K1069" s="183" t="s">
        <v>1625</v>
      </c>
    </row>
    <row r="1070" spans="8:11" x14ac:dyDescent="0.25">
      <c r="H1070" s="183" t="s">
        <v>522</v>
      </c>
      <c r="I1070" s="183" t="s">
        <v>491</v>
      </c>
      <c r="J1070" s="183" t="s">
        <v>542</v>
      </c>
      <c r="K1070" s="183" t="s">
        <v>1626</v>
      </c>
    </row>
    <row r="1071" spans="8:11" x14ac:dyDescent="0.25">
      <c r="H1071" s="183" t="s">
        <v>522</v>
      </c>
      <c r="I1071" s="183" t="s">
        <v>491</v>
      </c>
      <c r="J1071" s="183" t="s">
        <v>546</v>
      </c>
      <c r="K1071" s="183" t="s">
        <v>1627</v>
      </c>
    </row>
    <row r="1072" spans="8:11" x14ac:dyDescent="0.25">
      <c r="H1072" s="183" t="s">
        <v>522</v>
      </c>
      <c r="I1072" s="183" t="s">
        <v>491</v>
      </c>
      <c r="J1072" s="183" t="s">
        <v>550</v>
      </c>
      <c r="K1072" s="183" t="s">
        <v>1628</v>
      </c>
    </row>
    <row r="1073" spans="8:11" x14ac:dyDescent="0.25">
      <c r="H1073" s="183" t="s">
        <v>522</v>
      </c>
      <c r="I1073" s="183" t="s">
        <v>491</v>
      </c>
      <c r="J1073" s="183" t="s">
        <v>554</v>
      </c>
      <c r="K1073" s="183" t="s">
        <v>1629</v>
      </c>
    </row>
    <row r="1074" spans="8:11" x14ac:dyDescent="0.25">
      <c r="H1074" s="183" t="s">
        <v>522</v>
      </c>
      <c r="I1074" s="183" t="s">
        <v>491</v>
      </c>
      <c r="J1074" s="183" t="s">
        <v>558</v>
      </c>
      <c r="K1074" s="183" t="s">
        <v>1630</v>
      </c>
    </row>
    <row r="1075" spans="8:11" x14ac:dyDescent="0.25">
      <c r="H1075" s="183" t="s">
        <v>522</v>
      </c>
      <c r="I1075" s="183" t="s">
        <v>491</v>
      </c>
      <c r="J1075" s="183" t="s">
        <v>562</v>
      </c>
      <c r="K1075" s="183" t="s">
        <v>1631</v>
      </c>
    </row>
    <row r="1076" spans="8:11" x14ac:dyDescent="0.25">
      <c r="H1076" s="183" t="s">
        <v>522</v>
      </c>
      <c r="I1076" s="183" t="s">
        <v>491</v>
      </c>
      <c r="J1076" s="183" t="s">
        <v>566</v>
      </c>
      <c r="K1076" s="183" t="s">
        <v>1226</v>
      </c>
    </row>
    <row r="1077" spans="8:11" x14ac:dyDescent="0.25">
      <c r="H1077" s="183" t="s">
        <v>522</v>
      </c>
      <c r="I1077" s="183" t="s">
        <v>491</v>
      </c>
      <c r="J1077" s="183" t="s">
        <v>570</v>
      </c>
      <c r="K1077" s="183" t="s">
        <v>1632</v>
      </c>
    </row>
    <row r="1078" spans="8:11" x14ac:dyDescent="0.25">
      <c r="H1078" s="183" t="s">
        <v>522</v>
      </c>
      <c r="I1078" s="183" t="s">
        <v>491</v>
      </c>
      <c r="J1078" s="183" t="s">
        <v>574</v>
      </c>
      <c r="K1078" s="183" t="s">
        <v>1633</v>
      </c>
    </row>
    <row r="1079" spans="8:11" x14ac:dyDescent="0.25">
      <c r="H1079" s="183" t="s">
        <v>522</v>
      </c>
      <c r="I1079" s="183" t="s">
        <v>491</v>
      </c>
      <c r="J1079" s="183" t="s">
        <v>1022</v>
      </c>
      <c r="K1079" s="183" t="s">
        <v>1634</v>
      </c>
    </row>
    <row r="1080" spans="8:11" x14ac:dyDescent="0.25">
      <c r="H1080" s="183" t="s">
        <v>522</v>
      </c>
      <c r="I1080" s="183" t="s">
        <v>491</v>
      </c>
      <c r="J1080" s="183" t="s">
        <v>1024</v>
      </c>
      <c r="K1080" s="183" t="s">
        <v>1635</v>
      </c>
    </row>
    <row r="1081" spans="8:11" x14ac:dyDescent="0.25">
      <c r="H1081" s="183" t="s">
        <v>522</v>
      </c>
      <c r="I1081" s="183" t="s">
        <v>491</v>
      </c>
      <c r="J1081" s="183" t="s">
        <v>1026</v>
      </c>
      <c r="K1081" s="183" t="s">
        <v>1636</v>
      </c>
    </row>
    <row r="1082" spans="8:11" x14ac:dyDescent="0.25">
      <c r="H1082" s="183" t="s">
        <v>522</v>
      </c>
      <c r="I1082" s="183" t="s">
        <v>491</v>
      </c>
      <c r="J1082" s="183" t="s">
        <v>1028</v>
      </c>
      <c r="K1082" s="183" t="s">
        <v>1637</v>
      </c>
    </row>
    <row r="1083" spans="8:11" x14ac:dyDescent="0.25">
      <c r="H1083" s="183" t="s">
        <v>522</v>
      </c>
      <c r="I1083" s="183" t="s">
        <v>491</v>
      </c>
      <c r="J1083" s="183" t="s">
        <v>1584</v>
      </c>
      <c r="K1083" s="183" t="s">
        <v>1638</v>
      </c>
    </row>
    <row r="1084" spans="8:11" x14ac:dyDescent="0.25">
      <c r="H1084" s="183" t="s">
        <v>522</v>
      </c>
      <c r="I1084" s="183" t="s">
        <v>491</v>
      </c>
      <c r="J1084" s="183" t="s">
        <v>1639</v>
      </c>
      <c r="K1084" s="183" t="s">
        <v>1640</v>
      </c>
    </row>
    <row r="1085" spans="8:11" x14ac:dyDescent="0.25">
      <c r="H1085" s="183" t="s">
        <v>522</v>
      </c>
      <c r="I1085" s="183" t="s">
        <v>491</v>
      </c>
      <c r="J1085" s="183" t="s">
        <v>1586</v>
      </c>
      <c r="K1085" s="183" t="s">
        <v>1641</v>
      </c>
    </row>
    <row r="1086" spans="8:11" x14ac:dyDescent="0.25">
      <c r="H1086" s="183" t="s">
        <v>522</v>
      </c>
      <c r="I1086" s="183" t="s">
        <v>491</v>
      </c>
      <c r="J1086" s="183" t="s">
        <v>1588</v>
      </c>
      <c r="K1086" s="183" t="s">
        <v>735</v>
      </c>
    </row>
    <row r="1087" spans="8:11" x14ac:dyDescent="0.25">
      <c r="H1087" s="183" t="s">
        <v>522</v>
      </c>
      <c r="I1087" s="183" t="s">
        <v>491</v>
      </c>
      <c r="J1087" s="183" t="s">
        <v>1590</v>
      </c>
      <c r="K1087" s="183" t="s">
        <v>781</v>
      </c>
    </row>
    <row r="1088" spans="8:11" x14ac:dyDescent="0.25">
      <c r="H1088" s="183" t="s">
        <v>522</v>
      </c>
      <c r="I1088" s="183" t="s">
        <v>495</v>
      </c>
      <c r="J1088" s="183" t="s">
        <v>480</v>
      </c>
      <c r="K1088" s="183" t="s">
        <v>523</v>
      </c>
    </row>
    <row r="1089" spans="8:11" x14ac:dyDescent="0.25">
      <c r="H1089" s="183" t="s">
        <v>522</v>
      </c>
      <c r="I1089" s="183" t="s">
        <v>495</v>
      </c>
      <c r="J1089" s="183" t="s">
        <v>483</v>
      </c>
      <c r="K1089" s="183" t="s">
        <v>1642</v>
      </c>
    </row>
    <row r="1090" spans="8:11" x14ac:dyDescent="0.25">
      <c r="H1090" s="183" t="s">
        <v>522</v>
      </c>
      <c r="I1090" s="183" t="s">
        <v>495</v>
      </c>
      <c r="J1090" s="183" t="s">
        <v>487</v>
      </c>
      <c r="K1090" s="183" t="s">
        <v>1643</v>
      </c>
    </row>
    <row r="1091" spans="8:11" x14ac:dyDescent="0.25">
      <c r="H1091" s="183" t="s">
        <v>522</v>
      </c>
      <c r="I1091" s="183" t="s">
        <v>495</v>
      </c>
      <c r="J1091" s="183" t="s">
        <v>491</v>
      </c>
      <c r="K1091" s="183" t="s">
        <v>1644</v>
      </c>
    </row>
    <row r="1092" spans="8:11" x14ac:dyDescent="0.25">
      <c r="H1092" s="183" t="s">
        <v>522</v>
      </c>
      <c r="I1092" s="183" t="s">
        <v>499</v>
      </c>
      <c r="J1092" s="183" t="s">
        <v>480</v>
      </c>
      <c r="K1092" s="183" t="s">
        <v>731</v>
      </c>
    </row>
    <row r="1093" spans="8:11" x14ac:dyDescent="0.25">
      <c r="H1093" s="183" t="s">
        <v>522</v>
      </c>
      <c r="I1093" s="183" t="s">
        <v>499</v>
      </c>
      <c r="J1093" s="183" t="s">
        <v>483</v>
      </c>
      <c r="K1093" s="183" t="s">
        <v>1645</v>
      </c>
    </row>
    <row r="1094" spans="8:11" x14ac:dyDescent="0.25">
      <c r="H1094" s="183" t="s">
        <v>522</v>
      </c>
      <c r="I1094" s="183" t="s">
        <v>499</v>
      </c>
      <c r="J1094" s="183" t="s">
        <v>487</v>
      </c>
      <c r="K1094" s="183" t="s">
        <v>1646</v>
      </c>
    </row>
    <row r="1095" spans="8:11" x14ac:dyDescent="0.25">
      <c r="H1095" s="183" t="s">
        <v>522</v>
      </c>
      <c r="I1095" s="183" t="s">
        <v>499</v>
      </c>
      <c r="J1095" s="183" t="s">
        <v>491</v>
      </c>
      <c r="K1095" s="183" t="s">
        <v>1647</v>
      </c>
    </row>
    <row r="1096" spans="8:11" x14ac:dyDescent="0.25">
      <c r="H1096" s="183" t="s">
        <v>522</v>
      </c>
      <c r="I1096" s="183" t="s">
        <v>499</v>
      </c>
      <c r="J1096" s="183" t="s">
        <v>495</v>
      </c>
      <c r="K1096" s="183" t="s">
        <v>1648</v>
      </c>
    </row>
    <row r="1097" spans="8:11" x14ac:dyDescent="0.25">
      <c r="H1097" s="183" t="s">
        <v>522</v>
      </c>
      <c r="I1097" s="183" t="s">
        <v>499</v>
      </c>
      <c r="J1097" s="183" t="s">
        <v>499</v>
      </c>
      <c r="K1097" s="183" t="s">
        <v>1649</v>
      </c>
    </row>
    <row r="1098" spans="8:11" x14ac:dyDescent="0.25">
      <c r="H1098" s="183" t="s">
        <v>522</v>
      </c>
      <c r="I1098" s="183" t="s">
        <v>499</v>
      </c>
      <c r="J1098" s="183" t="s">
        <v>503</v>
      </c>
      <c r="K1098" s="183" t="s">
        <v>1650</v>
      </c>
    </row>
    <row r="1099" spans="8:11" x14ac:dyDescent="0.25">
      <c r="H1099" s="183" t="s">
        <v>522</v>
      </c>
      <c r="I1099" s="183" t="s">
        <v>499</v>
      </c>
      <c r="J1099" s="183" t="s">
        <v>507</v>
      </c>
      <c r="K1099" s="183" t="s">
        <v>1651</v>
      </c>
    </row>
    <row r="1100" spans="8:11" x14ac:dyDescent="0.25">
      <c r="H1100" s="183" t="s">
        <v>522</v>
      </c>
      <c r="I1100" s="183" t="s">
        <v>503</v>
      </c>
      <c r="J1100" s="183" t="s">
        <v>480</v>
      </c>
      <c r="K1100" s="183" t="s">
        <v>733</v>
      </c>
    </row>
    <row r="1101" spans="8:11" x14ac:dyDescent="0.25">
      <c r="H1101" s="183" t="s">
        <v>522</v>
      </c>
      <c r="I1101" s="183" t="s">
        <v>503</v>
      </c>
      <c r="J1101" s="183" t="s">
        <v>483</v>
      </c>
      <c r="K1101" s="183" t="s">
        <v>684</v>
      </c>
    </row>
    <row r="1102" spans="8:11" x14ac:dyDescent="0.25">
      <c r="H1102" s="183" t="s">
        <v>522</v>
      </c>
      <c r="I1102" s="183" t="s">
        <v>503</v>
      </c>
      <c r="J1102" s="183" t="s">
        <v>487</v>
      </c>
      <c r="K1102" s="183" t="s">
        <v>1652</v>
      </c>
    </row>
    <row r="1103" spans="8:11" x14ac:dyDescent="0.25">
      <c r="H1103" s="183" t="s">
        <v>522</v>
      </c>
      <c r="I1103" s="183" t="s">
        <v>503</v>
      </c>
      <c r="J1103" s="183" t="s">
        <v>491</v>
      </c>
      <c r="K1103" s="183" t="s">
        <v>1653</v>
      </c>
    </row>
    <row r="1104" spans="8:11" x14ac:dyDescent="0.25">
      <c r="H1104" s="183" t="s">
        <v>522</v>
      </c>
      <c r="I1104" s="183" t="s">
        <v>503</v>
      </c>
      <c r="J1104" s="183" t="s">
        <v>495</v>
      </c>
      <c r="K1104" s="183" t="s">
        <v>609</v>
      </c>
    </row>
    <row r="1105" spans="8:11" x14ac:dyDescent="0.25">
      <c r="H1105" s="183" t="s">
        <v>522</v>
      </c>
      <c r="I1105" s="183" t="s">
        <v>503</v>
      </c>
      <c r="J1105" s="183" t="s">
        <v>499</v>
      </c>
      <c r="K1105" s="183" t="s">
        <v>1403</v>
      </c>
    </row>
    <row r="1106" spans="8:11" x14ac:dyDescent="0.25">
      <c r="H1106" s="183" t="s">
        <v>522</v>
      </c>
      <c r="I1106" s="183" t="s">
        <v>503</v>
      </c>
      <c r="J1106" s="183" t="s">
        <v>503</v>
      </c>
      <c r="K1106" s="183" t="s">
        <v>1654</v>
      </c>
    </row>
    <row r="1107" spans="8:11" x14ac:dyDescent="0.25">
      <c r="H1107" s="183" t="s">
        <v>522</v>
      </c>
      <c r="I1107" s="183" t="s">
        <v>503</v>
      </c>
      <c r="J1107" s="183" t="s">
        <v>507</v>
      </c>
      <c r="K1107" s="183" t="s">
        <v>1655</v>
      </c>
    </row>
    <row r="1108" spans="8:11" x14ac:dyDescent="0.25">
      <c r="H1108" s="183" t="s">
        <v>522</v>
      </c>
      <c r="I1108" s="183" t="s">
        <v>503</v>
      </c>
      <c r="J1108" s="183" t="s">
        <v>511</v>
      </c>
      <c r="K1108" s="183" t="s">
        <v>1656</v>
      </c>
    </row>
    <row r="1109" spans="8:11" x14ac:dyDescent="0.25">
      <c r="H1109" s="183" t="s">
        <v>522</v>
      </c>
      <c r="I1109" s="183" t="s">
        <v>507</v>
      </c>
      <c r="J1109" s="183" t="s">
        <v>480</v>
      </c>
      <c r="K1109" s="183" t="s">
        <v>1657</v>
      </c>
    </row>
    <row r="1110" spans="8:11" x14ac:dyDescent="0.25">
      <c r="H1110" s="183" t="s">
        <v>522</v>
      </c>
      <c r="I1110" s="183" t="s">
        <v>507</v>
      </c>
      <c r="J1110" s="183" t="s">
        <v>483</v>
      </c>
      <c r="K1110" s="183" t="s">
        <v>1658</v>
      </c>
    </row>
    <row r="1111" spans="8:11" x14ac:dyDescent="0.25">
      <c r="H1111" s="183" t="s">
        <v>522</v>
      </c>
      <c r="I1111" s="183" t="s">
        <v>507</v>
      </c>
      <c r="J1111" s="183" t="s">
        <v>487</v>
      </c>
      <c r="K1111" s="183" t="s">
        <v>1659</v>
      </c>
    </row>
    <row r="1112" spans="8:11" x14ac:dyDescent="0.25">
      <c r="H1112" s="183" t="s">
        <v>522</v>
      </c>
      <c r="I1112" s="183" t="s">
        <v>507</v>
      </c>
      <c r="J1112" s="183" t="s">
        <v>491</v>
      </c>
      <c r="K1112" s="183" t="s">
        <v>1660</v>
      </c>
    </row>
    <row r="1113" spans="8:11" x14ac:dyDescent="0.25">
      <c r="H1113" s="183" t="s">
        <v>522</v>
      </c>
      <c r="I1113" s="183" t="s">
        <v>507</v>
      </c>
      <c r="J1113" s="183" t="s">
        <v>495</v>
      </c>
      <c r="K1113" s="183" t="s">
        <v>1661</v>
      </c>
    </row>
    <row r="1114" spans="8:11" x14ac:dyDescent="0.25">
      <c r="H1114" s="183" t="s">
        <v>522</v>
      </c>
      <c r="I1114" s="183" t="s">
        <v>507</v>
      </c>
      <c r="J1114" s="183" t="s">
        <v>499</v>
      </c>
      <c r="K1114" s="183" t="s">
        <v>1226</v>
      </c>
    </row>
    <row r="1115" spans="8:11" x14ac:dyDescent="0.25">
      <c r="H1115" s="183" t="s">
        <v>522</v>
      </c>
      <c r="I1115" s="183" t="s">
        <v>507</v>
      </c>
      <c r="J1115" s="183" t="s">
        <v>503</v>
      </c>
      <c r="K1115" s="183" t="s">
        <v>1662</v>
      </c>
    </row>
    <row r="1116" spans="8:11" x14ac:dyDescent="0.25">
      <c r="H1116" s="183" t="s">
        <v>522</v>
      </c>
      <c r="I1116" s="183" t="s">
        <v>507</v>
      </c>
      <c r="J1116" s="183" t="s">
        <v>507</v>
      </c>
      <c r="K1116" s="183" t="s">
        <v>1663</v>
      </c>
    </row>
    <row r="1117" spans="8:11" x14ac:dyDescent="0.25">
      <c r="H1117" s="183" t="s">
        <v>522</v>
      </c>
      <c r="I1117" s="183" t="s">
        <v>507</v>
      </c>
      <c r="J1117" s="183" t="s">
        <v>511</v>
      </c>
      <c r="K1117" s="183" t="s">
        <v>1664</v>
      </c>
    </row>
    <row r="1118" spans="8:11" x14ac:dyDescent="0.25">
      <c r="H1118" s="183" t="s">
        <v>522</v>
      </c>
      <c r="I1118" s="183" t="s">
        <v>507</v>
      </c>
      <c r="J1118" s="183" t="s">
        <v>515</v>
      </c>
      <c r="K1118" s="183" t="s">
        <v>735</v>
      </c>
    </row>
    <row r="1119" spans="8:11" x14ac:dyDescent="0.25">
      <c r="H1119" s="183" t="s">
        <v>522</v>
      </c>
      <c r="I1119" s="183" t="s">
        <v>511</v>
      </c>
      <c r="J1119" s="183" t="s">
        <v>480</v>
      </c>
      <c r="K1119" s="183" t="s">
        <v>736</v>
      </c>
    </row>
    <row r="1120" spans="8:11" x14ac:dyDescent="0.25">
      <c r="H1120" s="183" t="s">
        <v>522</v>
      </c>
      <c r="I1120" s="183" t="s">
        <v>511</v>
      </c>
      <c r="J1120" s="183" t="s">
        <v>483</v>
      </c>
      <c r="K1120" s="183" t="s">
        <v>1665</v>
      </c>
    </row>
    <row r="1121" spans="8:11" x14ac:dyDescent="0.25">
      <c r="H1121" s="183" t="s">
        <v>522</v>
      </c>
      <c r="I1121" s="183" t="s">
        <v>511</v>
      </c>
      <c r="J1121" s="183" t="s">
        <v>487</v>
      </c>
      <c r="K1121" s="183" t="s">
        <v>1666</v>
      </c>
    </row>
    <row r="1122" spans="8:11" x14ac:dyDescent="0.25">
      <c r="H1122" s="183" t="s">
        <v>522</v>
      </c>
      <c r="I1122" s="183" t="s">
        <v>511</v>
      </c>
      <c r="J1122" s="183" t="s">
        <v>491</v>
      </c>
      <c r="K1122" s="183" t="s">
        <v>1667</v>
      </c>
    </row>
    <row r="1123" spans="8:11" x14ac:dyDescent="0.25">
      <c r="H1123" s="183" t="s">
        <v>522</v>
      </c>
      <c r="I1123" s="183" t="s">
        <v>511</v>
      </c>
      <c r="J1123" s="183" t="s">
        <v>495</v>
      </c>
      <c r="K1123" s="183" t="s">
        <v>1668</v>
      </c>
    </row>
    <row r="1124" spans="8:11" x14ac:dyDescent="0.25">
      <c r="H1124" s="183" t="s">
        <v>522</v>
      </c>
      <c r="I1124" s="183" t="s">
        <v>511</v>
      </c>
      <c r="J1124" s="183" t="s">
        <v>499</v>
      </c>
      <c r="K1124" s="183" t="s">
        <v>1669</v>
      </c>
    </row>
    <row r="1125" spans="8:11" x14ac:dyDescent="0.25">
      <c r="H1125" s="183" t="s">
        <v>522</v>
      </c>
      <c r="I1125" s="183" t="s">
        <v>511</v>
      </c>
      <c r="J1125" s="183" t="s">
        <v>503</v>
      </c>
      <c r="K1125" s="183" t="s">
        <v>1670</v>
      </c>
    </row>
    <row r="1126" spans="8:11" x14ac:dyDescent="0.25">
      <c r="H1126" s="183" t="s">
        <v>522</v>
      </c>
      <c r="I1126" s="183" t="s">
        <v>511</v>
      </c>
      <c r="J1126" s="183" t="s">
        <v>507</v>
      </c>
      <c r="K1126" s="183" t="s">
        <v>1671</v>
      </c>
    </row>
    <row r="1127" spans="8:11" x14ac:dyDescent="0.25">
      <c r="H1127" s="183" t="s">
        <v>522</v>
      </c>
      <c r="I1127" s="183" t="s">
        <v>511</v>
      </c>
      <c r="J1127" s="183" t="s">
        <v>511</v>
      </c>
      <c r="K1127" s="183" t="s">
        <v>1672</v>
      </c>
    </row>
    <row r="1128" spans="8:11" x14ac:dyDescent="0.25">
      <c r="H1128" s="183" t="s">
        <v>526</v>
      </c>
      <c r="I1128" s="183" t="s">
        <v>480</v>
      </c>
      <c r="J1128" s="183" t="s">
        <v>480</v>
      </c>
      <c r="K1128" s="183" t="s">
        <v>738</v>
      </c>
    </row>
    <row r="1129" spans="8:11" x14ac:dyDescent="0.25">
      <c r="H1129" s="183" t="s">
        <v>526</v>
      </c>
      <c r="I1129" s="183" t="s">
        <v>480</v>
      </c>
      <c r="J1129" s="183" t="s">
        <v>483</v>
      </c>
      <c r="K1129" s="183" t="s">
        <v>1673</v>
      </c>
    </row>
    <row r="1130" spans="8:11" x14ac:dyDescent="0.25">
      <c r="H1130" s="183" t="s">
        <v>526</v>
      </c>
      <c r="I1130" s="183" t="s">
        <v>480</v>
      </c>
      <c r="J1130" s="183" t="s">
        <v>487</v>
      </c>
      <c r="K1130" s="183" t="s">
        <v>1674</v>
      </c>
    </row>
    <row r="1131" spans="8:11" x14ac:dyDescent="0.25">
      <c r="H1131" s="183" t="s">
        <v>526</v>
      </c>
      <c r="I1131" s="183" t="s">
        <v>480</v>
      </c>
      <c r="J1131" s="183" t="s">
        <v>491</v>
      </c>
      <c r="K1131" s="183" t="s">
        <v>1675</v>
      </c>
    </row>
    <row r="1132" spans="8:11" x14ac:dyDescent="0.25">
      <c r="H1132" s="183" t="s">
        <v>526</v>
      </c>
      <c r="I1132" s="183" t="s">
        <v>480</v>
      </c>
      <c r="J1132" s="183" t="s">
        <v>495</v>
      </c>
      <c r="K1132" s="183" t="s">
        <v>1292</v>
      </c>
    </row>
    <row r="1133" spans="8:11" x14ac:dyDescent="0.25">
      <c r="H1133" s="183" t="s">
        <v>526</v>
      </c>
      <c r="I1133" s="183" t="s">
        <v>480</v>
      </c>
      <c r="J1133" s="183" t="s">
        <v>499</v>
      </c>
      <c r="K1133" s="183" t="s">
        <v>1676</v>
      </c>
    </row>
    <row r="1134" spans="8:11" x14ac:dyDescent="0.25">
      <c r="H1134" s="183" t="s">
        <v>526</v>
      </c>
      <c r="I1134" s="183" t="s">
        <v>480</v>
      </c>
      <c r="J1134" s="183" t="s">
        <v>503</v>
      </c>
      <c r="K1134" s="183" t="s">
        <v>1677</v>
      </c>
    </row>
    <row r="1135" spans="8:11" x14ac:dyDescent="0.25">
      <c r="H1135" s="183" t="s">
        <v>526</v>
      </c>
      <c r="I1135" s="183" t="s">
        <v>480</v>
      </c>
      <c r="J1135" s="183" t="s">
        <v>507</v>
      </c>
      <c r="K1135" s="183" t="s">
        <v>1678</v>
      </c>
    </row>
    <row r="1136" spans="8:11" x14ac:dyDescent="0.25">
      <c r="H1136" s="183" t="s">
        <v>526</v>
      </c>
      <c r="I1136" s="183" t="s">
        <v>480</v>
      </c>
      <c r="J1136" s="183" t="s">
        <v>511</v>
      </c>
      <c r="K1136" s="183" t="s">
        <v>1679</v>
      </c>
    </row>
    <row r="1137" spans="8:11" x14ac:dyDescent="0.25">
      <c r="H1137" s="183" t="s">
        <v>526</v>
      </c>
      <c r="I1137" s="183" t="s">
        <v>480</v>
      </c>
      <c r="J1137" s="183" t="s">
        <v>515</v>
      </c>
      <c r="K1137" s="183" t="s">
        <v>1680</v>
      </c>
    </row>
    <row r="1138" spans="8:11" x14ac:dyDescent="0.25">
      <c r="H1138" s="183" t="s">
        <v>526</v>
      </c>
      <c r="I1138" s="183" t="s">
        <v>480</v>
      </c>
      <c r="J1138" s="183" t="s">
        <v>519</v>
      </c>
      <c r="K1138" s="183" t="s">
        <v>1681</v>
      </c>
    </row>
    <row r="1139" spans="8:11" x14ac:dyDescent="0.25">
      <c r="H1139" s="183" t="s">
        <v>526</v>
      </c>
      <c r="I1139" s="183" t="s">
        <v>483</v>
      </c>
      <c r="J1139" s="183" t="s">
        <v>480</v>
      </c>
      <c r="K1139" s="183" t="s">
        <v>740</v>
      </c>
    </row>
    <row r="1140" spans="8:11" x14ac:dyDescent="0.25">
      <c r="H1140" s="183" t="s">
        <v>526</v>
      </c>
      <c r="I1140" s="183" t="s">
        <v>483</v>
      </c>
      <c r="J1140" s="183" t="s">
        <v>483</v>
      </c>
      <c r="K1140" s="183" t="s">
        <v>1682</v>
      </c>
    </row>
    <row r="1141" spans="8:11" x14ac:dyDescent="0.25">
      <c r="H1141" s="183" t="s">
        <v>526</v>
      </c>
      <c r="I1141" s="183" t="s">
        <v>483</v>
      </c>
      <c r="J1141" s="183" t="s">
        <v>487</v>
      </c>
      <c r="K1141" s="183" t="s">
        <v>1683</v>
      </c>
    </row>
    <row r="1142" spans="8:11" x14ac:dyDescent="0.25">
      <c r="H1142" s="183" t="s">
        <v>526</v>
      </c>
      <c r="I1142" s="183" t="s">
        <v>483</v>
      </c>
      <c r="J1142" s="183" t="s">
        <v>491</v>
      </c>
      <c r="K1142" s="183" t="s">
        <v>1684</v>
      </c>
    </row>
    <row r="1143" spans="8:11" x14ac:dyDescent="0.25">
      <c r="H1143" s="183" t="s">
        <v>526</v>
      </c>
      <c r="I1143" s="183" t="s">
        <v>483</v>
      </c>
      <c r="J1143" s="183" t="s">
        <v>495</v>
      </c>
      <c r="K1143" s="183" t="s">
        <v>1685</v>
      </c>
    </row>
    <row r="1144" spans="8:11" x14ac:dyDescent="0.25">
      <c r="H1144" s="183" t="s">
        <v>526</v>
      </c>
      <c r="I1144" s="183" t="s">
        <v>483</v>
      </c>
      <c r="J1144" s="183" t="s">
        <v>499</v>
      </c>
      <c r="K1144" s="183" t="s">
        <v>1686</v>
      </c>
    </row>
    <row r="1145" spans="8:11" x14ac:dyDescent="0.25">
      <c r="H1145" s="183" t="s">
        <v>526</v>
      </c>
      <c r="I1145" s="183" t="s">
        <v>483</v>
      </c>
      <c r="J1145" s="183" t="s">
        <v>503</v>
      </c>
      <c r="K1145" s="183" t="s">
        <v>1687</v>
      </c>
    </row>
    <row r="1146" spans="8:11" x14ac:dyDescent="0.25">
      <c r="H1146" s="183" t="s">
        <v>526</v>
      </c>
      <c r="I1146" s="183" t="s">
        <v>483</v>
      </c>
      <c r="J1146" s="183" t="s">
        <v>507</v>
      </c>
      <c r="K1146" s="183" t="s">
        <v>1688</v>
      </c>
    </row>
    <row r="1147" spans="8:11" x14ac:dyDescent="0.25">
      <c r="H1147" s="183" t="s">
        <v>526</v>
      </c>
      <c r="I1147" s="183" t="s">
        <v>487</v>
      </c>
      <c r="J1147" s="183" t="s">
        <v>480</v>
      </c>
      <c r="K1147" s="183" t="s">
        <v>742</v>
      </c>
    </row>
    <row r="1148" spans="8:11" x14ac:dyDescent="0.25">
      <c r="H1148" s="183" t="s">
        <v>526</v>
      </c>
      <c r="I1148" s="183" t="s">
        <v>487</v>
      </c>
      <c r="J1148" s="183" t="s">
        <v>483</v>
      </c>
      <c r="K1148" s="183" t="s">
        <v>1252</v>
      </c>
    </row>
    <row r="1149" spans="8:11" x14ac:dyDescent="0.25">
      <c r="H1149" s="183" t="s">
        <v>526</v>
      </c>
      <c r="I1149" s="183" t="s">
        <v>487</v>
      </c>
      <c r="J1149" s="183" t="s">
        <v>487</v>
      </c>
      <c r="K1149" s="183" t="s">
        <v>1689</v>
      </c>
    </row>
    <row r="1150" spans="8:11" x14ac:dyDescent="0.25">
      <c r="H1150" s="183" t="s">
        <v>526</v>
      </c>
      <c r="I1150" s="183" t="s">
        <v>487</v>
      </c>
      <c r="J1150" s="183" t="s">
        <v>491</v>
      </c>
      <c r="K1150" s="183" t="s">
        <v>1690</v>
      </c>
    </row>
    <row r="1151" spans="8:11" x14ac:dyDescent="0.25">
      <c r="H1151" s="183" t="s">
        <v>526</v>
      </c>
      <c r="I1151" s="183" t="s">
        <v>487</v>
      </c>
      <c r="J1151" s="183" t="s">
        <v>495</v>
      </c>
      <c r="K1151" s="183" t="s">
        <v>1691</v>
      </c>
    </row>
    <row r="1152" spans="8:11" x14ac:dyDescent="0.25">
      <c r="H1152" s="183" t="s">
        <v>526</v>
      </c>
      <c r="I1152" s="183" t="s">
        <v>487</v>
      </c>
      <c r="J1152" s="183" t="s">
        <v>499</v>
      </c>
      <c r="K1152" s="183" t="s">
        <v>1692</v>
      </c>
    </row>
    <row r="1153" spans="8:11" x14ac:dyDescent="0.25">
      <c r="H1153" s="183" t="s">
        <v>526</v>
      </c>
      <c r="I1153" s="183" t="s">
        <v>491</v>
      </c>
      <c r="J1153" s="183" t="s">
        <v>480</v>
      </c>
      <c r="K1153" s="183" t="s">
        <v>744</v>
      </c>
    </row>
    <row r="1154" spans="8:11" x14ac:dyDescent="0.25">
      <c r="H1154" s="183" t="s">
        <v>526</v>
      </c>
      <c r="I1154" s="183" t="s">
        <v>491</v>
      </c>
      <c r="J1154" s="183" t="s">
        <v>483</v>
      </c>
      <c r="K1154" s="183" t="s">
        <v>1693</v>
      </c>
    </row>
    <row r="1155" spans="8:11" x14ac:dyDescent="0.25">
      <c r="H1155" s="183" t="s">
        <v>526</v>
      </c>
      <c r="I1155" s="183" t="s">
        <v>491</v>
      </c>
      <c r="J1155" s="183" t="s">
        <v>487</v>
      </c>
      <c r="K1155" s="183" t="s">
        <v>1540</v>
      </c>
    </row>
    <row r="1156" spans="8:11" x14ac:dyDescent="0.25">
      <c r="H1156" s="183" t="s">
        <v>526</v>
      </c>
      <c r="I1156" s="183" t="s">
        <v>495</v>
      </c>
      <c r="J1156" s="183" t="s">
        <v>480</v>
      </c>
      <c r="K1156" s="183" t="s">
        <v>746</v>
      </c>
    </row>
    <row r="1157" spans="8:11" x14ac:dyDescent="0.25">
      <c r="H1157" s="183" t="s">
        <v>526</v>
      </c>
      <c r="I1157" s="183" t="s">
        <v>495</v>
      </c>
      <c r="J1157" s="183" t="s">
        <v>483</v>
      </c>
      <c r="K1157" s="183" t="s">
        <v>1694</v>
      </c>
    </row>
    <row r="1158" spans="8:11" x14ac:dyDescent="0.25">
      <c r="H1158" s="183" t="s">
        <v>526</v>
      </c>
      <c r="I1158" s="183" t="s">
        <v>495</v>
      </c>
      <c r="J1158" s="183" t="s">
        <v>487</v>
      </c>
      <c r="K1158" s="183" t="s">
        <v>1695</v>
      </c>
    </row>
    <row r="1159" spans="8:11" x14ac:dyDescent="0.25">
      <c r="H1159" s="183" t="s">
        <v>526</v>
      </c>
      <c r="I1159" s="183" t="s">
        <v>495</v>
      </c>
      <c r="J1159" s="183" t="s">
        <v>491</v>
      </c>
      <c r="K1159" s="183" t="s">
        <v>1696</v>
      </c>
    </row>
    <row r="1160" spans="8:11" x14ac:dyDescent="0.25">
      <c r="H1160" s="183" t="s">
        <v>526</v>
      </c>
      <c r="I1160" s="183" t="s">
        <v>499</v>
      </c>
      <c r="J1160" s="183" t="s">
        <v>480</v>
      </c>
      <c r="K1160" s="183" t="s">
        <v>748</v>
      </c>
    </row>
    <row r="1161" spans="8:11" x14ac:dyDescent="0.25">
      <c r="H1161" s="183" t="s">
        <v>526</v>
      </c>
      <c r="I1161" s="183" t="s">
        <v>499</v>
      </c>
      <c r="J1161" s="183" t="s">
        <v>483</v>
      </c>
      <c r="K1161" s="183" t="s">
        <v>1697</v>
      </c>
    </row>
    <row r="1162" spans="8:11" x14ac:dyDescent="0.25">
      <c r="H1162" s="183" t="s">
        <v>526</v>
      </c>
      <c r="I1162" s="183" t="s">
        <v>499</v>
      </c>
      <c r="J1162" s="183" t="s">
        <v>491</v>
      </c>
      <c r="K1162" s="183" t="s">
        <v>1698</v>
      </c>
    </row>
    <row r="1163" spans="8:11" x14ac:dyDescent="0.25">
      <c r="H1163" s="183" t="s">
        <v>526</v>
      </c>
      <c r="I1163" s="183" t="s">
        <v>499</v>
      </c>
      <c r="J1163" s="183" t="s">
        <v>495</v>
      </c>
      <c r="K1163" s="183" t="s">
        <v>1699</v>
      </c>
    </row>
    <row r="1164" spans="8:11" x14ac:dyDescent="0.25">
      <c r="H1164" s="183" t="s">
        <v>526</v>
      </c>
      <c r="I1164" s="183" t="s">
        <v>499</v>
      </c>
      <c r="J1164" s="183" t="s">
        <v>499</v>
      </c>
      <c r="K1164" s="183" t="s">
        <v>1700</v>
      </c>
    </row>
    <row r="1165" spans="8:11" x14ac:dyDescent="0.25">
      <c r="H1165" s="183" t="s">
        <v>526</v>
      </c>
      <c r="I1165" s="183" t="s">
        <v>499</v>
      </c>
      <c r="J1165" s="183" t="s">
        <v>507</v>
      </c>
      <c r="K1165" s="183" t="s">
        <v>1701</v>
      </c>
    </row>
    <row r="1166" spans="8:11" x14ac:dyDescent="0.25">
      <c r="H1166" s="183" t="s">
        <v>526</v>
      </c>
      <c r="I1166" s="183" t="s">
        <v>499</v>
      </c>
      <c r="J1166" s="183" t="s">
        <v>515</v>
      </c>
      <c r="K1166" s="183" t="s">
        <v>1702</v>
      </c>
    </row>
    <row r="1167" spans="8:11" x14ac:dyDescent="0.25">
      <c r="H1167" s="183" t="s">
        <v>526</v>
      </c>
      <c r="I1167" s="183" t="s">
        <v>499</v>
      </c>
      <c r="J1167" s="183" t="s">
        <v>519</v>
      </c>
      <c r="K1167" s="183" t="s">
        <v>1703</v>
      </c>
    </row>
    <row r="1168" spans="8:11" x14ac:dyDescent="0.25">
      <c r="H1168" s="183" t="s">
        <v>526</v>
      </c>
      <c r="I1168" s="183" t="s">
        <v>499</v>
      </c>
      <c r="J1168" s="183" t="s">
        <v>526</v>
      </c>
      <c r="K1168" s="183" t="s">
        <v>1704</v>
      </c>
    </row>
    <row r="1169" spans="8:11" x14ac:dyDescent="0.25">
      <c r="H1169" s="183" t="s">
        <v>526</v>
      </c>
      <c r="I1169" s="183" t="s">
        <v>499</v>
      </c>
      <c r="J1169" s="183" t="s">
        <v>530</v>
      </c>
      <c r="K1169" s="183" t="s">
        <v>1705</v>
      </c>
    </row>
    <row r="1170" spans="8:11" x14ac:dyDescent="0.25">
      <c r="H1170" s="183" t="s">
        <v>526</v>
      </c>
      <c r="I1170" s="183" t="s">
        <v>503</v>
      </c>
      <c r="J1170" s="183" t="s">
        <v>480</v>
      </c>
      <c r="K1170" s="183" t="s">
        <v>1706</v>
      </c>
    </row>
    <row r="1171" spans="8:11" x14ac:dyDescent="0.25">
      <c r="H1171" s="183" t="s">
        <v>526</v>
      </c>
      <c r="I1171" s="183" t="s">
        <v>503</v>
      </c>
      <c r="J1171" s="183" t="s">
        <v>483</v>
      </c>
      <c r="K1171" s="183" t="s">
        <v>1707</v>
      </c>
    </row>
    <row r="1172" spans="8:11" x14ac:dyDescent="0.25">
      <c r="H1172" s="183" t="s">
        <v>526</v>
      </c>
      <c r="I1172" s="183" t="s">
        <v>503</v>
      </c>
      <c r="J1172" s="183" t="s">
        <v>487</v>
      </c>
      <c r="K1172" s="183" t="s">
        <v>1708</v>
      </c>
    </row>
    <row r="1173" spans="8:11" x14ac:dyDescent="0.25">
      <c r="H1173" s="183" t="s">
        <v>526</v>
      </c>
      <c r="I1173" s="183" t="s">
        <v>503</v>
      </c>
      <c r="J1173" s="183" t="s">
        <v>491</v>
      </c>
      <c r="K1173" s="183" t="s">
        <v>750</v>
      </c>
    </row>
    <row r="1174" spans="8:11" x14ac:dyDescent="0.25">
      <c r="H1174" s="183" t="s">
        <v>526</v>
      </c>
      <c r="I1174" s="183" t="s">
        <v>503</v>
      </c>
      <c r="J1174" s="183" t="s">
        <v>495</v>
      </c>
      <c r="K1174" s="183" t="s">
        <v>1709</v>
      </c>
    </row>
    <row r="1175" spans="8:11" x14ac:dyDescent="0.25">
      <c r="H1175" s="183" t="s">
        <v>526</v>
      </c>
      <c r="I1175" s="183" t="s">
        <v>507</v>
      </c>
      <c r="J1175" s="183" t="s">
        <v>480</v>
      </c>
      <c r="K1175" s="183" t="s">
        <v>1710</v>
      </c>
    </row>
    <row r="1176" spans="8:11" x14ac:dyDescent="0.25">
      <c r="H1176" s="183" t="s">
        <v>526</v>
      </c>
      <c r="I1176" s="183" t="s">
        <v>507</v>
      </c>
      <c r="J1176" s="183" t="s">
        <v>483</v>
      </c>
      <c r="K1176" s="183" t="s">
        <v>1711</v>
      </c>
    </row>
    <row r="1177" spans="8:11" x14ac:dyDescent="0.25">
      <c r="H1177" s="183" t="s">
        <v>526</v>
      </c>
      <c r="I1177" s="183" t="s">
        <v>507</v>
      </c>
      <c r="J1177" s="183" t="s">
        <v>487</v>
      </c>
      <c r="K1177" s="183" t="s">
        <v>1712</v>
      </c>
    </row>
    <row r="1178" spans="8:11" x14ac:dyDescent="0.25">
      <c r="H1178" s="183" t="s">
        <v>526</v>
      </c>
      <c r="I1178" s="183" t="s">
        <v>507</v>
      </c>
      <c r="J1178" s="183" t="s">
        <v>491</v>
      </c>
      <c r="K1178" s="183" t="s">
        <v>1713</v>
      </c>
    </row>
    <row r="1179" spans="8:11" x14ac:dyDescent="0.25">
      <c r="H1179" s="183" t="s">
        <v>526</v>
      </c>
      <c r="I1179" s="183" t="s">
        <v>507</v>
      </c>
      <c r="J1179" s="183" t="s">
        <v>495</v>
      </c>
      <c r="K1179" s="183" t="s">
        <v>1714</v>
      </c>
    </row>
    <row r="1180" spans="8:11" x14ac:dyDescent="0.25">
      <c r="H1180" s="183" t="s">
        <v>526</v>
      </c>
      <c r="I1180" s="183" t="s">
        <v>507</v>
      </c>
      <c r="J1180" s="183" t="s">
        <v>499</v>
      </c>
      <c r="K1180" s="183" t="s">
        <v>1715</v>
      </c>
    </row>
    <row r="1181" spans="8:11" x14ac:dyDescent="0.25">
      <c r="H1181" s="183" t="s">
        <v>526</v>
      </c>
      <c r="I1181" s="183" t="s">
        <v>507</v>
      </c>
      <c r="J1181" s="183" t="s">
        <v>503</v>
      </c>
      <c r="K1181" s="183" t="s">
        <v>1716</v>
      </c>
    </row>
    <row r="1182" spans="8:11" x14ac:dyDescent="0.25">
      <c r="H1182" s="183" t="s">
        <v>526</v>
      </c>
      <c r="I1182" s="183" t="s">
        <v>507</v>
      </c>
      <c r="J1182" s="183" t="s">
        <v>507</v>
      </c>
      <c r="K1182" s="183" t="s">
        <v>1717</v>
      </c>
    </row>
    <row r="1183" spans="8:11" x14ac:dyDescent="0.25">
      <c r="H1183" s="183" t="s">
        <v>526</v>
      </c>
      <c r="I1183" s="183" t="s">
        <v>507</v>
      </c>
      <c r="J1183" s="183" t="s">
        <v>511</v>
      </c>
      <c r="K1183" s="183" t="s">
        <v>752</v>
      </c>
    </row>
    <row r="1184" spans="8:11" x14ac:dyDescent="0.25">
      <c r="H1184" s="183" t="s">
        <v>526</v>
      </c>
      <c r="I1184" s="183" t="s">
        <v>507</v>
      </c>
      <c r="J1184" s="183" t="s">
        <v>515</v>
      </c>
      <c r="K1184" s="183" t="s">
        <v>1718</v>
      </c>
    </row>
    <row r="1185" spans="8:11" x14ac:dyDescent="0.25">
      <c r="H1185" s="183" t="s">
        <v>526</v>
      </c>
      <c r="I1185" s="183" t="s">
        <v>507</v>
      </c>
      <c r="J1185" s="183" t="s">
        <v>519</v>
      </c>
      <c r="K1185" s="183" t="s">
        <v>1719</v>
      </c>
    </row>
    <row r="1186" spans="8:11" x14ac:dyDescent="0.25">
      <c r="H1186" s="183" t="s">
        <v>526</v>
      </c>
      <c r="I1186" s="183" t="s">
        <v>507</v>
      </c>
      <c r="J1186" s="183" t="s">
        <v>522</v>
      </c>
      <c r="K1186" s="183" t="s">
        <v>1720</v>
      </c>
    </row>
    <row r="1187" spans="8:11" x14ac:dyDescent="0.25">
      <c r="H1187" s="183" t="s">
        <v>526</v>
      </c>
      <c r="I1187" s="183" t="s">
        <v>507</v>
      </c>
      <c r="J1187" s="183" t="s">
        <v>526</v>
      </c>
      <c r="K1187" s="183" t="s">
        <v>1721</v>
      </c>
    </row>
    <row r="1188" spans="8:11" x14ac:dyDescent="0.25">
      <c r="H1188" s="183" t="s">
        <v>526</v>
      </c>
      <c r="I1188" s="183" t="s">
        <v>511</v>
      </c>
      <c r="J1188" s="183" t="s">
        <v>480</v>
      </c>
      <c r="K1188" s="183" t="s">
        <v>1722</v>
      </c>
    </row>
    <row r="1189" spans="8:11" x14ac:dyDescent="0.25">
      <c r="H1189" s="183" t="s">
        <v>526</v>
      </c>
      <c r="I1189" s="183" t="s">
        <v>511</v>
      </c>
      <c r="J1189" s="183" t="s">
        <v>483</v>
      </c>
      <c r="K1189" s="183" t="s">
        <v>1723</v>
      </c>
    </row>
    <row r="1190" spans="8:11" x14ac:dyDescent="0.25">
      <c r="H1190" s="183" t="s">
        <v>526</v>
      </c>
      <c r="I1190" s="183" t="s">
        <v>511</v>
      </c>
      <c r="J1190" s="183" t="s">
        <v>487</v>
      </c>
      <c r="K1190" s="183" t="s">
        <v>1724</v>
      </c>
    </row>
    <row r="1191" spans="8:11" x14ac:dyDescent="0.25">
      <c r="H1191" s="183" t="s">
        <v>526</v>
      </c>
      <c r="I1191" s="183" t="s">
        <v>511</v>
      </c>
      <c r="J1191" s="183" t="s">
        <v>491</v>
      </c>
      <c r="K1191" s="183" t="s">
        <v>1725</v>
      </c>
    </row>
    <row r="1192" spans="8:11" x14ac:dyDescent="0.25">
      <c r="H1192" s="183" t="s">
        <v>526</v>
      </c>
      <c r="I1192" s="183" t="s">
        <v>511</v>
      </c>
      <c r="J1192" s="183" t="s">
        <v>495</v>
      </c>
      <c r="K1192" s="183" t="s">
        <v>1726</v>
      </c>
    </row>
    <row r="1193" spans="8:11" x14ac:dyDescent="0.25">
      <c r="H1193" s="183" t="s">
        <v>526</v>
      </c>
      <c r="I1193" s="183" t="s">
        <v>511</v>
      </c>
      <c r="J1193" s="183" t="s">
        <v>499</v>
      </c>
      <c r="K1193" s="183" t="s">
        <v>1727</v>
      </c>
    </row>
    <row r="1194" spans="8:11" x14ac:dyDescent="0.25">
      <c r="H1194" s="183" t="s">
        <v>526</v>
      </c>
      <c r="I1194" s="183" t="s">
        <v>511</v>
      </c>
      <c r="J1194" s="183" t="s">
        <v>503</v>
      </c>
      <c r="K1194" s="183" t="s">
        <v>1728</v>
      </c>
    </row>
    <row r="1195" spans="8:11" x14ac:dyDescent="0.25">
      <c r="H1195" s="183" t="s">
        <v>526</v>
      </c>
      <c r="I1195" s="183" t="s">
        <v>511</v>
      </c>
      <c r="J1195" s="183" t="s">
        <v>507</v>
      </c>
      <c r="K1195" s="183" t="s">
        <v>1729</v>
      </c>
    </row>
    <row r="1196" spans="8:11" x14ac:dyDescent="0.25">
      <c r="H1196" s="183" t="s">
        <v>526</v>
      </c>
      <c r="I1196" s="183" t="s">
        <v>515</v>
      </c>
      <c r="J1196" s="183" t="s">
        <v>480</v>
      </c>
      <c r="K1196" s="183" t="s">
        <v>756</v>
      </c>
    </row>
    <row r="1197" spans="8:11" x14ac:dyDescent="0.25">
      <c r="H1197" s="183" t="s">
        <v>526</v>
      </c>
      <c r="I1197" s="183" t="s">
        <v>515</v>
      </c>
      <c r="J1197" s="183" t="s">
        <v>483</v>
      </c>
      <c r="K1197" s="183" t="s">
        <v>1730</v>
      </c>
    </row>
    <row r="1198" spans="8:11" x14ac:dyDescent="0.25">
      <c r="H1198" s="183" t="s">
        <v>526</v>
      </c>
      <c r="I1198" s="183" t="s">
        <v>515</v>
      </c>
      <c r="J1198" s="183" t="s">
        <v>487</v>
      </c>
      <c r="K1198" s="183" t="s">
        <v>1731</v>
      </c>
    </row>
    <row r="1199" spans="8:11" x14ac:dyDescent="0.25">
      <c r="H1199" s="183" t="s">
        <v>526</v>
      </c>
      <c r="I1199" s="183" t="s">
        <v>515</v>
      </c>
      <c r="J1199" s="183" t="s">
        <v>491</v>
      </c>
      <c r="K1199" s="183" t="s">
        <v>1732</v>
      </c>
    </row>
    <row r="1200" spans="8:11" x14ac:dyDescent="0.25">
      <c r="H1200" s="183" t="s">
        <v>526</v>
      </c>
      <c r="I1200" s="183" t="s">
        <v>515</v>
      </c>
      <c r="J1200" s="183" t="s">
        <v>495</v>
      </c>
      <c r="K1200" s="183" t="s">
        <v>1320</v>
      </c>
    </row>
    <row r="1201" spans="8:11" x14ac:dyDescent="0.25">
      <c r="H1201" s="183" t="s">
        <v>526</v>
      </c>
      <c r="I1201" s="183" t="s">
        <v>515</v>
      </c>
      <c r="J1201" s="183" t="s">
        <v>499</v>
      </c>
      <c r="K1201" s="183" t="s">
        <v>1733</v>
      </c>
    </row>
    <row r="1202" spans="8:11" x14ac:dyDescent="0.25">
      <c r="H1202" s="183" t="s">
        <v>526</v>
      </c>
      <c r="I1202" s="183" t="s">
        <v>515</v>
      </c>
      <c r="J1202" s="183" t="s">
        <v>503</v>
      </c>
      <c r="K1202" s="183" t="s">
        <v>1734</v>
      </c>
    </row>
    <row r="1203" spans="8:11" x14ac:dyDescent="0.25">
      <c r="H1203" s="183" t="s">
        <v>526</v>
      </c>
      <c r="I1203" s="183" t="s">
        <v>515</v>
      </c>
      <c r="J1203" s="183" t="s">
        <v>507</v>
      </c>
      <c r="K1203" s="183" t="s">
        <v>1735</v>
      </c>
    </row>
    <row r="1204" spans="8:11" x14ac:dyDescent="0.25">
      <c r="H1204" s="183" t="s">
        <v>526</v>
      </c>
      <c r="I1204" s="183" t="s">
        <v>519</v>
      </c>
      <c r="J1204" s="183" t="s">
        <v>480</v>
      </c>
      <c r="K1204" s="183" t="s">
        <v>1736</v>
      </c>
    </row>
    <row r="1205" spans="8:11" x14ac:dyDescent="0.25">
      <c r="H1205" s="183" t="s">
        <v>526</v>
      </c>
      <c r="I1205" s="183" t="s">
        <v>519</v>
      </c>
      <c r="J1205" s="183" t="s">
        <v>483</v>
      </c>
      <c r="K1205" s="183" t="s">
        <v>865</v>
      </c>
    </row>
    <row r="1206" spans="8:11" x14ac:dyDescent="0.25">
      <c r="H1206" s="183" t="s">
        <v>526</v>
      </c>
      <c r="I1206" s="183" t="s">
        <v>519</v>
      </c>
      <c r="J1206" s="183" t="s">
        <v>487</v>
      </c>
      <c r="K1206" s="183" t="s">
        <v>1737</v>
      </c>
    </row>
    <row r="1207" spans="8:11" x14ac:dyDescent="0.25">
      <c r="H1207" s="183" t="s">
        <v>526</v>
      </c>
      <c r="I1207" s="183" t="s">
        <v>519</v>
      </c>
      <c r="J1207" s="183" t="s">
        <v>491</v>
      </c>
      <c r="K1207" s="183" t="s">
        <v>1738</v>
      </c>
    </row>
    <row r="1208" spans="8:11" x14ac:dyDescent="0.25">
      <c r="H1208" s="183" t="s">
        <v>526</v>
      </c>
      <c r="I1208" s="183" t="s">
        <v>522</v>
      </c>
      <c r="J1208" s="183" t="s">
        <v>480</v>
      </c>
      <c r="K1208" s="183" t="s">
        <v>760</v>
      </c>
    </row>
    <row r="1209" spans="8:11" x14ac:dyDescent="0.25">
      <c r="H1209" s="183" t="s">
        <v>526</v>
      </c>
      <c r="I1209" s="183" t="s">
        <v>522</v>
      </c>
      <c r="J1209" s="183" t="s">
        <v>483</v>
      </c>
      <c r="K1209" s="183" t="s">
        <v>1739</v>
      </c>
    </row>
    <row r="1210" spans="8:11" x14ac:dyDescent="0.25">
      <c r="H1210" s="183" t="s">
        <v>526</v>
      </c>
      <c r="I1210" s="183" t="s">
        <v>522</v>
      </c>
      <c r="J1210" s="183" t="s">
        <v>487</v>
      </c>
      <c r="K1210" s="183" t="s">
        <v>1740</v>
      </c>
    </row>
    <row r="1211" spans="8:11" x14ac:dyDescent="0.25">
      <c r="H1211" s="183" t="s">
        <v>530</v>
      </c>
      <c r="I1211" s="183" t="s">
        <v>480</v>
      </c>
      <c r="J1211" s="183" t="s">
        <v>480</v>
      </c>
      <c r="K1211" s="183" t="s">
        <v>761</v>
      </c>
    </row>
    <row r="1212" spans="8:11" x14ac:dyDescent="0.25">
      <c r="H1212" s="183" t="s">
        <v>530</v>
      </c>
      <c r="I1212" s="183" t="s">
        <v>480</v>
      </c>
      <c r="J1212" s="183" t="s">
        <v>483</v>
      </c>
      <c r="K1212" s="183" t="s">
        <v>1741</v>
      </c>
    </row>
    <row r="1213" spans="8:11" x14ac:dyDescent="0.25">
      <c r="H1213" s="183" t="s">
        <v>530</v>
      </c>
      <c r="I1213" s="183" t="s">
        <v>480</v>
      </c>
      <c r="J1213" s="183" t="s">
        <v>487</v>
      </c>
      <c r="K1213" s="183" t="s">
        <v>1742</v>
      </c>
    </row>
    <row r="1214" spans="8:11" x14ac:dyDescent="0.25">
      <c r="H1214" s="183" t="s">
        <v>530</v>
      </c>
      <c r="I1214" s="183" t="s">
        <v>480</v>
      </c>
      <c r="J1214" s="183" t="s">
        <v>491</v>
      </c>
      <c r="K1214" s="183" t="s">
        <v>1743</v>
      </c>
    </row>
    <row r="1215" spans="8:11" x14ac:dyDescent="0.25">
      <c r="H1215" s="183" t="s">
        <v>530</v>
      </c>
      <c r="I1215" s="183" t="s">
        <v>480</v>
      </c>
      <c r="J1215" s="183" t="s">
        <v>495</v>
      </c>
      <c r="K1215" s="183" t="s">
        <v>1744</v>
      </c>
    </row>
    <row r="1216" spans="8:11" x14ac:dyDescent="0.25">
      <c r="H1216" s="183" t="s">
        <v>530</v>
      </c>
      <c r="I1216" s="183" t="s">
        <v>480</v>
      </c>
      <c r="J1216" s="183" t="s">
        <v>499</v>
      </c>
      <c r="K1216" s="183" t="s">
        <v>1745</v>
      </c>
    </row>
    <row r="1217" spans="8:11" x14ac:dyDescent="0.25">
      <c r="H1217" s="183" t="s">
        <v>530</v>
      </c>
      <c r="I1217" s="183" t="s">
        <v>480</v>
      </c>
      <c r="J1217" s="183" t="s">
        <v>503</v>
      </c>
      <c r="K1217" s="183" t="s">
        <v>1746</v>
      </c>
    </row>
    <row r="1218" spans="8:11" x14ac:dyDescent="0.25">
      <c r="H1218" s="183" t="s">
        <v>530</v>
      </c>
      <c r="I1218" s="183" t="s">
        <v>480</v>
      </c>
      <c r="J1218" s="183" t="s">
        <v>507</v>
      </c>
      <c r="K1218" s="183" t="s">
        <v>1747</v>
      </c>
    </row>
    <row r="1219" spans="8:11" x14ac:dyDescent="0.25">
      <c r="H1219" s="183" t="s">
        <v>530</v>
      </c>
      <c r="I1219" s="183" t="s">
        <v>480</v>
      </c>
      <c r="J1219" s="183" t="s">
        <v>511</v>
      </c>
      <c r="K1219" s="183" t="s">
        <v>1748</v>
      </c>
    </row>
    <row r="1220" spans="8:11" x14ac:dyDescent="0.25">
      <c r="H1220" s="183" t="s">
        <v>530</v>
      </c>
      <c r="I1220" s="183" t="s">
        <v>480</v>
      </c>
      <c r="J1220" s="183" t="s">
        <v>515</v>
      </c>
      <c r="K1220" s="183" t="s">
        <v>1749</v>
      </c>
    </row>
    <row r="1221" spans="8:11" x14ac:dyDescent="0.25">
      <c r="H1221" s="183" t="s">
        <v>530</v>
      </c>
      <c r="I1221" s="183" t="s">
        <v>480</v>
      </c>
      <c r="J1221" s="183" t="s">
        <v>519</v>
      </c>
      <c r="K1221" s="183" t="s">
        <v>1750</v>
      </c>
    </row>
    <row r="1222" spans="8:11" x14ac:dyDescent="0.25">
      <c r="H1222" s="183" t="s">
        <v>530</v>
      </c>
      <c r="I1222" s="183" t="s">
        <v>480</v>
      </c>
      <c r="J1222" s="183" t="s">
        <v>522</v>
      </c>
      <c r="K1222" s="183" t="s">
        <v>1751</v>
      </c>
    </row>
    <row r="1223" spans="8:11" x14ac:dyDescent="0.25">
      <c r="H1223" s="183" t="s">
        <v>530</v>
      </c>
      <c r="I1223" s="183" t="s">
        <v>480</v>
      </c>
      <c r="J1223" s="183" t="s">
        <v>526</v>
      </c>
      <c r="K1223" s="183" t="s">
        <v>1752</v>
      </c>
    </row>
    <row r="1224" spans="8:11" x14ac:dyDescent="0.25">
      <c r="H1224" s="183" t="s">
        <v>530</v>
      </c>
      <c r="I1224" s="183" t="s">
        <v>480</v>
      </c>
      <c r="J1224" s="183" t="s">
        <v>530</v>
      </c>
      <c r="K1224" s="183" t="s">
        <v>670</v>
      </c>
    </row>
    <row r="1225" spans="8:11" x14ac:dyDescent="0.25">
      <c r="H1225" s="183" t="s">
        <v>530</v>
      </c>
      <c r="I1225" s="183" t="s">
        <v>480</v>
      </c>
      <c r="J1225" s="183" t="s">
        <v>534</v>
      </c>
      <c r="K1225" s="183" t="s">
        <v>1753</v>
      </c>
    </row>
    <row r="1226" spans="8:11" x14ac:dyDescent="0.25">
      <c r="H1226" s="183" t="s">
        <v>530</v>
      </c>
      <c r="I1226" s="183" t="s">
        <v>480</v>
      </c>
      <c r="J1226" s="183" t="s">
        <v>538</v>
      </c>
      <c r="K1226" s="183" t="s">
        <v>1754</v>
      </c>
    </row>
    <row r="1227" spans="8:11" x14ac:dyDescent="0.25">
      <c r="H1227" s="183" t="s">
        <v>530</v>
      </c>
      <c r="I1227" s="183" t="s">
        <v>480</v>
      </c>
      <c r="J1227" s="183" t="s">
        <v>542</v>
      </c>
      <c r="K1227" s="183" t="s">
        <v>1755</v>
      </c>
    </row>
    <row r="1228" spans="8:11" x14ac:dyDescent="0.25">
      <c r="H1228" s="183" t="s">
        <v>530</v>
      </c>
      <c r="I1228" s="183" t="s">
        <v>480</v>
      </c>
      <c r="J1228" s="183" t="s">
        <v>546</v>
      </c>
      <c r="K1228" s="183" t="s">
        <v>1756</v>
      </c>
    </row>
    <row r="1229" spans="8:11" x14ac:dyDescent="0.25">
      <c r="H1229" s="183" t="s">
        <v>530</v>
      </c>
      <c r="I1229" s="183" t="s">
        <v>480</v>
      </c>
      <c r="J1229" s="183" t="s">
        <v>550</v>
      </c>
      <c r="K1229" s="183" t="s">
        <v>1757</v>
      </c>
    </row>
    <row r="1230" spans="8:11" x14ac:dyDescent="0.25">
      <c r="H1230" s="183" t="s">
        <v>530</v>
      </c>
      <c r="I1230" s="183" t="s">
        <v>480</v>
      </c>
      <c r="J1230" s="183" t="s">
        <v>554</v>
      </c>
      <c r="K1230" s="183" t="s">
        <v>1758</v>
      </c>
    </row>
    <row r="1231" spans="8:11" x14ac:dyDescent="0.25">
      <c r="H1231" s="183" t="s">
        <v>530</v>
      </c>
      <c r="I1231" s="183" t="s">
        <v>483</v>
      </c>
      <c r="J1231" s="183" t="s">
        <v>480</v>
      </c>
      <c r="K1231" s="183" t="s">
        <v>763</v>
      </c>
    </row>
    <row r="1232" spans="8:11" x14ac:dyDescent="0.25">
      <c r="H1232" s="183" t="s">
        <v>530</v>
      </c>
      <c r="I1232" s="183" t="s">
        <v>483</v>
      </c>
      <c r="J1232" s="183" t="s">
        <v>483</v>
      </c>
      <c r="K1232" s="183" t="s">
        <v>1759</v>
      </c>
    </row>
    <row r="1233" spans="8:11" x14ac:dyDescent="0.25">
      <c r="H1233" s="183" t="s">
        <v>530</v>
      </c>
      <c r="I1233" s="183" t="s">
        <v>483</v>
      </c>
      <c r="J1233" s="183" t="s">
        <v>487</v>
      </c>
      <c r="K1233" s="183" t="s">
        <v>1760</v>
      </c>
    </row>
    <row r="1234" spans="8:11" x14ac:dyDescent="0.25">
      <c r="H1234" s="183" t="s">
        <v>530</v>
      </c>
      <c r="I1234" s="183" t="s">
        <v>483</v>
      </c>
      <c r="J1234" s="183" t="s">
        <v>491</v>
      </c>
      <c r="K1234" s="183" t="s">
        <v>1761</v>
      </c>
    </row>
    <row r="1235" spans="8:11" x14ac:dyDescent="0.25">
      <c r="H1235" s="183" t="s">
        <v>530</v>
      </c>
      <c r="I1235" s="183" t="s">
        <v>483</v>
      </c>
      <c r="J1235" s="183" t="s">
        <v>495</v>
      </c>
      <c r="K1235" s="183" t="s">
        <v>1762</v>
      </c>
    </row>
    <row r="1236" spans="8:11" x14ac:dyDescent="0.25">
      <c r="H1236" s="183" t="s">
        <v>530</v>
      </c>
      <c r="I1236" s="183" t="s">
        <v>483</v>
      </c>
      <c r="J1236" s="183" t="s">
        <v>499</v>
      </c>
      <c r="K1236" s="183" t="s">
        <v>1540</v>
      </c>
    </row>
    <row r="1237" spans="8:11" x14ac:dyDescent="0.25">
      <c r="H1237" s="183" t="s">
        <v>530</v>
      </c>
      <c r="I1237" s="183" t="s">
        <v>487</v>
      </c>
      <c r="J1237" s="183" t="s">
        <v>480</v>
      </c>
      <c r="K1237" s="183" t="s">
        <v>531</v>
      </c>
    </row>
    <row r="1238" spans="8:11" x14ac:dyDescent="0.25">
      <c r="H1238" s="183" t="s">
        <v>530</v>
      </c>
      <c r="I1238" s="183" t="s">
        <v>487</v>
      </c>
      <c r="J1238" s="183" t="s">
        <v>483</v>
      </c>
      <c r="K1238" s="183" t="s">
        <v>1763</v>
      </c>
    </row>
    <row r="1239" spans="8:11" x14ac:dyDescent="0.25">
      <c r="H1239" s="183" t="s">
        <v>530</v>
      </c>
      <c r="I1239" s="183" t="s">
        <v>487</v>
      </c>
      <c r="J1239" s="183" t="s">
        <v>487</v>
      </c>
      <c r="K1239" s="183" t="s">
        <v>1764</v>
      </c>
    </row>
    <row r="1240" spans="8:11" x14ac:dyDescent="0.25">
      <c r="H1240" s="183" t="s">
        <v>530</v>
      </c>
      <c r="I1240" s="183" t="s">
        <v>487</v>
      </c>
      <c r="J1240" s="183" t="s">
        <v>491</v>
      </c>
      <c r="K1240" s="183" t="s">
        <v>1765</v>
      </c>
    </row>
    <row r="1241" spans="8:11" x14ac:dyDescent="0.25">
      <c r="H1241" s="183" t="s">
        <v>530</v>
      </c>
      <c r="I1241" s="183" t="s">
        <v>487</v>
      </c>
      <c r="J1241" s="183" t="s">
        <v>495</v>
      </c>
      <c r="K1241" s="183" t="s">
        <v>1766</v>
      </c>
    </row>
    <row r="1242" spans="8:11" x14ac:dyDescent="0.25">
      <c r="H1242" s="183" t="s">
        <v>530</v>
      </c>
      <c r="I1242" s="183" t="s">
        <v>487</v>
      </c>
      <c r="J1242" s="183" t="s">
        <v>499</v>
      </c>
      <c r="K1242" s="183" t="s">
        <v>1767</v>
      </c>
    </row>
    <row r="1243" spans="8:11" x14ac:dyDescent="0.25">
      <c r="H1243" s="183" t="s">
        <v>530</v>
      </c>
      <c r="I1243" s="183" t="s">
        <v>487</v>
      </c>
      <c r="J1243" s="183" t="s">
        <v>503</v>
      </c>
      <c r="K1243" s="183" t="s">
        <v>1768</v>
      </c>
    </row>
    <row r="1244" spans="8:11" x14ac:dyDescent="0.25">
      <c r="H1244" s="183" t="s">
        <v>530</v>
      </c>
      <c r="I1244" s="183" t="s">
        <v>487</v>
      </c>
      <c r="J1244" s="183" t="s">
        <v>507</v>
      </c>
      <c r="K1244" s="183" t="s">
        <v>1769</v>
      </c>
    </row>
    <row r="1245" spans="8:11" x14ac:dyDescent="0.25">
      <c r="H1245" s="183" t="s">
        <v>530</v>
      </c>
      <c r="I1245" s="183" t="s">
        <v>487</v>
      </c>
      <c r="J1245" s="183" t="s">
        <v>511</v>
      </c>
      <c r="K1245" s="183" t="s">
        <v>1770</v>
      </c>
    </row>
    <row r="1246" spans="8:11" x14ac:dyDescent="0.25">
      <c r="H1246" s="183" t="s">
        <v>530</v>
      </c>
      <c r="I1246" s="183" t="s">
        <v>487</v>
      </c>
      <c r="J1246" s="183" t="s">
        <v>515</v>
      </c>
      <c r="K1246" s="183" t="s">
        <v>1541</v>
      </c>
    </row>
    <row r="1247" spans="8:11" x14ac:dyDescent="0.25">
      <c r="H1247" s="183" t="s">
        <v>530</v>
      </c>
      <c r="I1247" s="183" t="s">
        <v>487</v>
      </c>
      <c r="J1247" s="183" t="s">
        <v>519</v>
      </c>
      <c r="K1247" s="183" t="s">
        <v>1709</v>
      </c>
    </row>
    <row r="1248" spans="8:11" x14ac:dyDescent="0.25">
      <c r="H1248" s="183" t="s">
        <v>530</v>
      </c>
      <c r="I1248" s="183" t="s">
        <v>487</v>
      </c>
      <c r="J1248" s="183" t="s">
        <v>522</v>
      </c>
      <c r="K1248" s="183" t="s">
        <v>1771</v>
      </c>
    </row>
    <row r="1249" spans="8:11" x14ac:dyDescent="0.25">
      <c r="H1249" s="183" t="s">
        <v>534</v>
      </c>
      <c r="I1249" s="183" t="s">
        <v>480</v>
      </c>
      <c r="J1249" s="183" t="s">
        <v>480</v>
      </c>
      <c r="K1249" s="183" t="s">
        <v>535</v>
      </c>
    </row>
    <row r="1250" spans="8:11" x14ac:dyDescent="0.25">
      <c r="H1250" s="183" t="s">
        <v>534</v>
      </c>
      <c r="I1250" s="183" t="s">
        <v>480</v>
      </c>
      <c r="J1250" s="183" t="s">
        <v>483</v>
      </c>
      <c r="K1250" s="183" t="s">
        <v>1772</v>
      </c>
    </row>
    <row r="1251" spans="8:11" x14ac:dyDescent="0.25">
      <c r="H1251" s="183" t="s">
        <v>534</v>
      </c>
      <c r="I1251" s="183" t="s">
        <v>480</v>
      </c>
      <c r="J1251" s="183" t="s">
        <v>487</v>
      </c>
      <c r="K1251" s="183" t="s">
        <v>1773</v>
      </c>
    </row>
    <row r="1252" spans="8:11" x14ac:dyDescent="0.25">
      <c r="H1252" s="183" t="s">
        <v>534</v>
      </c>
      <c r="I1252" s="183" t="s">
        <v>480</v>
      </c>
      <c r="J1252" s="183" t="s">
        <v>491</v>
      </c>
      <c r="K1252" s="183" t="s">
        <v>1774</v>
      </c>
    </row>
    <row r="1253" spans="8:11" x14ac:dyDescent="0.25">
      <c r="H1253" s="183" t="s">
        <v>534</v>
      </c>
      <c r="I1253" s="183" t="s">
        <v>480</v>
      </c>
      <c r="J1253" s="183" t="s">
        <v>495</v>
      </c>
      <c r="K1253" s="183" t="s">
        <v>1775</v>
      </c>
    </row>
    <row r="1254" spans="8:11" x14ac:dyDescent="0.25">
      <c r="H1254" s="183" t="s">
        <v>534</v>
      </c>
      <c r="I1254" s="183" t="s">
        <v>480</v>
      </c>
      <c r="J1254" s="183" t="s">
        <v>499</v>
      </c>
      <c r="K1254" s="183" t="s">
        <v>1776</v>
      </c>
    </row>
    <row r="1255" spans="8:11" x14ac:dyDescent="0.25">
      <c r="H1255" s="183" t="s">
        <v>534</v>
      </c>
      <c r="I1255" s="183" t="s">
        <v>480</v>
      </c>
      <c r="J1255" s="183" t="s">
        <v>503</v>
      </c>
      <c r="K1255" s="183" t="s">
        <v>1777</v>
      </c>
    </row>
    <row r="1256" spans="8:11" x14ac:dyDescent="0.25">
      <c r="H1256" s="183" t="s">
        <v>534</v>
      </c>
      <c r="I1256" s="183" t="s">
        <v>480</v>
      </c>
      <c r="J1256" s="183" t="s">
        <v>507</v>
      </c>
      <c r="K1256" s="183" t="s">
        <v>1778</v>
      </c>
    </row>
    <row r="1257" spans="8:11" x14ac:dyDescent="0.25">
      <c r="H1257" s="183" t="s">
        <v>534</v>
      </c>
      <c r="I1257" s="183" t="s">
        <v>480</v>
      </c>
      <c r="J1257" s="183" t="s">
        <v>511</v>
      </c>
      <c r="K1257" s="183" t="s">
        <v>1779</v>
      </c>
    </row>
    <row r="1258" spans="8:11" x14ac:dyDescent="0.25">
      <c r="H1258" s="183" t="s">
        <v>534</v>
      </c>
      <c r="I1258" s="183" t="s">
        <v>480</v>
      </c>
      <c r="J1258" s="183" t="s">
        <v>515</v>
      </c>
      <c r="K1258" s="183" t="s">
        <v>1598</v>
      </c>
    </row>
    <row r="1259" spans="8:11" x14ac:dyDescent="0.25">
      <c r="H1259" s="183" t="s">
        <v>534</v>
      </c>
      <c r="I1259" s="183" t="s">
        <v>480</v>
      </c>
      <c r="J1259" s="183" t="s">
        <v>519</v>
      </c>
      <c r="K1259" s="183" t="s">
        <v>1780</v>
      </c>
    </row>
    <row r="1260" spans="8:11" x14ac:dyDescent="0.25">
      <c r="H1260" s="183" t="s">
        <v>534</v>
      </c>
      <c r="I1260" s="183" t="s">
        <v>480</v>
      </c>
      <c r="J1260" s="183" t="s">
        <v>522</v>
      </c>
      <c r="K1260" s="183" t="s">
        <v>695</v>
      </c>
    </row>
    <row r="1261" spans="8:11" x14ac:dyDescent="0.25">
      <c r="H1261" s="183" t="s">
        <v>534</v>
      </c>
      <c r="I1261" s="183" t="s">
        <v>480</v>
      </c>
      <c r="J1261" s="183" t="s">
        <v>526</v>
      </c>
      <c r="K1261" s="183" t="s">
        <v>1781</v>
      </c>
    </row>
    <row r="1262" spans="8:11" x14ac:dyDescent="0.25">
      <c r="H1262" s="183" t="s">
        <v>534</v>
      </c>
      <c r="I1262" s="183" t="s">
        <v>480</v>
      </c>
      <c r="J1262" s="183" t="s">
        <v>530</v>
      </c>
      <c r="K1262" s="183" t="s">
        <v>1782</v>
      </c>
    </row>
    <row r="1263" spans="8:11" x14ac:dyDescent="0.25">
      <c r="H1263" s="183" t="s">
        <v>534</v>
      </c>
      <c r="I1263" s="183" t="s">
        <v>480</v>
      </c>
      <c r="J1263" s="183" t="s">
        <v>534</v>
      </c>
      <c r="K1263" s="183" t="s">
        <v>1745</v>
      </c>
    </row>
    <row r="1264" spans="8:11" x14ac:dyDescent="0.25">
      <c r="H1264" s="183" t="s">
        <v>534</v>
      </c>
      <c r="I1264" s="183" t="s">
        <v>480</v>
      </c>
      <c r="J1264" s="183" t="s">
        <v>538</v>
      </c>
      <c r="K1264" s="183" t="s">
        <v>1783</v>
      </c>
    </row>
    <row r="1265" spans="8:11" x14ac:dyDescent="0.25">
      <c r="H1265" s="183" t="s">
        <v>534</v>
      </c>
      <c r="I1265" s="183" t="s">
        <v>480</v>
      </c>
      <c r="J1265" s="183" t="s">
        <v>542</v>
      </c>
      <c r="K1265" s="183" t="s">
        <v>1784</v>
      </c>
    </row>
    <row r="1266" spans="8:11" x14ac:dyDescent="0.25">
      <c r="H1266" s="183" t="s">
        <v>534</v>
      </c>
      <c r="I1266" s="183" t="s">
        <v>480</v>
      </c>
      <c r="J1266" s="183" t="s">
        <v>546</v>
      </c>
      <c r="K1266" s="183" t="s">
        <v>1785</v>
      </c>
    </row>
    <row r="1267" spans="8:11" x14ac:dyDescent="0.25">
      <c r="H1267" s="183" t="s">
        <v>534</v>
      </c>
      <c r="I1267" s="183" t="s">
        <v>480</v>
      </c>
      <c r="J1267" s="183" t="s">
        <v>550</v>
      </c>
      <c r="K1267" s="183" t="s">
        <v>1786</v>
      </c>
    </row>
    <row r="1268" spans="8:11" x14ac:dyDescent="0.25">
      <c r="H1268" s="183" t="s">
        <v>534</v>
      </c>
      <c r="I1268" s="183" t="s">
        <v>480</v>
      </c>
      <c r="J1268" s="183" t="s">
        <v>554</v>
      </c>
      <c r="K1268" s="183" t="s">
        <v>1787</v>
      </c>
    </row>
    <row r="1269" spans="8:11" x14ac:dyDescent="0.25">
      <c r="H1269" s="183" t="s">
        <v>534</v>
      </c>
      <c r="I1269" s="183" t="s">
        <v>480</v>
      </c>
      <c r="J1269" s="183" t="s">
        <v>558</v>
      </c>
      <c r="K1269" s="183" t="s">
        <v>1788</v>
      </c>
    </row>
    <row r="1270" spans="8:11" x14ac:dyDescent="0.25">
      <c r="H1270" s="183" t="s">
        <v>534</v>
      </c>
      <c r="I1270" s="183" t="s">
        <v>480</v>
      </c>
      <c r="J1270" s="183" t="s">
        <v>562</v>
      </c>
      <c r="K1270" s="183" t="s">
        <v>1006</v>
      </c>
    </row>
    <row r="1271" spans="8:11" x14ac:dyDescent="0.25">
      <c r="H1271" s="183" t="s">
        <v>534</v>
      </c>
      <c r="I1271" s="183" t="s">
        <v>480</v>
      </c>
      <c r="J1271" s="183" t="s">
        <v>566</v>
      </c>
      <c r="K1271" s="183" t="s">
        <v>1789</v>
      </c>
    </row>
    <row r="1272" spans="8:11" x14ac:dyDescent="0.25">
      <c r="H1272" s="183" t="s">
        <v>534</v>
      </c>
      <c r="I1272" s="183" t="s">
        <v>480</v>
      </c>
      <c r="J1272" s="183" t="s">
        <v>570</v>
      </c>
      <c r="K1272" s="183" t="s">
        <v>1790</v>
      </c>
    </row>
    <row r="1273" spans="8:11" x14ac:dyDescent="0.25">
      <c r="H1273" s="183" t="s">
        <v>534</v>
      </c>
      <c r="I1273" s="183" t="s">
        <v>480</v>
      </c>
      <c r="J1273" s="183" t="s">
        <v>574</v>
      </c>
      <c r="K1273" s="183" t="s">
        <v>1791</v>
      </c>
    </row>
    <row r="1274" spans="8:11" x14ac:dyDescent="0.25">
      <c r="H1274" s="183" t="s">
        <v>534</v>
      </c>
      <c r="I1274" s="183" t="s">
        <v>480</v>
      </c>
      <c r="J1274" s="183" t="s">
        <v>1022</v>
      </c>
      <c r="K1274" s="183" t="s">
        <v>1792</v>
      </c>
    </row>
    <row r="1275" spans="8:11" x14ac:dyDescent="0.25">
      <c r="H1275" s="183" t="s">
        <v>534</v>
      </c>
      <c r="I1275" s="183" t="s">
        <v>480</v>
      </c>
      <c r="J1275" s="183" t="s">
        <v>1024</v>
      </c>
      <c r="K1275" s="183" t="s">
        <v>1793</v>
      </c>
    </row>
    <row r="1276" spans="8:11" x14ac:dyDescent="0.25">
      <c r="H1276" s="183" t="s">
        <v>534</v>
      </c>
      <c r="I1276" s="183" t="s">
        <v>480</v>
      </c>
      <c r="J1276" s="183" t="s">
        <v>1026</v>
      </c>
      <c r="K1276" s="183" t="s">
        <v>1794</v>
      </c>
    </row>
    <row r="1277" spans="8:11" x14ac:dyDescent="0.25">
      <c r="H1277" s="183" t="s">
        <v>534</v>
      </c>
      <c r="I1277" s="183" t="s">
        <v>480</v>
      </c>
      <c r="J1277" s="183" t="s">
        <v>1028</v>
      </c>
      <c r="K1277" s="183" t="s">
        <v>1795</v>
      </c>
    </row>
    <row r="1278" spans="8:11" x14ac:dyDescent="0.25">
      <c r="H1278" s="183" t="s">
        <v>534</v>
      </c>
      <c r="I1278" s="183" t="s">
        <v>480</v>
      </c>
      <c r="J1278" s="183" t="s">
        <v>1584</v>
      </c>
      <c r="K1278" s="183" t="s">
        <v>1796</v>
      </c>
    </row>
    <row r="1279" spans="8:11" x14ac:dyDescent="0.25">
      <c r="H1279" s="183" t="s">
        <v>534</v>
      </c>
      <c r="I1279" s="183" t="s">
        <v>480</v>
      </c>
      <c r="J1279" s="183" t="s">
        <v>1639</v>
      </c>
      <c r="K1279" s="183" t="s">
        <v>1451</v>
      </c>
    </row>
    <row r="1280" spans="8:11" x14ac:dyDescent="0.25">
      <c r="H1280" s="183" t="s">
        <v>534</v>
      </c>
      <c r="I1280" s="183" t="s">
        <v>480</v>
      </c>
      <c r="J1280" s="183" t="s">
        <v>1586</v>
      </c>
      <c r="K1280" s="183" t="s">
        <v>1797</v>
      </c>
    </row>
    <row r="1281" spans="8:11" x14ac:dyDescent="0.25">
      <c r="H1281" s="183" t="s">
        <v>534</v>
      </c>
      <c r="I1281" s="183" t="s">
        <v>480</v>
      </c>
      <c r="J1281" s="183" t="s">
        <v>1588</v>
      </c>
      <c r="K1281" s="183" t="s">
        <v>1798</v>
      </c>
    </row>
    <row r="1282" spans="8:11" x14ac:dyDescent="0.25">
      <c r="H1282" s="183" t="s">
        <v>534</v>
      </c>
      <c r="I1282" s="183" t="s">
        <v>480</v>
      </c>
      <c r="J1282" s="183" t="s">
        <v>1590</v>
      </c>
      <c r="K1282" s="183" t="s">
        <v>779</v>
      </c>
    </row>
    <row r="1283" spans="8:11" x14ac:dyDescent="0.25">
      <c r="H1283" s="183" t="s">
        <v>534</v>
      </c>
      <c r="I1283" s="183" t="s">
        <v>480</v>
      </c>
      <c r="J1283" s="183" t="s">
        <v>1592</v>
      </c>
      <c r="K1283" s="183" t="s">
        <v>1799</v>
      </c>
    </row>
    <row r="1284" spans="8:11" x14ac:dyDescent="0.25">
      <c r="H1284" s="183" t="s">
        <v>534</v>
      </c>
      <c r="I1284" s="183" t="s">
        <v>480</v>
      </c>
      <c r="J1284" s="183" t="s">
        <v>1594</v>
      </c>
      <c r="K1284" s="183" t="s">
        <v>651</v>
      </c>
    </row>
    <row r="1285" spans="8:11" x14ac:dyDescent="0.25">
      <c r="H1285" s="183" t="s">
        <v>534</v>
      </c>
      <c r="I1285" s="183" t="s">
        <v>480</v>
      </c>
      <c r="J1285" s="183" t="s">
        <v>1800</v>
      </c>
      <c r="K1285" s="183" t="s">
        <v>1801</v>
      </c>
    </row>
    <row r="1286" spans="8:11" x14ac:dyDescent="0.25">
      <c r="H1286" s="183" t="s">
        <v>534</v>
      </c>
      <c r="I1286" s="183" t="s">
        <v>480</v>
      </c>
      <c r="J1286" s="183" t="s">
        <v>1802</v>
      </c>
      <c r="K1286" s="183" t="s">
        <v>1803</v>
      </c>
    </row>
    <row r="1287" spans="8:11" x14ac:dyDescent="0.25">
      <c r="H1287" s="183" t="s">
        <v>534</v>
      </c>
      <c r="I1287" s="183" t="s">
        <v>480</v>
      </c>
      <c r="J1287" s="183" t="s">
        <v>1804</v>
      </c>
      <c r="K1287" s="183" t="s">
        <v>670</v>
      </c>
    </row>
    <row r="1288" spans="8:11" x14ac:dyDescent="0.25">
      <c r="H1288" s="183" t="s">
        <v>534</v>
      </c>
      <c r="I1288" s="183" t="s">
        <v>480</v>
      </c>
      <c r="J1288" s="183" t="s">
        <v>1805</v>
      </c>
      <c r="K1288" s="183" t="s">
        <v>1806</v>
      </c>
    </row>
    <row r="1289" spans="8:11" x14ac:dyDescent="0.25">
      <c r="H1289" s="183" t="s">
        <v>534</v>
      </c>
      <c r="I1289" s="183" t="s">
        <v>480</v>
      </c>
      <c r="J1289" s="183" t="s">
        <v>1807</v>
      </c>
      <c r="K1289" s="183" t="s">
        <v>1808</v>
      </c>
    </row>
    <row r="1290" spans="8:11" x14ac:dyDescent="0.25">
      <c r="H1290" s="183" t="s">
        <v>534</v>
      </c>
      <c r="I1290" s="183" t="s">
        <v>480</v>
      </c>
      <c r="J1290" s="183" t="s">
        <v>1809</v>
      </c>
      <c r="K1290" s="183" t="s">
        <v>1810</v>
      </c>
    </row>
    <row r="1291" spans="8:11" x14ac:dyDescent="0.25">
      <c r="H1291" s="183" t="s">
        <v>534</v>
      </c>
      <c r="I1291" s="183" t="s">
        <v>480</v>
      </c>
      <c r="J1291" s="183" t="s">
        <v>1811</v>
      </c>
      <c r="K1291" s="183" t="s">
        <v>1812</v>
      </c>
    </row>
    <row r="1292" spans="8:11" x14ac:dyDescent="0.25">
      <c r="H1292" s="183" t="s">
        <v>534</v>
      </c>
      <c r="I1292" s="183" t="s">
        <v>483</v>
      </c>
      <c r="J1292" s="183" t="s">
        <v>480</v>
      </c>
      <c r="K1292" s="183" t="s">
        <v>766</v>
      </c>
    </row>
    <row r="1293" spans="8:11" x14ac:dyDescent="0.25">
      <c r="H1293" s="183" t="s">
        <v>534</v>
      </c>
      <c r="I1293" s="183" t="s">
        <v>483</v>
      </c>
      <c r="J1293" s="183" t="s">
        <v>483</v>
      </c>
      <c r="K1293" s="183" t="s">
        <v>1813</v>
      </c>
    </row>
    <row r="1294" spans="8:11" x14ac:dyDescent="0.25">
      <c r="H1294" s="183" t="s">
        <v>534</v>
      </c>
      <c r="I1294" s="183" t="s">
        <v>483</v>
      </c>
      <c r="J1294" s="183" t="s">
        <v>487</v>
      </c>
      <c r="K1294" s="183" t="s">
        <v>1814</v>
      </c>
    </row>
    <row r="1295" spans="8:11" x14ac:dyDescent="0.25">
      <c r="H1295" s="183" t="s">
        <v>534</v>
      </c>
      <c r="I1295" s="183" t="s">
        <v>483</v>
      </c>
      <c r="J1295" s="183" t="s">
        <v>491</v>
      </c>
      <c r="K1295" s="183" t="s">
        <v>1815</v>
      </c>
    </row>
    <row r="1296" spans="8:11" x14ac:dyDescent="0.25">
      <c r="H1296" s="183" t="s">
        <v>534</v>
      </c>
      <c r="I1296" s="183" t="s">
        <v>483</v>
      </c>
      <c r="J1296" s="183" t="s">
        <v>495</v>
      </c>
      <c r="K1296" s="183" t="s">
        <v>1816</v>
      </c>
    </row>
    <row r="1297" spans="8:11" x14ac:dyDescent="0.25">
      <c r="H1297" s="183" t="s">
        <v>534</v>
      </c>
      <c r="I1297" s="183" t="s">
        <v>487</v>
      </c>
      <c r="J1297" s="183" t="s">
        <v>480</v>
      </c>
      <c r="K1297" s="183" t="s">
        <v>768</v>
      </c>
    </row>
    <row r="1298" spans="8:11" x14ac:dyDescent="0.25">
      <c r="H1298" s="183" t="s">
        <v>534</v>
      </c>
      <c r="I1298" s="183" t="s">
        <v>487</v>
      </c>
      <c r="J1298" s="183" t="s">
        <v>483</v>
      </c>
      <c r="K1298" s="183" t="s">
        <v>1817</v>
      </c>
    </row>
    <row r="1299" spans="8:11" x14ac:dyDescent="0.25">
      <c r="H1299" s="183" t="s">
        <v>534</v>
      </c>
      <c r="I1299" s="183" t="s">
        <v>487</v>
      </c>
      <c r="J1299" s="183" t="s">
        <v>487</v>
      </c>
      <c r="K1299" s="183" t="s">
        <v>1818</v>
      </c>
    </row>
    <row r="1300" spans="8:11" x14ac:dyDescent="0.25">
      <c r="H1300" s="183" t="s">
        <v>534</v>
      </c>
      <c r="I1300" s="183" t="s">
        <v>487</v>
      </c>
      <c r="J1300" s="183" t="s">
        <v>491</v>
      </c>
      <c r="K1300" s="183" t="s">
        <v>1819</v>
      </c>
    </row>
    <row r="1301" spans="8:11" x14ac:dyDescent="0.25">
      <c r="H1301" s="183" t="s">
        <v>534</v>
      </c>
      <c r="I1301" s="183" t="s">
        <v>487</v>
      </c>
      <c r="J1301" s="183" t="s">
        <v>495</v>
      </c>
      <c r="K1301" s="183" t="s">
        <v>1820</v>
      </c>
    </row>
    <row r="1302" spans="8:11" x14ac:dyDescent="0.25">
      <c r="H1302" s="183" t="s">
        <v>534</v>
      </c>
      <c r="I1302" s="183" t="s">
        <v>491</v>
      </c>
      <c r="J1302" s="183" t="s">
        <v>480</v>
      </c>
      <c r="K1302" s="183" t="s">
        <v>770</v>
      </c>
    </row>
    <row r="1303" spans="8:11" x14ac:dyDescent="0.25">
      <c r="H1303" s="183" t="s">
        <v>534</v>
      </c>
      <c r="I1303" s="183" t="s">
        <v>491</v>
      </c>
      <c r="J1303" s="183" t="s">
        <v>483</v>
      </c>
      <c r="K1303" s="183" t="s">
        <v>1821</v>
      </c>
    </row>
    <row r="1304" spans="8:11" x14ac:dyDescent="0.25">
      <c r="H1304" s="183" t="s">
        <v>534</v>
      </c>
      <c r="I1304" s="183" t="s">
        <v>491</v>
      </c>
      <c r="J1304" s="183" t="s">
        <v>487</v>
      </c>
      <c r="K1304" s="183" t="s">
        <v>1822</v>
      </c>
    </row>
    <row r="1305" spans="8:11" x14ac:dyDescent="0.25">
      <c r="H1305" s="183" t="s">
        <v>534</v>
      </c>
      <c r="I1305" s="183" t="s">
        <v>491</v>
      </c>
      <c r="J1305" s="183" t="s">
        <v>491</v>
      </c>
      <c r="K1305" s="183" t="s">
        <v>1823</v>
      </c>
    </row>
    <row r="1306" spans="8:11" x14ac:dyDescent="0.25">
      <c r="H1306" s="183" t="s">
        <v>534</v>
      </c>
      <c r="I1306" s="183" t="s">
        <v>491</v>
      </c>
      <c r="J1306" s="183" t="s">
        <v>495</v>
      </c>
      <c r="K1306" s="183" t="s">
        <v>1824</v>
      </c>
    </row>
    <row r="1307" spans="8:11" x14ac:dyDescent="0.25">
      <c r="H1307" s="183" t="s">
        <v>534</v>
      </c>
      <c r="I1307" s="183" t="s">
        <v>491</v>
      </c>
      <c r="J1307" s="183" t="s">
        <v>499</v>
      </c>
      <c r="K1307" s="183" t="s">
        <v>1513</v>
      </c>
    </row>
    <row r="1308" spans="8:11" x14ac:dyDescent="0.25">
      <c r="H1308" s="183" t="s">
        <v>534</v>
      </c>
      <c r="I1308" s="183" t="s">
        <v>491</v>
      </c>
      <c r="J1308" s="183" t="s">
        <v>503</v>
      </c>
      <c r="K1308" s="183" t="s">
        <v>1825</v>
      </c>
    </row>
    <row r="1309" spans="8:11" x14ac:dyDescent="0.25">
      <c r="H1309" s="183" t="s">
        <v>534</v>
      </c>
      <c r="I1309" s="183" t="s">
        <v>495</v>
      </c>
      <c r="J1309" s="183" t="s">
        <v>480</v>
      </c>
      <c r="K1309" s="183" t="s">
        <v>1826</v>
      </c>
    </row>
    <row r="1310" spans="8:11" x14ac:dyDescent="0.25">
      <c r="H1310" s="183" t="s">
        <v>534</v>
      </c>
      <c r="I1310" s="183" t="s">
        <v>495</v>
      </c>
      <c r="J1310" s="183" t="s">
        <v>483</v>
      </c>
      <c r="K1310" s="183" t="s">
        <v>1827</v>
      </c>
    </row>
    <row r="1311" spans="8:11" x14ac:dyDescent="0.25">
      <c r="H1311" s="183" t="s">
        <v>534</v>
      </c>
      <c r="I1311" s="183" t="s">
        <v>495</v>
      </c>
      <c r="J1311" s="183" t="s">
        <v>487</v>
      </c>
      <c r="K1311" s="183" t="s">
        <v>1828</v>
      </c>
    </row>
    <row r="1312" spans="8:11" x14ac:dyDescent="0.25">
      <c r="H1312" s="183" t="s">
        <v>534</v>
      </c>
      <c r="I1312" s="183" t="s">
        <v>495</v>
      </c>
      <c r="J1312" s="183" t="s">
        <v>491</v>
      </c>
      <c r="K1312" s="183" t="s">
        <v>1829</v>
      </c>
    </row>
    <row r="1313" spans="8:11" x14ac:dyDescent="0.25">
      <c r="H1313" s="183" t="s">
        <v>534</v>
      </c>
      <c r="I1313" s="183" t="s">
        <v>495</v>
      </c>
      <c r="J1313" s="183" t="s">
        <v>495</v>
      </c>
      <c r="K1313" s="183" t="s">
        <v>1569</v>
      </c>
    </row>
    <row r="1314" spans="8:11" x14ac:dyDescent="0.25">
      <c r="H1314" s="183" t="s">
        <v>534</v>
      </c>
      <c r="I1314" s="183" t="s">
        <v>495</v>
      </c>
      <c r="J1314" s="183" t="s">
        <v>499</v>
      </c>
      <c r="K1314" s="183" t="s">
        <v>1830</v>
      </c>
    </row>
    <row r="1315" spans="8:11" x14ac:dyDescent="0.25">
      <c r="H1315" s="183" t="s">
        <v>534</v>
      </c>
      <c r="I1315" s="183" t="s">
        <v>495</v>
      </c>
      <c r="J1315" s="183" t="s">
        <v>503</v>
      </c>
      <c r="K1315" s="183" t="s">
        <v>1831</v>
      </c>
    </row>
    <row r="1316" spans="8:11" x14ac:dyDescent="0.25">
      <c r="H1316" s="183" t="s">
        <v>534</v>
      </c>
      <c r="I1316" s="183" t="s">
        <v>495</v>
      </c>
      <c r="J1316" s="183" t="s">
        <v>507</v>
      </c>
      <c r="K1316" s="183" t="s">
        <v>1832</v>
      </c>
    </row>
    <row r="1317" spans="8:11" x14ac:dyDescent="0.25">
      <c r="H1317" s="183" t="s">
        <v>534</v>
      </c>
      <c r="I1317" s="183" t="s">
        <v>495</v>
      </c>
      <c r="J1317" s="183" t="s">
        <v>511</v>
      </c>
      <c r="K1317" s="183" t="s">
        <v>1833</v>
      </c>
    </row>
    <row r="1318" spans="8:11" x14ac:dyDescent="0.25">
      <c r="H1318" s="183" t="s">
        <v>534</v>
      </c>
      <c r="I1318" s="183" t="s">
        <v>495</v>
      </c>
      <c r="J1318" s="183" t="s">
        <v>515</v>
      </c>
      <c r="K1318" s="183" t="s">
        <v>1834</v>
      </c>
    </row>
    <row r="1319" spans="8:11" x14ac:dyDescent="0.25">
      <c r="H1319" s="183" t="s">
        <v>534</v>
      </c>
      <c r="I1319" s="183" t="s">
        <v>495</v>
      </c>
      <c r="J1319" s="183" t="s">
        <v>519</v>
      </c>
      <c r="K1319" s="183" t="s">
        <v>1835</v>
      </c>
    </row>
    <row r="1320" spans="8:11" x14ac:dyDescent="0.25">
      <c r="H1320" s="183" t="s">
        <v>534</v>
      </c>
      <c r="I1320" s="183" t="s">
        <v>495</v>
      </c>
      <c r="J1320" s="183" t="s">
        <v>522</v>
      </c>
      <c r="K1320" s="183" t="s">
        <v>1836</v>
      </c>
    </row>
    <row r="1321" spans="8:11" x14ac:dyDescent="0.25">
      <c r="H1321" s="183" t="s">
        <v>534</v>
      </c>
      <c r="I1321" s="183" t="s">
        <v>495</v>
      </c>
      <c r="J1321" s="183" t="s">
        <v>526</v>
      </c>
      <c r="K1321" s="183" t="s">
        <v>993</v>
      </c>
    </row>
    <row r="1322" spans="8:11" x14ac:dyDescent="0.25">
      <c r="H1322" s="183" t="s">
        <v>534</v>
      </c>
      <c r="I1322" s="183" t="s">
        <v>495</v>
      </c>
      <c r="J1322" s="183" t="s">
        <v>530</v>
      </c>
      <c r="K1322" s="183" t="s">
        <v>779</v>
      </c>
    </row>
    <row r="1323" spans="8:11" x14ac:dyDescent="0.25">
      <c r="H1323" s="183" t="s">
        <v>534</v>
      </c>
      <c r="I1323" s="183" t="s">
        <v>495</v>
      </c>
      <c r="J1323" s="183" t="s">
        <v>534</v>
      </c>
      <c r="K1323" s="183" t="s">
        <v>1837</v>
      </c>
    </row>
    <row r="1324" spans="8:11" x14ac:dyDescent="0.25">
      <c r="H1324" s="183" t="s">
        <v>534</v>
      </c>
      <c r="I1324" s="183" t="s">
        <v>495</v>
      </c>
      <c r="J1324" s="183" t="s">
        <v>538</v>
      </c>
      <c r="K1324" s="183" t="s">
        <v>1838</v>
      </c>
    </row>
    <row r="1325" spans="8:11" x14ac:dyDescent="0.25">
      <c r="H1325" s="183" t="s">
        <v>534</v>
      </c>
      <c r="I1325" s="183" t="s">
        <v>499</v>
      </c>
      <c r="J1325" s="183" t="s">
        <v>480</v>
      </c>
      <c r="K1325" s="183" t="s">
        <v>774</v>
      </c>
    </row>
    <row r="1326" spans="8:11" x14ac:dyDescent="0.25">
      <c r="H1326" s="183" t="s">
        <v>534</v>
      </c>
      <c r="I1326" s="183" t="s">
        <v>499</v>
      </c>
      <c r="J1326" s="183" t="s">
        <v>483</v>
      </c>
      <c r="K1326" s="183" t="s">
        <v>1839</v>
      </c>
    </row>
    <row r="1327" spans="8:11" x14ac:dyDescent="0.25">
      <c r="H1327" s="183" t="s">
        <v>534</v>
      </c>
      <c r="I1327" s="183" t="s">
        <v>499</v>
      </c>
      <c r="J1327" s="183" t="s">
        <v>487</v>
      </c>
      <c r="K1327" s="183" t="s">
        <v>1840</v>
      </c>
    </row>
    <row r="1328" spans="8:11" x14ac:dyDescent="0.25">
      <c r="H1328" s="183" t="s">
        <v>534</v>
      </c>
      <c r="I1328" s="183" t="s">
        <v>499</v>
      </c>
      <c r="J1328" s="183" t="s">
        <v>491</v>
      </c>
      <c r="K1328" s="183" t="s">
        <v>1841</v>
      </c>
    </row>
    <row r="1329" spans="8:11" x14ac:dyDescent="0.25">
      <c r="H1329" s="183" t="s">
        <v>534</v>
      </c>
      <c r="I1329" s="183" t="s">
        <v>499</v>
      </c>
      <c r="J1329" s="183" t="s">
        <v>495</v>
      </c>
      <c r="K1329" s="183" t="s">
        <v>1270</v>
      </c>
    </row>
    <row r="1330" spans="8:11" x14ac:dyDescent="0.25">
      <c r="H1330" s="183" t="s">
        <v>534</v>
      </c>
      <c r="I1330" s="183" t="s">
        <v>499</v>
      </c>
      <c r="J1330" s="183" t="s">
        <v>499</v>
      </c>
      <c r="K1330" s="183" t="s">
        <v>1842</v>
      </c>
    </row>
    <row r="1331" spans="8:11" x14ac:dyDescent="0.25">
      <c r="H1331" s="183" t="s">
        <v>534</v>
      </c>
      <c r="I1331" s="183" t="s">
        <v>499</v>
      </c>
      <c r="J1331" s="183" t="s">
        <v>503</v>
      </c>
      <c r="K1331" s="183" t="s">
        <v>1843</v>
      </c>
    </row>
    <row r="1332" spans="8:11" x14ac:dyDescent="0.25">
      <c r="H1332" s="183" t="s">
        <v>534</v>
      </c>
      <c r="I1332" s="183" t="s">
        <v>499</v>
      </c>
      <c r="J1332" s="183" t="s">
        <v>507</v>
      </c>
      <c r="K1332" s="183" t="s">
        <v>1844</v>
      </c>
    </row>
    <row r="1333" spans="8:11" x14ac:dyDescent="0.25">
      <c r="H1333" s="183" t="s">
        <v>534</v>
      </c>
      <c r="I1333" s="183" t="s">
        <v>499</v>
      </c>
      <c r="J1333" s="183" t="s">
        <v>511</v>
      </c>
      <c r="K1333" s="183" t="s">
        <v>1845</v>
      </c>
    </row>
    <row r="1334" spans="8:11" x14ac:dyDescent="0.25">
      <c r="H1334" s="183" t="s">
        <v>534</v>
      </c>
      <c r="I1334" s="183" t="s">
        <v>499</v>
      </c>
      <c r="J1334" s="183" t="s">
        <v>515</v>
      </c>
      <c r="K1334" s="183" t="s">
        <v>1846</v>
      </c>
    </row>
    <row r="1335" spans="8:11" x14ac:dyDescent="0.25">
      <c r="H1335" s="183" t="s">
        <v>534</v>
      </c>
      <c r="I1335" s="183" t="s">
        <v>499</v>
      </c>
      <c r="J1335" s="183" t="s">
        <v>519</v>
      </c>
      <c r="K1335" s="183" t="s">
        <v>1847</v>
      </c>
    </row>
    <row r="1336" spans="8:11" x14ac:dyDescent="0.25">
      <c r="H1336" s="183" t="s">
        <v>534</v>
      </c>
      <c r="I1336" s="183" t="s">
        <v>499</v>
      </c>
      <c r="J1336" s="183" t="s">
        <v>522</v>
      </c>
      <c r="K1336" s="183" t="s">
        <v>1848</v>
      </c>
    </row>
    <row r="1337" spans="8:11" x14ac:dyDescent="0.25">
      <c r="H1337" s="183" t="s">
        <v>534</v>
      </c>
      <c r="I1337" s="183" t="s">
        <v>503</v>
      </c>
      <c r="J1337" s="183" t="s">
        <v>480</v>
      </c>
      <c r="K1337" s="183" t="s">
        <v>1849</v>
      </c>
    </row>
    <row r="1338" spans="8:11" x14ac:dyDescent="0.25">
      <c r="H1338" s="183" t="s">
        <v>534</v>
      </c>
      <c r="I1338" s="183" t="s">
        <v>503</v>
      </c>
      <c r="J1338" s="183" t="s">
        <v>483</v>
      </c>
      <c r="K1338" s="183" t="s">
        <v>1850</v>
      </c>
    </row>
    <row r="1339" spans="8:11" x14ac:dyDescent="0.25">
      <c r="H1339" s="183" t="s">
        <v>534</v>
      </c>
      <c r="I1339" s="183" t="s">
        <v>503</v>
      </c>
      <c r="J1339" s="183" t="s">
        <v>487</v>
      </c>
      <c r="K1339" s="183" t="s">
        <v>1851</v>
      </c>
    </row>
    <row r="1340" spans="8:11" x14ac:dyDescent="0.25">
      <c r="H1340" s="183" t="s">
        <v>534</v>
      </c>
      <c r="I1340" s="183" t="s">
        <v>503</v>
      </c>
      <c r="J1340" s="183" t="s">
        <v>491</v>
      </c>
      <c r="K1340" s="183" t="s">
        <v>1852</v>
      </c>
    </row>
    <row r="1341" spans="8:11" x14ac:dyDescent="0.25">
      <c r="H1341" s="183" t="s">
        <v>534</v>
      </c>
      <c r="I1341" s="183" t="s">
        <v>503</v>
      </c>
      <c r="J1341" s="183" t="s">
        <v>495</v>
      </c>
      <c r="K1341" s="183" t="s">
        <v>1853</v>
      </c>
    </row>
    <row r="1342" spans="8:11" x14ac:dyDescent="0.25">
      <c r="H1342" s="183" t="s">
        <v>534</v>
      </c>
      <c r="I1342" s="183" t="s">
        <v>503</v>
      </c>
      <c r="J1342" s="183" t="s">
        <v>499</v>
      </c>
      <c r="K1342" s="183" t="s">
        <v>1395</v>
      </c>
    </row>
    <row r="1343" spans="8:11" x14ac:dyDescent="0.25">
      <c r="H1343" s="183" t="s">
        <v>534</v>
      </c>
      <c r="I1343" s="183" t="s">
        <v>503</v>
      </c>
      <c r="J1343" s="183" t="s">
        <v>503</v>
      </c>
      <c r="K1343" s="183" t="s">
        <v>1854</v>
      </c>
    </row>
    <row r="1344" spans="8:11" x14ac:dyDescent="0.25">
      <c r="H1344" s="183" t="s">
        <v>534</v>
      </c>
      <c r="I1344" s="183" t="s">
        <v>503</v>
      </c>
      <c r="J1344" s="183" t="s">
        <v>507</v>
      </c>
      <c r="K1344" s="183" t="s">
        <v>1855</v>
      </c>
    </row>
    <row r="1345" spans="8:11" x14ac:dyDescent="0.25">
      <c r="H1345" s="183" t="s">
        <v>534</v>
      </c>
      <c r="I1345" s="183" t="s">
        <v>503</v>
      </c>
      <c r="J1345" s="183" t="s">
        <v>511</v>
      </c>
      <c r="K1345" s="183" t="s">
        <v>776</v>
      </c>
    </row>
    <row r="1346" spans="8:11" x14ac:dyDescent="0.25">
      <c r="H1346" s="183" t="s">
        <v>534</v>
      </c>
      <c r="I1346" s="183" t="s">
        <v>503</v>
      </c>
      <c r="J1346" s="183" t="s">
        <v>515</v>
      </c>
      <c r="K1346" s="183" t="s">
        <v>1856</v>
      </c>
    </row>
    <row r="1347" spans="8:11" x14ac:dyDescent="0.25">
      <c r="H1347" s="183" t="s">
        <v>534</v>
      </c>
      <c r="I1347" s="183" t="s">
        <v>503</v>
      </c>
      <c r="J1347" s="183" t="s">
        <v>519</v>
      </c>
      <c r="K1347" s="183" t="s">
        <v>1857</v>
      </c>
    </row>
    <row r="1348" spans="8:11" x14ac:dyDescent="0.25">
      <c r="H1348" s="183" t="s">
        <v>534</v>
      </c>
      <c r="I1348" s="183" t="s">
        <v>503</v>
      </c>
      <c r="J1348" s="183" t="s">
        <v>522</v>
      </c>
      <c r="K1348" s="183" t="s">
        <v>1858</v>
      </c>
    </row>
    <row r="1349" spans="8:11" x14ac:dyDescent="0.25">
      <c r="H1349" s="183" t="s">
        <v>534</v>
      </c>
      <c r="I1349" s="183" t="s">
        <v>503</v>
      </c>
      <c r="J1349" s="183" t="s">
        <v>526</v>
      </c>
      <c r="K1349" s="183" t="s">
        <v>1859</v>
      </c>
    </row>
    <row r="1350" spans="8:11" x14ac:dyDescent="0.25">
      <c r="H1350" s="183" t="s">
        <v>534</v>
      </c>
      <c r="I1350" s="183" t="s">
        <v>503</v>
      </c>
      <c r="J1350" s="183" t="s">
        <v>530</v>
      </c>
      <c r="K1350" s="183" t="s">
        <v>1860</v>
      </c>
    </row>
    <row r="1351" spans="8:11" x14ac:dyDescent="0.25">
      <c r="H1351" s="183" t="s">
        <v>534</v>
      </c>
      <c r="I1351" s="183" t="s">
        <v>503</v>
      </c>
      <c r="J1351" s="183" t="s">
        <v>534</v>
      </c>
      <c r="K1351" s="183" t="s">
        <v>1861</v>
      </c>
    </row>
    <row r="1352" spans="8:11" x14ac:dyDescent="0.25">
      <c r="H1352" s="183" t="s">
        <v>534</v>
      </c>
      <c r="I1352" s="183" t="s">
        <v>503</v>
      </c>
      <c r="J1352" s="183" t="s">
        <v>538</v>
      </c>
      <c r="K1352" s="183" t="s">
        <v>993</v>
      </c>
    </row>
    <row r="1353" spans="8:11" x14ac:dyDescent="0.25">
      <c r="H1353" s="183" t="s">
        <v>534</v>
      </c>
      <c r="I1353" s="183" t="s">
        <v>503</v>
      </c>
      <c r="J1353" s="183" t="s">
        <v>542</v>
      </c>
      <c r="K1353" s="183" t="s">
        <v>1862</v>
      </c>
    </row>
    <row r="1354" spans="8:11" x14ac:dyDescent="0.25">
      <c r="H1354" s="183" t="s">
        <v>534</v>
      </c>
      <c r="I1354" s="183" t="s">
        <v>503</v>
      </c>
      <c r="J1354" s="183" t="s">
        <v>546</v>
      </c>
      <c r="K1354" s="183" t="s">
        <v>1863</v>
      </c>
    </row>
    <row r="1355" spans="8:11" x14ac:dyDescent="0.25">
      <c r="H1355" s="183" t="s">
        <v>534</v>
      </c>
      <c r="I1355" s="183" t="s">
        <v>503</v>
      </c>
      <c r="J1355" s="183" t="s">
        <v>550</v>
      </c>
      <c r="K1355" s="183" t="s">
        <v>1864</v>
      </c>
    </row>
    <row r="1356" spans="8:11" x14ac:dyDescent="0.25">
      <c r="H1356" s="183" t="s">
        <v>534</v>
      </c>
      <c r="I1356" s="183" t="s">
        <v>503</v>
      </c>
      <c r="J1356" s="183" t="s">
        <v>554</v>
      </c>
      <c r="K1356" s="183" t="s">
        <v>1865</v>
      </c>
    </row>
    <row r="1357" spans="8:11" x14ac:dyDescent="0.25">
      <c r="H1357" s="183" t="s">
        <v>534</v>
      </c>
      <c r="I1357" s="183" t="s">
        <v>503</v>
      </c>
      <c r="J1357" s="183" t="s">
        <v>558</v>
      </c>
      <c r="K1357" s="183" t="s">
        <v>1866</v>
      </c>
    </row>
    <row r="1358" spans="8:11" x14ac:dyDescent="0.25">
      <c r="H1358" s="183" t="s">
        <v>534</v>
      </c>
      <c r="I1358" s="183" t="s">
        <v>503</v>
      </c>
      <c r="J1358" s="183" t="s">
        <v>562</v>
      </c>
      <c r="K1358" s="183" t="s">
        <v>1867</v>
      </c>
    </row>
    <row r="1359" spans="8:11" x14ac:dyDescent="0.25">
      <c r="H1359" s="183" t="s">
        <v>534</v>
      </c>
      <c r="I1359" s="183" t="s">
        <v>503</v>
      </c>
      <c r="J1359" s="183" t="s">
        <v>566</v>
      </c>
      <c r="K1359" s="183" t="s">
        <v>1868</v>
      </c>
    </row>
    <row r="1360" spans="8:11" x14ac:dyDescent="0.25">
      <c r="H1360" s="183" t="s">
        <v>534</v>
      </c>
      <c r="I1360" s="183" t="s">
        <v>503</v>
      </c>
      <c r="J1360" s="183" t="s">
        <v>570</v>
      </c>
      <c r="K1360" s="183" t="s">
        <v>1869</v>
      </c>
    </row>
    <row r="1361" spans="8:11" x14ac:dyDescent="0.25">
      <c r="H1361" s="183" t="s">
        <v>534</v>
      </c>
      <c r="I1361" s="183" t="s">
        <v>503</v>
      </c>
      <c r="J1361" s="183" t="s">
        <v>574</v>
      </c>
      <c r="K1361" s="183" t="s">
        <v>1870</v>
      </c>
    </row>
    <row r="1362" spans="8:11" x14ac:dyDescent="0.25">
      <c r="H1362" s="183" t="s">
        <v>534</v>
      </c>
      <c r="I1362" s="183" t="s">
        <v>503</v>
      </c>
      <c r="J1362" s="183" t="s">
        <v>1022</v>
      </c>
      <c r="K1362" s="183" t="s">
        <v>1871</v>
      </c>
    </row>
    <row r="1363" spans="8:11" x14ac:dyDescent="0.25">
      <c r="H1363" s="183" t="s">
        <v>534</v>
      </c>
      <c r="I1363" s="183" t="s">
        <v>503</v>
      </c>
      <c r="J1363" s="183" t="s">
        <v>1024</v>
      </c>
      <c r="K1363" s="183" t="s">
        <v>1872</v>
      </c>
    </row>
    <row r="1364" spans="8:11" x14ac:dyDescent="0.25">
      <c r="H1364" s="183" t="s">
        <v>534</v>
      </c>
      <c r="I1364" s="183" t="s">
        <v>503</v>
      </c>
      <c r="J1364" s="183" t="s">
        <v>1026</v>
      </c>
      <c r="K1364" s="183" t="s">
        <v>1873</v>
      </c>
    </row>
    <row r="1365" spans="8:11" x14ac:dyDescent="0.25">
      <c r="H1365" s="183" t="s">
        <v>534</v>
      </c>
      <c r="I1365" s="183" t="s">
        <v>503</v>
      </c>
      <c r="J1365" s="183" t="s">
        <v>1028</v>
      </c>
      <c r="K1365" s="183" t="s">
        <v>1874</v>
      </c>
    </row>
    <row r="1366" spans="8:11" x14ac:dyDescent="0.25">
      <c r="H1366" s="183" t="s">
        <v>534</v>
      </c>
      <c r="I1366" s="183" t="s">
        <v>503</v>
      </c>
      <c r="J1366" s="183" t="s">
        <v>1584</v>
      </c>
      <c r="K1366" s="183" t="s">
        <v>1875</v>
      </c>
    </row>
    <row r="1367" spans="8:11" x14ac:dyDescent="0.25">
      <c r="H1367" s="183" t="s">
        <v>534</v>
      </c>
      <c r="I1367" s="183" t="s">
        <v>503</v>
      </c>
      <c r="J1367" s="183" t="s">
        <v>1639</v>
      </c>
      <c r="K1367" s="183" t="s">
        <v>1876</v>
      </c>
    </row>
    <row r="1368" spans="8:11" x14ac:dyDescent="0.25">
      <c r="H1368" s="183" t="s">
        <v>534</v>
      </c>
      <c r="I1368" s="183" t="s">
        <v>503</v>
      </c>
      <c r="J1368" s="183" t="s">
        <v>1586</v>
      </c>
      <c r="K1368" s="183" t="s">
        <v>1877</v>
      </c>
    </row>
    <row r="1369" spans="8:11" x14ac:dyDescent="0.25">
      <c r="H1369" s="183" t="s">
        <v>534</v>
      </c>
      <c r="I1369" s="183" t="s">
        <v>507</v>
      </c>
      <c r="J1369" s="183" t="s">
        <v>480</v>
      </c>
      <c r="K1369" s="183" t="s">
        <v>1878</v>
      </c>
    </row>
    <row r="1370" spans="8:11" x14ac:dyDescent="0.25">
      <c r="H1370" s="183" t="s">
        <v>534</v>
      </c>
      <c r="I1370" s="183" t="s">
        <v>507</v>
      </c>
      <c r="J1370" s="183" t="s">
        <v>483</v>
      </c>
      <c r="K1370" s="183" t="s">
        <v>1879</v>
      </c>
    </row>
    <row r="1371" spans="8:11" x14ac:dyDescent="0.25">
      <c r="H1371" s="183" t="s">
        <v>534</v>
      </c>
      <c r="I1371" s="183" t="s">
        <v>507</v>
      </c>
      <c r="J1371" s="183" t="s">
        <v>487</v>
      </c>
      <c r="K1371" s="183" t="s">
        <v>1880</v>
      </c>
    </row>
    <row r="1372" spans="8:11" x14ac:dyDescent="0.25">
      <c r="H1372" s="183" t="s">
        <v>534</v>
      </c>
      <c r="I1372" s="183" t="s">
        <v>507</v>
      </c>
      <c r="J1372" s="183" t="s">
        <v>491</v>
      </c>
      <c r="K1372" s="183" t="s">
        <v>1881</v>
      </c>
    </row>
    <row r="1373" spans="8:11" x14ac:dyDescent="0.25">
      <c r="H1373" s="183" t="s">
        <v>534</v>
      </c>
      <c r="I1373" s="183" t="s">
        <v>507</v>
      </c>
      <c r="J1373" s="183" t="s">
        <v>495</v>
      </c>
      <c r="K1373" s="183" t="s">
        <v>1882</v>
      </c>
    </row>
    <row r="1374" spans="8:11" x14ac:dyDescent="0.25">
      <c r="H1374" s="183" t="s">
        <v>534</v>
      </c>
      <c r="I1374" s="183" t="s">
        <v>507</v>
      </c>
      <c r="J1374" s="183" t="s">
        <v>499</v>
      </c>
      <c r="K1374" s="183" t="s">
        <v>778</v>
      </c>
    </row>
    <row r="1375" spans="8:11" x14ac:dyDescent="0.25">
      <c r="H1375" s="183" t="s">
        <v>534</v>
      </c>
      <c r="I1375" s="183" t="s">
        <v>507</v>
      </c>
      <c r="J1375" s="183" t="s">
        <v>503</v>
      </c>
      <c r="K1375" s="183" t="s">
        <v>702</v>
      </c>
    </row>
    <row r="1376" spans="8:11" x14ac:dyDescent="0.25">
      <c r="H1376" s="183" t="s">
        <v>534</v>
      </c>
      <c r="I1376" s="183" t="s">
        <v>507</v>
      </c>
      <c r="J1376" s="183" t="s">
        <v>507</v>
      </c>
      <c r="K1376" s="183" t="s">
        <v>1883</v>
      </c>
    </row>
    <row r="1377" spans="8:11" x14ac:dyDescent="0.25">
      <c r="H1377" s="183" t="s">
        <v>534</v>
      </c>
      <c r="I1377" s="183" t="s">
        <v>507</v>
      </c>
      <c r="J1377" s="183" t="s">
        <v>511</v>
      </c>
      <c r="K1377" s="183" t="s">
        <v>1884</v>
      </c>
    </row>
    <row r="1378" spans="8:11" x14ac:dyDescent="0.25">
      <c r="H1378" s="183" t="s">
        <v>534</v>
      </c>
      <c r="I1378" s="183" t="s">
        <v>507</v>
      </c>
      <c r="J1378" s="183" t="s">
        <v>515</v>
      </c>
      <c r="K1378" s="183" t="s">
        <v>1885</v>
      </c>
    </row>
    <row r="1379" spans="8:11" x14ac:dyDescent="0.25">
      <c r="H1379" s="183" t="s">
        <v>534</v>
      </c>
      <c r="I1379" s="183" t="s">
        <v>507</v>
      </c>
      <c r="J1379" s="183" t="s">
        <v>519</v>
      </c>
      <c r="K1379" s="183" t="s">
        <v>1886</v>
      </c>
    </row>
    <row r="1380" spans="8:11" x14ac:dyDescent="0.25">
      <c r="H1380" s="183" t="s">
        <v>534</v>
      </c>
      <c r="I1380" s="183" t="s">
        <v>507</v>
      </c>
      <c r="J1380" s="183" t="s">
        <v>522</v>
      </c>
      <c r="K1380" s="183" t="s">
        <v>1887</v>
      </c>
    </row>
    <row r="1381" spans="8:11" x14ac:dyDescent="0.25">
      <c r="H1381" s="183" t="s">
        <v>534</v>
      </c>
      <c r="I1381" s="183" t="s">
        <v>511</v>
      </c>
      <c r="J1381" s="183" t="s">
        <v>480</v>
      </c>
      <c r="K1381" s="183" t="s">
        <v>780</v>
      </c>
    </row>
    <row r="1382" spans="8:11" x14ac:dyDescent="0.25">
      <c r="H1382" s="183" t="s">
        <v>534</v>
      </c>
      <c r="I1382" s="183" t="s">
        <v>511</v>
      </c>
      <c r="J1382" s="183" t="s">
        <v>483</v>
      </c>
      <c r="K1382" s="183" t="s">
        <v>1888</v>
      </c>
    </row>
    <row r="1383" spans="8:11" x14ac:dyDescent="0.25">
      <c r="H1383" s="183" t="s">
        <v>534</v>
      </c>
      <c r="I1383" s="183" t="s">
        <v>511</v>
      </c>
      <c r="J1383" s="183" t="s">
        <v>487</v>
      </c>
      <c r="K1383" s="183" t="s">
        <v>1889</v>
      </c>
    </row>
    <row r="1384" spans="8:11" x14ac:dyDescent="0.25">
      <c r="H1384" s="183" t="s">
        <v>534</v>
      </c>
      <c r="I1384" s="183" t="s">
        <v>511</v>
      </c>
      <c r="J1384" s="183" t="s">
        <v>491</v>
      </c>
      <c r="K1384" s="183" t="s">
        <v>1890</v>
      </c>
    </row>
    <row r="1385" spans="8:11" x14ac:dyDescent="0.25">
      <c r="H1385" s="183" t="s">
        <v>534</v>
      </c>
      <c r="I1385" s="183" t="s">
        <v>511</v>
      </c>
      <c r="J1385" s="183" t="s">
        <v>495</v>
      </c>
      <c r="K1385" s="183" t="s">
        <v>1891</v>
      </c>
    </row>
    <row r="1386" spans="8:11" x14ac:dyDescent="0.25">
      <c r="H1386" s="183" t="s">
        <v>534</v>
      </c>
      <c r="I1386" s="183" t="s">
        <v>511</v>
      </c>
      <c r="J1386" s="183" t="s">
        <v>499</v>
      </c>
      <c r="K1386" s="183" t="s">
        <v>1892</v>
      </c>
    </row>
    <row r="1387" spans="8:11" x14ac:dyDescent="0.25">
      <c r="H1387" s="183" t="s">
        <v>534</v>
      </c>
      <c r="I1387" s="183" t="s">
        <v>515</v>
      </c>
      <c r="J1387" s="183" t="s">
        <v>480</v>
      </c>
      <c r="K1387" s="183" t="s">
        <v>781</v>
      </c>
    </row>
    <row r="1388" spans="8:11" x14ac:dyDescent="0.25">
      <c r="H1388" s="183" t="s">
        <v>534</v>
      </c>
      <c r="I1388" s="183" t="s">
        <v>515</v>
      </c>
      <c r="J1388" s="183" t="s">
        <v>483</v>
      </c>
      <c r="K1388" s="183" t="s">
        <v>1893</v>
      </c>
    </row>
    <row r="1389" spans="8:11" x14ac:dyDescent="0.25">
      <c r="H1389" s="183" t="s">
        <v>534</v>
      </c>
      <c r="I1389" s="183" t="s">
        <v>515</v>
      </c>
      <c r="J1389" s="183" t="s">
        <v>487</v>
      </c>
      <c r="K1389" s="183" t="s">
        <v>1894</v>
      </c>
    </row>
    <row r="1390" spans="8:11" x14ac:dyDescent="0.25">
      <c r="H1390" s="183" t="s">
        <v>534</v>
      </c>
      <c r="I1390" s="183" t="s">
        <v>515</v>
      </c>
      <c r="J1390" s="183" t="s">
        <v>491</v>
      </c>
      <c r="K1390" s="183" t="s">
        <v>1895</v>
      </c>
    </row>
    <row r="1391" spans="8:11" x14ac:dyDescent="0.25">
      <c r="H1391" s="183" t="s">
        <v>534</v>
      </c>
      <c r="I1391" s="183" t="s">
        <v>515</v>
      </c>
      <c r="J1391" s="183" t="s">
        <v>495</v>
      </c>
      <c r="K1391" s="183" t="s">
        <v>824</v>
      </c>
    </row>
    <row r="1392" spans="8:11" x14ac:dyDescent="0.25">
      <c r="H1392" s="183" t="s">
        <v>534</v>
      </c>
      <c r="I1392" s="183" t="s">
        <v>515</v>
      </c>
      <c r="J1392" s="183" t="s">
        <v>499</v>
      </c>
      <c r="K1392" s="183" t="s">
        <v>1896</v>
      </c>
    </row>
    <row r="1393" spans="8:11" x14ac:dyDescent="0.25">
      <c r="H1393" s="183" t="s">
        <v>534</v>
      </c>
      <c r="I1393" s="183" t="s">
        <v>515</v>
      </c>
      <c r="J1393" s="183" t="s">
        <v>503</v>
      </c>
      <c r="K1393" s="183" t="s">
        <v>1897</v>
      </c>
    </row>
    <row r="1394" spans="8:11" x14ac:dyDescent="0.25">
      <c r="H1394" s="183" t="s">
        <v>534</v>
      </c>
      <c r="I1394" s="183" t="s">
        <v>515</v>
      </c>
      <c r="J1394" s="183" t="s">
        <v>507</v>
      </c>
      <c r="K1394" s="183" t="s">
        <v>1898</v>
      </c>
    </row>
    <row r="1395" spans="8:11" x14ac:dyDescent="0.25">
      <c r="H1395" s="183" t="s">
        <v>534</v>
      </c>
      <c r="I1395" s="183" t="s">
        <v>515</v>
      </c>
      <c r="J1395" s="183" t="s">
        <v>511</v>
      </c>
      <c r="K1395" s="183" t="s">
        <v>1899</v>
      </c>
    </row>
    <row r="1396" spans="8:11" x14ac:dyDescent="0.25">
      <c r="H1396" s="183" t="s">
        <v>534</v>
      </c>
      <c r="I1396" s="183" t="s">
        <v>515</v>
      </c>
      <c r="J1396" s="183" t="s">
        <v>515</v>
      </c>
      <c r="K1396" s="183" t="s">
        <v>875</v>
      </c>
    </row>
    <row r="1397" spans="8:11" x14ac:dyDescent="0.25">
      <c r="H1397" s="183" t="s">
        <v>534</v>
      </c>
      <c r="I1397" s="183" t="s">
        <v>515</v>
      </c>
      <c r="J1397" s="183" t="s">
        <v>519</v>
      </c>
      <c r="K1397" s="183" t="s">
        <v>1900</v>
      </c>
    </row>
    <row r="1398" spans="8:11" x14ac:dyDescent="0.25">
      <c r="H1398" s="183" t="s">
        <v>534</v>
      </c>
      <c r="I1398" s="183" t="s">
        <v>515</v>
      </c>
      <c r="J1398" s="183" t="s">
        <v>522</v>
      </c>
      <c r="K1398" s="183" t="s">
        <v>1901</v>
      </c>
    </row>
    <row r="1399" spans="8:11" x14ac:dyDescent="0.25">
      <c r="H1399" s="183" t="s">
        <v>534</v>
      </c>
      <c r="I1399" s="183" t="s">
        <v>515</v>
      </c>
      <c r="J1399" s="183" t="s">
        <v>526</v>
      </c>
      <c r="K1399" s="183" t="s">
        <v>1902</v>
      </c>
    </row>
    <row r="1400" spans="8:11" x14ac:dyDescent="0.25">
      <c r="H1400" s="183" t="s">
        <v>534</v>
      </c>
      <c r="I1400" s="183" t="s">
        <v>515</v>
      </c>
      <c r="J1400" s="183" t="s">
        <v>530</v>
      </c>
      <c r="K1400" s="183" t="s">
        <v>1903</v>
      </c>
    </row>
    <row r="1401" spans="8:11" x14ac:dyDescent="0.25">
      <c r="H1401" s="183" t="s">
        <v>534</v>
      </c>
      <c r="I1401" s="183" t="s">
        <v>515</v>
      </c>
      <c r="J1401" s="183" t="s">
        <v>534</v>
      </c>
      <c r="K1401" s="183" t="s">
        <v>1904</v>
      </c>
    </row>
    <row r="1402" spans="8:11" x14ac:dyDescent="0.25">
      <c r="H1402" s="183" t="s">
        <v>534</v>
      </c>
      <c r="I1402" s="183" t="s">
        <v>515</v>
      </c>
      <c r="J1402" s="183" t="s">
        <v>538</v>
      </c>
      <c r="K1402" s="183" t="s">
        <v>1905</v>
      </c>
    </row>
    <row r="1403" spans="8:11" x14ac:dyDescent="0.25">
      <c r="H1403" s="183" t="s">
        <v>534</v>
      </c>
      <c r="I1403" s="183" t="s">
        <v>515</v>
      </c>
      <c r="J1403" s="183" t="s">
        <v>542</v>
      </c>
      <c r="K1403" s="183" t="s">
        <v>1906</v>
      </c>
    </row>
    <row r="1404" spans="8:11" x14ac:dyDescent="0.25">
      <c r="H1404" s="183" t="s">
        <v>534</v>
      </c>
      <c r="I1404" s="183" t="s">
        <v>515</v>
      </c>
      <c r="J1404" s="183" t="s">
        <v>546</v>
      </c>
      <c r="K1404" s="183" t="s">
        <v>1858</v>
      </c>
    </row>
    <row r="1405" spans="8:11" x14ac:dyDescent="0.25">
      <c r="H1405" s="183" t="s">
        <v>534</v>
      </c>
      <c r="I1405" s="183" t="s">
        <v>515</v>
      </c>
      <c r="J1405" s="183" t="s">
        <v>550</v>
      </c>
      <c r="K1405" s="183" t="s">
        <v>1907</v>
      </c>
    </row>
    <row r="1406" spans="8:11" x14ac:dyDescent="0.25">
      <c r="H1406" s="183" t="s">
        <v>534</v>
      </c>
      <c r="I1406" s="183" t="s">
        <v>515</v>
      </c>
      <c r="J1406" s="183" t="s">
        <v>554</v>
      </c>
      <c r="K1406" s="183" t="s">
        <v>1908</v>
      </c>
    </row>
    <row r="1407" spans="8:11" x14ac:dyDescent="0.25">
      <c r="H1407" s="183" t="s">
        <v>534</v>
      </c>
      <c r="I1407" s="183" t="s">
        <v>515</v>
      </c>
      <c r="J1407" s="183" t="s">
        <v>558</v>
      </c>
      <c r="K1407" s="183" t="s">
        <v>1006</v>
      </c>
    </row>
    <row r="1408" spans="8:11" x14ac:dyDescent="0.25">
      <c r="H1408" s="183" t="s">
        <v>534</v>
      </c>
      <c r="I1408" s="183" t="s">
        <v>515</v>
      </c>
      <c r="J1408" s="183" t="s">
        <v>562</v>
      </c>
      <c r="K1408" s="183" t="s">
        <v>1909</v>
      </c>
    </row>
    <row r="1409" spans="8:11" x14ac:dyDescent="0.25">
      <c r="H1409" s="183" t="s">
        <v>534</v>
      </c>
      <c r="I1409" s="183" t="s">
        <v>515</v>
      </c>
      <c r="J1409" s="183" t="s">
        <v>566</v>
      </c>
      <c r="K1409" s="183" t="s">
        <v>1910</v>
      </c>
    </row>
    <row r="1410" spans="8:11" x14ac:dyDescent="0.25">
      <c r="H1410" s="183" t="s">
        <v>534</v>
      </c>
      <c r="I1410" s="183" t="s">
        <v>515</v>
      </c>
      <c r="J1410" s="183" t="s">
        <v>570</v>
      </c>
      <c r="K1410" s="183" t="s">
        <v>1911</v>
      </c>
    </row>
    <row r="1411" spans="8:11" x14ac:dyDescent="0.25">
      <c r="H1411" s="183" t="s">
        <v>534</v>
      </c>
      <c r="I1411" s="183" t="s">
        <v>515</v>
      </c>
      <c r="J1411" s="183" t="s">
        <v>574</v>
      </c>
      <c r="K1411" s="183" t="s">
        <v>1912</v>
      </c>
    </row>
    <row r="1412" spans="8:11" x14ac:dyDescent="0.25">
      <c r="H1412" s="183" t="s">
        <v>534</v>
      </c>
      <c r="I1412" s="183" t="s">
        <v>515</v>
      </c>
      <c r="J1412" s="183" t="s">
        <v>1022</v>
      </c>
      <c r="K1412" s="183" t="s">
        <v>1913</v>
      </c>
    </row>
    <row r="1413" spans="8:11" x14ac:dyDescent="0.25">
      <c r="H1413" s="183" t="s">
        <v>534</v>
      </c>
      <c r="I1413" s="183" t="s">
        <v>515</v>
      </c>
      <c r="J1413" s="183" t="s">
        <v>1024</v>
      </c>
      <c r="K1413" s="183" t="s">
        <v>1914</v>
      </c>
    </row>
    <row r="1414" spans="8:11" x14ac:dyDescent="0.25">
      <c r="H1414" s="183" t="s">
        <v>534</v>
      </c>
      <c r="I1414" s="183" t="s">
        <v>515</v>
      </c>
      <c r="J1414" s="183" t="s">
        <v>1026</v>
      </c>
      <c r="K1414" s="183" t="s">
        <v>1915</v>
      </c>
    </row>
    <row r="1415" spans="8:11" x14ac:dyDescent="0.25">
      <c r="H1415" s="183" t="s">
        <v>534</v>
      </c>
      <c r="I1415" s="183" t="s">
        <v>515</v>
      </c>
      <c r="J1415" s="183" t="s">
        <v>1028</v>
      </c>
      <c r="K1415" s="183" t="s">
        <v>1916</v>
      </c>
    </row>
    <row r="1416" spans="8:11" x14ac:dyDescent="0.25">
      <c r="H1416" s="183" t="s">
        <v>534</v>
      </c>
      <c r="I1416" s="183" t="s">
        <v>515</v>
      </c>
      <c r="J1416" s="183" t="s">
        <v>1584</v>
      </c>
      <c r="K1416" s="183" t="s">
        <v>1917</v>
      </c>
    </row>
    <row r="1417" spans="8:11" x14ac:dyDescent="0.25">
      <c r="H1417" s="183" t="s">
        <v>534</v>
      </c>
      <c r="I1417" s="183" t="s">
        <v>515</v>
      </c>
      <c r="J1417" s="183" t="s">
        <v>1639</v>
      </c>
      <c r="K1417" s="183" t="s">
        <v>1918</v>
      </c>
    </row>
    <row r="1418" spans="8:11" x14ac:dyDescent="0.25">
      <c r="H1418" s="183" t="s">
        <v>534</v>
      </c>
      <c r="I1418" s="183" t="s">
        <v>515</v>
      </c>
      <c r="J1418" s="183" t="s">
        <v>1586</v>
      </c>
      <c r="K1418" s="183" t="s">
        <v>1919</v>
      </c>
    </row>
    <row r="1419" spans="8:11" x14ac:dyDescent="0.25">
      <c r="H1419" s="183" t="s">
        <v>534</v>
      </c>
      <c r="I1419" s="183" t="s">
        <v>515</v>
      </c>
      <c r="J1419" s="183" t="s">
        <v>1588</v>
      </c>
      <c r="K1419" s="183" t="s">
        <v>1920</v>
      </c>
    </row>
    <row r="1420" spans="8:11" x14ac:dyDescent="0.25">
      <c r="H1420" s="183" t="s">
        <v>538</v>
      </c>
      <c r="I1420" s="183" t="s">
        <v>480</v>
      </c>
      <c r="J1420" s="183" t="s">
        <v>480</v>
      </c>
      <c r="K1420" s="183" t="s">
        <v>1921</v>
      </c>
    </row>
    <row r="1421" spans="8:11" x14ac:dyDescent="0.25">
      <c r="H1421" s="183" t="s">
        <v>538</v>
      </c>
      <c r="I1421" s="183" t="s">
        <v>480</v>
      </c>
      <c r="J1421" s="183" t="s">
        <v>483</v>
      </c>
      <c r="K1421" s="183" t="s">
        <v>1922</v>
      </c>
    </row>
    <row r="1422" spans="8:11" x14ac:dyDescent="0.25">
      <c r="H1422" s="183" t="s">
        <v>538</v>
      </c>
      <c r="I1422" s="183" t="s">
        <v>480</v>
      </c>
      <c r="J1422" s="183" t="s">
        <v>487</v>
      </c>
      <c r="K1422" s="183" t="s">
        <v>1923</v>
      </c>
    </row>
    <row r="1423" spans="8:11" x14ac:dyDescent="0.25">
      <c r="H1423" s="183" t="s">
        <v>538</v>
      </c>
      <c r="I1423" s="183" t="s">
        <v>480</v>
      </c>
      <c r="J1423" s="183" t="s">
        <v>491</v>
      </c>
      <c r="K1423" s="183" t="s">
        <v>1924</v>
      </c>
    </row>
    <row r="1424" spans="8:11" x14ac:dyDescent="0.25">
      <c r="H1424" s="183" t="s">
        <v>538</v>
      </c>
      <c r="I1424" s="183" t="s">
        <v>480</v>
      </c>
      <c r="J1424" s="183" t="s">
        <v>495</v>
      </c>
      <c r="K1424" s="183" t="s">
        <v>1925</v>
      </c>
    </row>
    <row r="1425" spans="8:11" x14ac:dyDescent="0.25">
      <c r="H1425" s="183" t="s">
        <v>538</v>
      </c>
      <c r="I1425" s="183" t="s">
        <v>480</v>
      </c>
      <c r="J1425" s="183" t="s">
        <v>499</v>
      </c>
      <c r="K1425" s="183" t="s">
        <v>1926</v>
      </c>
    </row>
    <row r="1426" spans="8:11" x14ac:dyDescent="0.25">
      <c r="H1426" s="183" t="s">
        <v>538</v>
      </c>
      <c r="I1426" s="183" t="s">
        <v>480</v>
      </c>
      <c r="J1426" s="183" t="s">
        <v>503</v>
      </c>
      <c r="K1426" s="183" t="s">
        <v>1927</v>
      </c>
    </row>
    <row r="1427" spans="8:11" x14ac:dyDescent="0.25">
      <c r="H1427" s="183" t="s">
        <v>538</v>
      </c>
      <c r="I1427" s="183" t="s">
        <v>480</v>
      </c>
      <c r="J1427" s="183" t="s">
        <v>507</v>
      </c>
      <c r="K1427" s="183" t="s">
        <v>1928</v>
      </c>
    </row>
    <row r="1428" spans="8:11" x14ac:dyDescent="0.25">
      <c r="H1428" s="183" t="s">
        <v>538</v>
      </c>
      <c r="I1428" s="183" t="s">
        <v>480</v>
      </c>
      <c r="J1428" s="183" t="s">
        <v>511</v>
      </c>
      <c r="K1428" s="183" t="s">
        <v>1929</v>
      </c>
    </row>
    <row r="1429" spans="8:11" x14ac:dyDescent="0.25">
      <c r="H1429" s="183" t="s">
        <v>538</v>
      </c>
      <c r="I1429" s="183" t="s">
        <v>480</v>
      </c>
      <c r="J1429" s="183" t="s">
        <v>515</v>
      </c>
      <c r="K1429" s="183" t="s">
        <v>1930</v>
      </c>
    </row>
    <row r="1430" spans="8:11" x14ac:dyDescent="0.25">
      <c r="H1430" s="183" t="s">
        <v>538</v>
      </c>
      <c r="I1430" s="183" t="s">
        <v>480</v>
      </c>
      <c r="J1430" s="183" t="s">
        <v>522</v>
      </c>
      <c r="K1430" s="183" t="s">
        <v>1169</v>
      </c>
    </row>
    <row r="1431" spans="8:11" x14ac:dyDescent="0.25">
      <c r="H1431" s="183" t="s">
        <v>538</v>
      </c>
      <c r="I1431" s="183" t="s">
        <v>480</v>
      </c>
      <c r="J1431" s="183" t="s">
        <v>526</v>
      </c>
      <c r="K1431" s="183" t="s">
        <v>1109</v>
      </c>
    </row>
    <row r="1432" spans="8:11" x14ac:dyDescent="0.25">
      <c r="H1432" s="183" t="s">
        <v>538</v>
      </c>
      <c r="I1432" s="183" t="s">
        <v>480</v>
      </c>
      <c r="J1432" s="183" t="s">
        <v>530</v>
      </c>
      <c r="K1432" s="183" t="s">
        <v>1931</v>
      </c>
    </row>
    <row r="1433" spans="8:11" x14ac:dyDescent="0.25">
      <c r="H1433" s="183" t="s">
        <v>538</v>
      </c>
      <c r="I1433" s="183" t="s">
        <v>483</v>
      </c>
      <c r="J1433" s="183" t="s">
        <v>480</v>
      </c>
      <c r="K1433" s="183" t="s">
        <v>1932</v>
      </c>
    </row>
    <row r="1434" spans="8:11" x14ac:dyDescent="0.25">
      <c r="H1434" s="183" t="s">
        <v>538</v>
      </c>
      <c r="I1434" s="183" t="s">
        <v>483</v>
      </c>
      <c r="J1434" s="183" t="s">
        <v>483</v>
      </c>
      <c r="K1434" s="183" t="s">
        <v>1933</v>
      </c>
    </row>
    <row r="1435" spans="8:11" x14ac:dyDescent="0.25">
      <c r="H1435" s="183" t="s">
        <v>538</v>
      </c>
      <c r="I1435" s="183" t="s">
        <v>483</v>
      </c>
      <c r="J1435" s="183" t="s">
        <v>495</v>
      </c>
      <c r="K1435" s="183" t="s">
        <v>1934</v>
      </c>
    </row>
    <row r="1436" spans="8:11" x14ac:dyDescent="0.25">
      <c r="H1436" s="183" t="s">
        <v>538</v>
      </c>
      <c r="I1436" s="183" t="s">
        <v>483</v>
      </c>
      <c r="J1436" s="183" t="s">
        <v>499</v>
      </c>
      <c r="K1436" s="183" t="s">
        <v>1746</v>
      </c>
    </row>
    <row r="1437" spans="8:11" x14ac:dyDescent="0.25">
      <c r="H1437" s="183" t="s">
        <v>538</v>
      </c>
      <c r="I1437" s="183" t="s">
        <v>483</v>
      </c>
      <c r="J1437" s="183" t="s">
        <v>515</v>
      </c>
      <c r="K1437" s="183" t="s">
        <v>655</v>
      </c>
    </row>
    <row r="1438" spans="8:11" x14ac:dyDescent="0.25">
      <c r="H1438" s="183" t="s">
        <v>538</v>
      </c>
      <c r="I1438" s="183" t="s">
        <v>483</v>
      </c>
      <c r="J1438" s="183" t="s">
        <v>519</v>
      </c>
      <c r="K1438" s="183" t="s">
        <v>1935</v>
      </c>
    </row>
    <row r="1439" spans="8:11" x14ac:dyDescent="0.25">
      <c r="H1439" s="183" t="s">
        <v>538</v>
      </c>
      <c r="I1439" s="183" t="s">
        <v>487</v>
      </c>
      <c r="J1439" s="183" t="s">
        <v>480</v>
      </c>
      <c r="K1439" s="183" t="s">
        <v>1936</v>
      </c>
    </row>
    <row r="1440" spans="8:11" x14ac:dyDescent="0.25">
      <c r="H1440" s="183" t="s">
        <v>538</v>
      </c>
      <c r="I1440" s="183" t="s">
        <v>487</v>
      </c>
      <c r="J1440" s="183" t="s">
        <v>483</v>
      </c>
      <c r="K1440" s="183" t="s">
        <v>1937</v>
      </c>
    </row>
    <row r="1441" spans="8:11" x14ac:dyDescent="0.25">
      <c r="H1441" s="183" t="s">
        <v>538</v>
      </c>
      <c r="I1441" s="183" t="s">
        <v>487</v>
      </c>
      <c r="J1441" s="183" t="s">
        <v>487</v>
      </c>
      <c r="K1441" s="183" t="s">
        <v>1938</v>
      </c>
    </row>
    <row r="1442" spans="8:11" x14ac:dyDescent="0.25">
      <c r="H1442" s="183" t="s">
        <v>538</v>
      </c>
      <c r="I1442" s="183" t="s">
        <v>487</v>
      </c>
      <c r="J1442" s="183" t="s">
        <v>491</v>
      </c>
      <c r="K1442" s="183" t="s">
        <v>1939</v>
      </c>
    </row>
    <row r="1443" spans="8:11" x14ac:dyDescent="0.25">
      <c r="H1443" s="183" t="s">
        <v>538</v>
      </c>
      <c r="I1443" s="183" t="s">
        <v>487</v>
      </c>
      <c r="J1443" s="183" t="s">
        <v>495</v>
      </c>
      <c r="K1443" s="183" t="s">
        <v>1940</v>
      </c>
    </row>
    <row r="1444" spans="8:11" x14ac:dyDescent="0.25">
      <c r="H1444" s="183" t="s">
        <v>538</v>
      </c>
      <c r="I1444" s="183" t="s">
        <v>491</v>
      </c>
      <c r="J1444" s="183" t="s">
        <v>480</v>
      </c>
      <c r="K1444" s="183" t="s">
        <v>1941</v>
      </c>
    </row>
    <row r="1445" spans="8:11" x14ac:dyDescent="0.25">
      <c r="H1445" s="183" t="s">
        <v>538</v>
      </c>
      <c r="I1445" s="183" t="s">
        <v>491</v>
      </c>
      <c r="J1445" s="183" t="s">
        <v>483</v>
      </c>
      <c r="K1445" s="183" t="s">
        <v>1942</v>
      </c>
    </row>
    <row r="1446" spans="8:11" x14ac:dyDescent="0.25">
      <c r="H1446" s="183" t="s">
        <v>538</v>
      </c>
      <c r="I1446" s="183" t="s">
        <v>491</v>
      </c>
      <c r="J1446" s="183" t="s">
        <v>487</v>
      </c>
      <c r="K1446" s="183" t="s">
        <v>1943</v>
      </c>
    </row>
    <row r="1447" spans="8:11" x14ac:dyDescent="0.25">
      <c r="H1447" s="183" t="s">
        <v>538</v>
      </c>
      <c r="I1447" s="183" t="s">
        <v>491</v>
      </c>
      <c r="J1447" s="183" t="s">
        <v>491</v>
      </c>
      <c r="K1447" s="183" t="s">
        <v>653</v>
      </c>
    </row>
    <row r="1448" spans="8:11" x14ac:dyDescent="0.25">
      <c r="H1448" s="183" t="s">
        <v>538</v>
      </c>
      <c r="I1448" s="183" t="s">
        <v>495</v>
      </c>
      <c r="J1448" s="183" t="s">
        <v>480</v>
      </c>
      <c r="K1448" s="183" t="s">
        <v>789</v>
      </c>
    </row>
    <row r="1449" spans="8:11" x14ac:dyDescent="0.25">
      <c r="H1449" s="183" t="s">
        <v>538</v>
      </c>
      <c r="I1449" s="183" t="s">
        <v>495</v>
      </c>
      <c r="J1449" s="183" t="s">
        <v>483</v>
      </c>
      <c r="K1449" s="183" t="s">
        <v>1944</v>
      </c>
    </row>
    <row r="1450" spans="8:11" x14ac:dyDescent="0.25">
      <c r="H1450" s="183" t="s">
        <v>538</v>
      </c>
      <c r="I1450" s="183" t="s">
        <v>495</v>
      </c>
      <c r="J1450" s="183" t="s">
        <v>487</v>
      </c>
      <c r="K1450" s="183" t="s">
        <v>1945</v>
      </c>
    </row>
    <row r="1451" spans="8:11" x14ac:dyDescent="0.25">
      <c r="H1451" s="183" t="s">
        <v>538</v>
      </c>
      <c r="I1451" s="183" t="s">
        <v>495</v>
      </c>
      <c r="J1451" s="183" t="s">
        <v>491</v>
      </c>
      <c r="K1451" s="183" t="s">
        <v>1946</v>
      </c>
    </row>
    <row r="1452" spans="8:11" x14ac:dyDescent="0.25">
      <c r="H1452" s="183" t="s">
        <v>538</v>
      </c>
      <c r="I1452" s="183" t="s">
        <v>495</v>
      </c>
      <c r="J1452" s="183" t="s">
        <v>495</v>
      </c>
      <c r="K1452" s="183" t="s">
        <v>1947</v>
      </c>
    </row>
    <row r="1453" spans="8:11" x14ac:dyDescent="0.25">
      <c r="H1453" s="183" t="s">
        <v>538</v>
      </c>
      <c r="I1453" s="183" t="s">
        <v>495</v>
      </c>
      <c r="J1453" s="183" t="s">
        <v>499</v>
      </c>
      <c r="K1453" s="183" t="s">
        <v>1948</v>
      </c>
    </row>
    <row r="1454" spans="8:11" x14ac:dyDescent="0.25">
      <c r="H1454" s="183" t="s">
        <v>538</v>
      </c>
      <c r="I1454" s="183" t="s">
        <v>495</v>
      </c>
      <c r="J1454" s="183" t="s">
        <v>503</v>
      </c>
      <c r="K1454" s="183" t="s">
        <v>1949</v>
      </c>
    </row>
    <row r="1455" spans="8:11" x14ac:dyDescent="0.25">
      <c r="H1455" s="183" t="s">
        <v>538</v>
      </c>
      <c r="I1455" s="183" t="s">
        <v>495</v>
      </c>
      <c r="J1455" s="183" t="s">
        <v>507</v>
      </c>
      <c r="K1455" s="183" t="s">
        <v>1950</v>
      </c>
    </row>
    <row r="1456" spans="8:11" x14ac:dyDescent="0.25">
      <c r="H1456" s="183" t="s">
        <v>538</v>
      </c>
      <c r="I1456" s="183" t="s">
        <v>495</v>
      </c>
      <c r="J1456" s="183" t="s">
        <v>511</v>
      </c>
      <c r="K1456" s="183" t="s">
        <v>1951</v>
      </c>
    </row>
    <row r="1457" spans="8:11" x14ac:dyDescent="0.25">
      <c r="H1457" s="183" t="s">
        <v>538</v>
      </c>
      <c r="I1457" s="183" t="s">
        <v>495</v>
      </c>
      <c r="J1457" s="183" t="s">
        <v>515</v>
      </c>
      <c r="K1457" s="183" t="s">
        <v>1952</v>
      </c>
    </row>
    <row r="1458" spans="8:11" x14ac:dyDescent="0.25">
      <c r="H1458" s="183" t="s">
        <v>538</v>
      </c>
      <c r="I1458" s="183" t="s">
        <v>495</v>
      </c>
      <c r="J1458" s="183" t="s">
        <v>519</v>
      </c>
      <c r="K1458" s="183" t="s">
        <v>1953</v>
      </c>
    </row>
    <row r="1459" spans="8:11" x14ac:dyDescent="0.25">
      <c r="H1459" s="183" t="s">
        <v>538</v>
      </c>
      <c r="I1459" s="183" t="s">
        <v>499</v>
      </c>
      <c r="J1459" s="183" t="s">
        <v>480</v>
      </c>
      <c r="K1459" s="183" t="s">
        <v>1954</v>
      </c>
    </row>
    <row r="1460" spans="8:11" x14ac:dyDescent="0.25">
      <c r="H1460" s="183" t="s">
        <v>538</v>
      </c>
      <c r="I1460" s="183" t="s">
        <v>499</v>
      </c>
      <c r="J1460" s="183" t="s">
        <v>483</v>
      </c>
      <c r="K1460" s="183" t="s">
        <v>1955</v>
      </c>
    </row>
    <row r="1461" spans="8:11" x14ac:dyDescent="0.25">
      <c r="H1461" s="183" t="s">
        <v>538</v>
      </c>
      <c r="I1461" s="183" t="s">
        <v>499</v>
      </c>
      <c r="J1461" s="183" t="s">
        <v>487</v>
      </c>
      <c r="K1461" s="183" t="s">
        <v>1956</v>
      </c>
    </row>
    <row r="1462" spans="8:11" x14ac:dyDescent="0.25">
      <c r="H1462" s="183" t="s">
        <v>538</v>
      </c>
      <c r="I1462" s="183" t="s">
        <v>499</v>
      </c>
      <c r="J1462" s="183" t="s">
        <v>491</v>
      </c>
      <c r="K1462" s="183" t="s">
        <v>1648</v>
      </c>
    </row>
    <row r="1463" spans="8:11" x14ac:dyDescent="0.25">
      <c r="H1463" s="183" t="s">
        <v>538</v>
      </c>
      <c r="I1463" s="183" t="s">
        <v>499</v>
      </c>
      <c r="J1463" s="183" t="s">
        <v>495</v>
      </c>
      <c r="K1463" s="183" t="s">
        <v>1957</v>
      </c>
    </row>
    <row r="1464" spans="8:11" x14ac:dyDescent="0.25">
      <c r="H1464" s="183" t="s">
        <v>538</v>
      </c>
      <c r="I1464" s="183" t="s">
        <v>499</v>
      </c>
      <c r="J1464" s="183" t="s">
        <v>499</v>
      </c>
      <c r="K1464" s="183" t="s">
        <v>1958</v>
      </c>
    </row>
    <row r="1465" spans="8:11" x14ac:dyDescent="0.25">
      <c r="H1465" s="183" t="s">
        <v>538</v>
      </c>
      <c r="I1465" s="183" t="s">
        <v>503</v>
      </c>
      <c r="J1465" s="183" t="s">
        <v>480</v>
      </c>
      <c r="K1465" s="183" t="s">
        <v>766</v>
      </c>
    </row>
    <row r="1466" spans="8:11" x14ac:dyDescent="0.25">
      <c r="H1466" s="183" t="s">
        <v>538</v>
      </c>
      <c r="I1466" s="183" t="s">
        <v>503</v>
      </c>
      <c r="J1466" s="183" t="s">
        <v>483</v>
      </c>
      <c r="K1466" s="183" t="s">
        <v>1959</v>
      </c>
    </row>
    <row r="1467" spans="8:11" x14ac:dyDescent="0.25">
      <c r="H1467" s="183" t="s">
        <v>538</v>
      </c>
      <c r="I1467" s="183" t="s">
        <v>503</v>
      </c>
      <c r="J1467" s="183" t="s">
        <v>487</v>
      </c>
      <c r="K1467" s="183" t="s">
        <v>1960</v>
      </c>
    </row>
    <row r="1468" spans="8:11" x14ac:dyDescent="0.25">
      <c r="H1468" s="183" t="s">
        <v>538</v>
      </c>
      <c r="I1468" s="183" t="s">
        <v>503</v>
      </c>
      <c r="J1468" s="183" t="s">
        <v>491</v>
      </c>
      <c r="K1468" s="183" t="s">
        <v>1961</v>
      </c>
    </row>
    <row r="1469" spans="8:11" x14ac:dyDescent="0.25">
      <c r="H1469" s="183" t="s">
        <v>538</v>
      </c>
      <c r="I1469" s="183" t="s">
        <v>503</v>
      </c>
      <c r="J1469" s="183" t="s">
        <v>495</v>
      </c>
      <c r="K1469" s="183" t="s">
        <v>1962</v>
      </c>
    </row>
    <row r="1470" spans="8:11" x14ac:dyDescent="0.25">
      <c r="H1470" s="183" t="s">
        <v>538</v>
      </c>
      <c r="I1470" s="183" t="s">
        <v>503</v>
      </c>
      <c r="J1470" s="183" t="s">
        <v>499</v>
      </c>
      <c r="K1470" s="183" t="s">
        <v>1963</v>
      </c>
    </row>
    <row r="1471" spans="8:11" x14ac:dyDescent="0.25">
      <c r="H1471" s="183" t="s">
        <v>542</v>
      </c>
      <c r="I1471" s="183" t="s">
        <v>480</v>
      </c>
      <c r="J1471" s="183" t="s">
        <v>480</v>
      </c>
      <c r="K1471" s="183" t="s">
        <v>793</v>
      </c>
    </row>
    <row r="1472" spans="8:11" x14ac:dyDescent="0.25">
      <c r="H1472" s="183" t="s">
        <v>542</v>
      </c>
      <c r="I1472" s="183" t="s">
        <v>480</v>
      </c>
      <c r="J1472" s="183" t="s">
        <v>483</v>
      </c>
      <c r="K1472" s="183" t="s">
        <v>1964</v>
      </c>
    </row>
    <row r="1473" spans="8:11" x14ac:dyDescent="0.25">
      <c r="H1473" s="183" t="s">
        <v>542</v>
      </c>
      <c r="I1473" s="183" t="s">
        <v>480</v>
      </c>
      <c r="J1473" s="183" t="s">
        <v>487</v>
      </c>
      <c r="K1473" s="183" t="s">
        <v>1965</v>
      </c>
    </row>
    <row r="1474" spans="8:11" x14ac:dyDescent="0.25">
      <c r="H1474" s="183" t="s">
        <v>542</v>
      </c>
      <c r="I1474" s="183" t="s">
        <v>480</v>
      </c>
      <c r="J1474" s="183" t="s">
        <v>491</v>
      </c>
      <c r="K1474" s="183" t="s">
        <v>1966</v>
      </c>
    </row>
    <row r="1475" spans="8:11" x14ac:dyDescent="0.25">
      <c r="H1475" s="183" t="s">
        <v>542</v>
      </c>
      <c r="I1475" s="183" t="s">
        <v>483</v>
      </c>
      <c r="J1475" s="183" t="s">
        <v>480</v>
      </c>
      <c r="K1475" s="183" t="s">
        <v>795</v>
      </c>
    </row>
    <row r="1476" spans="8:11" x14ac:dyDescent="0.25">
      <c r="H1476" s="183" t="s">
        <v>542</v>
      </c>
      <c r="I1476" s="183" t="s">
        <v>483</v>
      </c>
      <c r="J1476" s="183" t="s">
        <v>483</v>
      </c>
      <c r="K1476" s="183" t="s">
        <v>1967</v>
      </c>
    </row>
    <row r="1477" spans="8:11" x14ac:dyDescent="0.25">
      <c r="H1477" s="183" t="s">
        <v>542</v>
      </c>
      <c r="I1477" s="183" t="s">
        <v>483</v>
      </c>
      <c r="J1477" s="183" t="s">
        <v>487</v>
      </c>
      <c r="K1477" s="183" t="s">
        <v>543</v>
      </c>
    </row>
    <row r="1478" spans="8:11" x14ac:dyDescent="0.25">
      <c r="H1478" s="183" t="s">
        <v>542</v>
      </c>
      <c r="I1478" s="183" t="s">
        <v>483</v>
      </c>
      <c r="J1478" s="183" t="s">
        <v>491</v>
      </c>
      <c r="K1478" s="183" t="s">
        <v>1968</v>
      </c>
    </row>
    <row r="1479" spans="8:11" x14ac:dyDescent="0.25">
      <c r="H1479" s="183" t="s">
        <v>542</v>
      </c>
      <c r="I1479" s="183" t="s">
        <v>487</v>
      </c>
      <c r="J1479" s="183" t="s">
        <v>480</v>
      </c>
      <c r="K1479" s="183" t="s">
        <v>1969</v>
      </c>
    </row>
    <row r="1480" spans="8:11" x14ac:dyDescent="0.25">
      <c r="H1480" s="183" t="s">
        <v>542</v>
      </c>
      <c r="I1480" s="183" t="s">
        <v>487</v>
      </c>
      <c r="J1480" s="183" t="s">
        <v>483</v>
      </c>
      <c r="K1480" s="183" t="s">
        <v>1970</v>
      </c>
    </row>
    <row r="1481" spans="8:11" x14ac:dyDescent="0.25">
      <c r="H1481" s="183" t="s">
        <v>542</v>
      </c>
      <c r="I1481" s="183" t="s">
        <v>487</v>
      </c>
      <c r="J1481" s="183" t="s">
        <v>487</v>
      </c>
      <c r="K1481" s="183" t="s">
        <v>797</v>
      </c>
    </row>
    <row r="1482" spans="8:11" x14ac:dyDescent="0.25">
      <c r="H1482" s="183" t="s">
        <v>546</v>
      </c>
      <c r="I1482" s="183" t="s">
        <v>480</v>
      </c>
      <c r="J1482" s="183" t="s">
        <v>480</v>
      </c>
      <c r="K1482" s="183" t="s">
        <v>547</v>
      </c>
    </row>
    <row r="1483" spans="8:11" x14ac:dyDescent="0.25">
      <c r="H1483" s="183" t="s">
        <v>546</v>
      </c>
      <c r="I1483" s="183" t="s">
        <v>480</v>
      </c>
      <c r="J1483" s="183" t="s">
        <v>483</v>
      </c>
      <c r="K1483" s="183" t="s">
        <v>1971</v>
      </c>
    </row>
    <row r="1484" spans="8:11" x14ac:dyDescent="0.25">
      <c r="H1484" s="183" t="s">
        <v>546</v>
      </c>
      <c r="I1484" s="183" t="s">
        <v>480</v>
      </c>
      <c r="J1484" s="183" t="s">
        <v>487</v>
      </c>
      <c r="K1484" s="183" t="s">
        <v>1972</v>
      </c>
    </row>
    <row r="1485" spans="8:11" x14ac:dyDescent="0.25">
      <c r="H1485" s="183" t="s">
        <v>546</v>
      </c>
      <c r="I1485" s="183" t="s">
        <v>480</v>
      </c>
      <c r="J1485" s="183" t="s">
        <v>491</v>
      </c>
      <c r="K1485" s="183" t="s">
        <v>1973</v>
      </c>
    </row>
    <row r="1486" spans="8:11" x14ac:dyDescent="0.25">
      <c r="H1486" s="183" t="s">
        <v>546</v>
      </c>
      <c r="I1486" s="183" t="s">
        <v>480</v>
      </c>
      <c r="J1486" s="183" t="s">
        <v>495</v>
      </c>
      <c r="K1486" s="183" t="s">
        <v>638</v>
      </c>
    </row>
    <row r="1487" spans="8:11" x14ac:dyDescent="0.25">
      <c r="H1487" s="183" t="s">
        <v>546</v>
      </c>
      <c r="I1487" s="183" t="s">
        <v>480</v>
      </c>
      <c r="J1487" s="183" t="s">
        <v>499</v>
      </c>
      <c r="K1487" s="183" t="s">
        <v>1974</v>
      </c>
    </row>
    <row r="1488" spans="8:11" x14ac:dyDescent="0.25">
      <c r="H1488" s="183" t="s">
        <v>546</v>
      </c>
      <c r="I1488" s="183" t="s">
        <v>483</v>
      </c>
      <c r="J1488" s="183" t="s">
        <v>480</v>
      </c>
      <c r="K1488" s="183" t="s">
        <v>1975</v>
      </c>
    </row>
    <row r="1489" spans="8:11" x14ac:dyDescent="0.25">
      <c r="H1489" s="183" t="s">
        <v>546</v>
      </c>
      <c r="I1489" s="183" t="s">
        <v>483</v>
      </c>
      <c r="J1489" s="183" t="s">
        <v>483</v>
      </c>
      <c r="K1489" s="183" t="s">
        <v>1976</v>
      </c>
    </row>
    <row r="1490" spans="8:11" x14ac:dyDescent="0.25">
      <c r="H1490" s="183" t="s">
        <v>546</v>
      </c>
      <c r="I1490" s="183" t="s">
        <v>483</v>
      </c>
      <c r="J1490" s="183" t="s">
        <v>487</v>
      </c>
      <c r="K1490" s="183" t="s">
        <v>1977</v>
      </c>
    </row>
    <row r="1491" spans="8:11" x14ac:dyDescent="0.25">
      <c r="H1491" s="183" t="s">
        <v>546</v>
      </c>
      <c r="I1491" s="183" t="s">
        <v>483</v>
      </c>
      <c r="J1491" s="183" t="s">
        <v>491</v>
      </c>
      <c r="K1491" s="183" t="s">
        <v>1978</v>
      </c>
    </row>
    <row r="1492" spans="8:11" x14ac:dyDescent="0.25">
      <c r="H1492" s="183" t="s">
        <v>546</v>
      </c>
      <c r="I1492" s="183" t="s">
        <v>483</v>
      </c>
      <c r="J1492" s="183" t="s">
        <v>495</v>
      </c>
      <c r="K1492" s="183" t="s">
        <v>1979</v>
      </c>
    </row>
    <row r="1493" spans="8:11" x14ac:dyDescent="0.25">
      <c r="H1493" s="183" t="s">
        <v>546</v>
      </c>
      <c r="I1493" s="183" t="s">
        <v>483</v>
      </c>
      <c r="J1493" s="183" t="s">
        <v>499</v>
      </c>
      <c r="K1493" s="183" t="s">
        <v>1980</v>
      </c>
    </row>
    <row r="1494" spans="8:11" x14ac:dyDescent="0.25">
      <c r="H1494" s="183" t="s">
        <v>546</v>
      </c>
      <c r="I1494" s="183" t="s">
        <v>483</v>
      </c>
      <c r="J1494" s="183" t="s">
        <v>503</v>
      </c>
      <c r="K1494" s="183" t="s">
        <v>1981</v>
      </c>
    </row>
    <row r="1495" spans="8:11" x14ac:dyDescent="0.25">
      <c r="H1495" s="183" t="s">
        <v>546</v>
      </c>
      <c r="I1495" s="183" t="s">
        <v>483</v>
      </c>
      <c r="J1495" s="183" t="s">
        <v>507</v>
      </c>
      <c r="K1495" s="183" t="s">
        <v>1982</v>
      </c>
    </row>
    <row r="1496" spans="8:11" x14ac:dyDescent="0.25">
      <c r="H1496" s="183" t="s">
        <v>546</v>
      </c>
      <c r="I1496" s="183" t="s">
        <v>483</v>
      </c>
      <c r="J1496" s="183" t="s">
        <v>511</v>
      </c>
      <c r="K1496" s="183" t="s">
        <v>1983</v>
      </c>
    </row>
    <row r="1497" spans="8:11" x14ac:dyDescent="0.25">
      <c r="H1497" s="183" t="s">
        <v>546</v>
      </c>
      <c r="I1497" s="183" t="s">
        <v>483</v>
      </c>
      <c r="J1497" s="183" t="s">
        <v>515</v>
      </c>
      <c r="K1497" s="183" t="s">
        <v>1984</v>
      </c>
    </row>
    <row r="1498" spans="8:11" x14ac:dyDescent="0.25">
      <c r="H1498" s="183" t="s">
        <v>546</v>
      </c>
      <c r="I1498" s="183" t="s">
        <v>483</v>
      </c>
      <c r="J1498" s="183" t="s">
        <v>519</v>
      </c>
      <c r="K1498" s="183" t="s">
        <v>1985</v>
      </c>
    </row>
    <row r="1499" spans="8:11" x14ac:dyDescent="0.25">
      <c r="H1499" s="183" t="s">
        <v>546</v>
      </c>
      <c r="I1499" s="183" t="s">
        <v>487</v>
      </c>
      <c r="J1499" s="183" t="s">
        <v>480</v>
      </c>
      <c r="K1499" s="183" t="s">
        <v>802</v>
      </c>
    </row>
    <row r="1500" spans="8:11" x14ac:dyDescent="0.25">
      <c r="H1500" s="183" t="s">
        <v>546</v>
      </c>
      <c r="I1500" s="183" t="s">
        <v>487</v>
      </c>
      <c r="J1500" s="183" t="s">
        <v>483</v>
      </c>
      <c r="K1500" s="183" t="s">
        <v>1986</v>
      </c>
    </row>
    <row r="1501" spans="8:11" x14ac:dyDescent="0.25">
      <c r="H1501" s="183" t="s">
        <v>546</v>
      </c>
      <c r="I1501" s="183" t="s">
        <v>487</v>
      </c>
      <c r="J1501" s="183" t="s">
        <v>487</v>
      </c>
      <c r="K1501" s="183" t="s">
        <v>1987</v>
      </c>
    </row>
    <row r="1502" spans="8:11" x14ac:dyDescent="0.25">
      <c r="H1502" s="183" t="s">
        <v>550</v>
      </c>
      <c r="I1502" s="183" t="s">
        <v>480</v>
      </c>
      <c r="J1502" s="183" t="s">
        <v>480</v>
      </c>
      <c r="K1502" s="183" t="s">
        <v>1988</v>
      </c>
    </row>
    <row r="1503" spans="8:11" x14ac:dyDescent="0.25">
      <c r="H1503" s="183" t="s">
        <v>550</v>
      </c>
      <c r="I1503" s="183" t="s">
        <v>480</v>
      </c>
      <c r="J1503" s="183" t="s">
        <v>483</v>
      </c>
      <c r="K1503" s="183" t="s">
        <v>1989</v>
      </c>
    </row>
    <row r="1504" spans="8:11" x14ac:dyDescent="0.25">
      <c r="H1504" s="183" t="s">
        <v>550</v>
      </c>
      <c r="I1504" s="183" t="s">
        <v>480</v>
      </c>
      <c r="J1504" s="183" t="s">
        <v>487</v>
      </c>
      <c r="K1504" s="183" t="s">
        <v>1990</v>
      </c>
    </row>
    <row r="1505" spans="8:11" x14ac:dyDescent="0.25">
      <c r="H1505" s="183" t="s">
        <v>550</v>
      </c>
      <c r="I1505" s="183" t="s">
        <v>480</v>
      </c>
      <c r="J1505" s="183" t="s">
        <v>491</v>
      </c>
      <c r="K1505" s="183" t="s">
        <v>1991</v>
      </c>
    </row>
    <row r="1506" spans="8:11" x14ac:dyDescent="0.25">
      <c r="H1506" s="183" t="s">
        <v>550</v>
      </c>
      <c r="I1506" s="183" t="s">
        <v>480</v>
      </c>
      <c r="J1506" s="183" t="s">
        <v>495</v>
      </c>
      <c r="K1506" s="183" t="s">
        <v>1992</v>
      </c>
    </row>
    <row r="1507" spans="8:11" x14ac:dyDescent="0.25">
      <c r="H1507" s="183" t="s">
        <v>550</v>
      </c>
      <c r="I1507" s="183" t="s">
        <v>480</v>
      </c>
      <c r="J1507" s="183" t="s">
        <v>499</v>
      </c>
      <c r="K1507" s="183" t="s">
        <v>1993</v>
      </c>
    </row>
    <row r="1508" spans="8:11" x14ac:dyDescent="0.25">
      <c r="H1508" s="183" t="s">
        <v>550</v>
      </c>
      <c r="I1508" s="183" t="s">
        <v>480</v>
      </c>
      <c r="J1508" s="183" t="s">
        <v>503</v>
      </c>
      <c r="K1508" s="183" t="s">
        <v>677</v>
      </c>
    </row>
    <row r="1509" spans="8:11" x14ac:dyDescent="0.25">
      <c r="H1509" s="183" t="s">
        <v>550</v>
      </c>
      <c r="I1509" s="183" t="s">
        <v>480</v>
      </c>
      <c r="J1509" s="183" t="s">
        <v>507</v>
      </c>
      <c r="K1509" s="183" t="s">
        <v>1994</v>
      </c>
    </row>
    <row r="1510" spans="8:11" x14ac:dyDescent="0.25">
      <c r="H1510" s="183" t="s">
        <v>550</v>
      </c>
      <c r="I1510" s="183" t="s">
        <v>480</v>
      </c>
      <c r="J1510" s="183" t="s">
        <v>511</v>
      </c>
      <c r="K1510" s="183" t="s">
        <v>1995</v>
      </c>
    </row>
    <row r="1511" spans="8:11" x14ac:dyDescent="0.25">
      <c r="H1511" s="183" t="s">
        <v>550</v>
      </c>
      <c r="I1511" s="183" t="s">
        <v>480</v>
      </c>
      <c r="J1511" s="183" t="s">
        <v>515</v>
      </c>
      <c r="K1511" s="183" t="s">
        <v>1996</v>
      </c>
    </row>
    <row r="1512" spans="8:11" x14ac:dyDescent="0.25">
      <c r="H1512" s="183" t="s">
        <v>550</v>
      </c>
      <c r="I1512" s="183" t="s">
        <v>480</v>
      </c>
      <c r="J1512" s="183" t="s">
        <v>519</v>
      </c>
      <c r="K1512" s="183" t="s">
        <v>1997</v>
      </c>
    </row>
    <row r="1513" spans="8:11" x14ac:dyDescent="0.25">
      <c r="H1513" s="183" t="s">
        <v>550</v>
      </c>
      <c r="I1513" s="183" t="s">
        <v>480</v>
      </c>
      <c r="J1513" s="183" t="s">
        <v>522</v>
      </c>
      <c r="K1513" s="183" t="s">
        <v>1998</v>
      </c>
    </row>
    <row r="1514" spans="8:11" x14ac:dyDescent="0.25">
      <c r="H1514" s="183" t="s">
        <v>550</v>
      </c>
      <c r="I1514" s="183" t="s">
        <v>480</v>
      </c>
      <c r="J1514" s="183" t="s">
        <v>526</v>
      </c>
      <c r="K1514" s="183" t="s">
        <v>1672</v>
      </c>
    </row>
    <row r="1515" spans="8:11" x14ac:dyDescent="0.25">
      <c r="H1515" s="183" t="s">
        <v>550</v>
      </c>
      <c r="I1515" s="183" t="s">
        <v>483</v>
      </c>
      <c r="J1515" s="183" t="s">
        <v>480</v>
      </c>
      <c r="K1515" s="183" t="s">
        <v>1999</v>
      </c>
    </row>
    <row r="1516" spans="8:11" x14ac:dyDescent="0.25">
      <c r="H1516" s="183" t="s">
        <v>550</v>
      </c>
      <c r="I1516" s="183" t="s">
        <v>483</v>
      </c>
      <c r="J1516" s="183" t="s">
        <v>483</v>
      </c>
      <c r="K1516" s="183" t="s">
        <v>2000</v>
      </c>
    </row>
    <row r="1517" spans="8:11" x14ac:dyDescent="0.25">
      <c r="H1517" s="183" t="s">
        <v>550</v>
      </c>
      <c r="I1517" s="183" t="s">
        <v>483</v>
      </c>
      <c r="J1517" s="183" t="s">
        <v>487</v>
      </c>
      <c r="K1517" s="183" t="s">
        <v>2001</v>
      </c>
    </row>
    <row r="1518" spans="8:11" x14ac:dyDescent="0.25">
      <c r="H1518" s="183" t="s">
        <v>550</v>
      </c>
      <c r="I1518" s="183" t="s">
        <v>483</v>
      </c>
      <c r="J1518" s="183" t="s">
        <v>491</v>
      </c>
      <c r="K1518" s="183" t="s">
        <v>2002</v>
      </c>
    </row>
    <row r="1519" spans="8:11" x14ac:dyDescent="0.25">
      <c r="H1519" s="183" t="s">
        <v>550</v>
      </c>
      <c r="I1519" s="183" t="s">
        <v>483</v>
      </c>
      <c r="J1519" s="183" t="s">
        <v>495</v>
      </c>
      <c r="K1519" s="183" t="s">
        <v>2003</v>
      </c>
    </row>
    <row r="1520" spans="8:11" x14ac:dyDescent="0.25">
      <c r="H1520" s="183" t="s">
        <v>550</v>
      </c>
      <c r="I1520" s="183" t="s">
        <v>483</v>
      </c>
      <c r="J1520" s="183" t="s">
        <v>499</v>
      </c>
      <c r="K1520" s="183" t="s">
        <v>2004</v>
      </c>
    </row>
    <row r="1521" spans="8:11" x14ac:dyDescent="0.25">
      <c r="H1521" s="183" t="s">
        <v>550</v>
      </c>
      <c r="I1521" s="183" t="s">
        <v>483</v>
      </c>
      <c r="J1521" s="183" t="s">
        <v>503</v>
      </c>
      <c r="K1521" s="183" t="s">
        <v>2005</v>
      </c>
    </row>
    <row r="1522" spans="8:11" x14ac:dyDescent="0.25">
      <c r="H1522" s="183" t="s">
        <v>550</v>
      </c>
      <c r="I1522" s="183" t="s">
        <v>483</v>
      </c>
      <c r="J1522" s="183" t="s">
        <v>507</v>
      </c>
      <c r="K1522" s="183" t="s">
        <v>995</v>
      </c>
    </row>
    <row r="1523" spans="8:11" x14ac:dyDescent="0.25">
      <c r="H1523" s="183" t="s">
        <v>550</v>
      </c>
      <c r="I1523" s="183" t="s">
        <v>487</v>
      </c>
      <c r="J1523" s="183" t="s">
        <v>480</v>
      </c>
      <c r="K1523" s="183" t="s">
        <v>807</v>
      </c>
    </row>
    <row r="1524" spans="8:11" x14ac:dyDescent="0.25">
      <c r="H1524" s="183" t="s">
        <v>550</v>
      </c>
      <c r="I1524" s="183" t="s">
        <v>487</v>
      </c>
      <c r="J1524" s="183" t="s">
        <v>483</v>
      </c>
      <c r="K1524" s="183" t="s">
        <v>2006</v>
      </c>
    </row>
    <row r="1525" spans="8:11" x14ac:dyDescent="0.25">
      <c r="H1525" s="183" t="s">
        <v>550</v>
      </c>
      <c r="I1525" s="183" t="s">
        <v>487</v>
      </c>
      <c r="J1525" s="183" t="s">
        <v>487</v>
      </c>
      <c r="K1525" s="183" t="s">
        <v>812</v>
      </c>
    </row>
    <row r="1526" spans="8:11" x14ac:dyDescent="0.25">
      <c r="H1526" s="183" t="s">
        <v>550</v>
      </c>
      <c r="I1526" s="183" t="s">
        <v>487</v>
      </c>
      <c r="J1526" s="183" t="s">
        <v>491</v>
      </c>
      <c r="K1526" s="183" t="s">
        <v>2007</v>
      </c>
    </row>
    <row r="1527" spans="8:11" x14ac:dyDescent="0.25">
      <c r="H1527" s="183" t="s">
        <v>550</v>
      </c>
      <c r="I1527" s="183" t="s">
        <v>487</v>
      </c>
      <c r="J1527" s="183" t="s">
        <v>495</v>
      </c>
      <c r="K1527" s="183" t="s">
        <v>2008</v>
      </c>
    </row>
    <row r="1528" spans="8:11" x14ac:dyDescent="0.25">
      <c r="H1528" s="183" t="s">
        <v>550</v>
      </c>
      <c r="I1528" s="183" t="s">
        <v>487</v>
      </c>
      <c r="J1528" s="183" t="s">
        <v>499</v>
      </c>
      <c r="K1528" s="183" t="s">
        <v>2009</v>
      </c>
    </row>
    <row r="1529" spans="8:11" x14ac:dyDescent="0.25">
      <c r="H1529" s="183" t="s">
        <v>550</v>
      </c>
      <c r="I1529" s="183" t="s">
        <v>487</v>
      </c>
      <c r="J1529" s="183" t="s">
        <v>503</v>
      </c>
      <c r="K1529" s="183" t="s">
        <v>2010</v>
      </c>
    </row>
    <row r="1530" spans="8:11" x14ac:dyDescent="0.25">
      <c r="H1530" s="183" t="s">
        <v>554</v>
      </c>
      <c r="I1530" s="183" t="s">
        <v>480</v>
      </c>
      <c r="J1530" s="183" t="s">
        <v>480</v>
      </c>
      <c r="K1530" s="183" t="s">
        <v>555</v>
      </c>
    </row>
    <row r="1531" spans="8:11" x14ac:dyDescent="0.25">
      <c r="H1531" s="183" t="s">
        <v>554</v>
      </c>
      <c r="I1531" s="183" t="s">
        <v>480</v>
      </c>
      <c r="J1531" s="183" t="s">
        <v>491</v>
      </c>
      <c r="K1531" s="183" t="s">
        <v>601</v>
      </c>
    </row>
    <row r="1532" spans="8:11" x14ac:dyDescent="0.25">
      <c r="H1532" s="183" t="s">
        <v>554</v>
      </c>
      <c r="I1532" s="183" t="s">
        <v>480</v>
      </c>
      <c r="J1532" s="183" t="s">
        <v>495</v>
      </c>
      <c r="K1532" s="183" t="s">
        <v>2011</v>
      </c>
    </row>
    <row r="1533" spans="8:11" x14ac:dyDescent="0.25">
      <c r="H1533" s="183" t="s">
        <v>554</v>
      </c>
      <c r="I1533" s="183" t="s">
        <v>480</v>
      </c>
      <c r="J1533" s="183" t="s">
        <v>503</v>
      </c>
      <c r="K1533" s="183" t="s">
        <v>2012</v>
      </c>
    </row>
    <row r="1534" spans="8:11" x14ac:dyDescent="0.25">
      <c r="H1534" s="183" t="s">
        <v>554</v>
      </c>
      <c r="I1534" s="183" t="s">
        <v>480</v>
      </c>
      <c r="J1534" s="183" t="s">
        <v>507</v>
      </c>
      <c r="K1534" s="183" t="s">
        <v>2013</v>
      </c>
    </row>
    <row r="1535" spans="8:11" x14ac:dyDescent="0.25">
      <c r="H1535" s="183" t="s">
        <v>554</v>
      </c>
      <c r="I1535" s="183" t="s">
        <v>480</v>
      </c>
      <c r="J1535" s="183" t="s">
        <v>511</v>
      </c>
      <c r="K1535" s="183" t="s">
        <v>2014</v>
      </c>
    </row>
    <row r="1536" spans="8:11" x14ac:dyDescent="0.25">
      <c r="H1536" s="183" t="s">
        <v>554</v>
      </c>
      <c r="I1536" s="183" t="s">
        <v>480</v>
      </c>
      <c r="J1536" s="183" t="s">
        <v>515</v>
      </c>
      <c r="K1536" s="183" t="s">
        <v>609</v>
      </c>
    </row>
    <row r="1537" spans="8:11" x14ac:dyDescent="0.25">
      <c r="H1537" s="183" t="s">
        <v>554</v>
      </c>
      <c r="I1537" s="183" t="s">
        <v>480</v>
      </c>
      <c r="J1537" s="183" t="s">
        <v>519</v>
      </c>
      <c r="K1537" s="183" t="s">
        <v>2015</v>
      </c>
    </row>
    <row r="1538" spans="8:11" x14ac:dyDescent="0.25">
      <c r="H1538" s="183" t="s">
        <v>554</v>
      </c>
      <c r="I1538" s="183" t="s">
        <v>480</v>
      </c>
      <c r="J1538" s="183" t="s">
        <v>530</v>
      </c>
      <c r="K1538" s="183" t="s">
        <v>2016</v>
      </c>
    </row>
    <row r="1539" spans="8:11" x14ac:dyDescent="0.25">
      <c r="H1539" s="183" t="s">
        <v>554</v>
      </c>
      <c r="I1539" s="183" t="s">
        <v>483</v>
      </c>
      <c r="J1539" s="183" t="s">
        <v>480</v>
      </c>
      <c r="K1539" s="183" t="s">
        <v>810</v>
      </c>
    </row>
    <row r="1540" spans="8:11" x14ac:dyDescent="0.25">
      <c r="H1540" s="183" t="s">
        <v>554</v>
      </c>
      <c r="I1540" s="183" t="s">
        <v>483</v>
      </c>
      <c r="J1540" s="183" t="s">
        <v>483</v>
      </c>
      <c r="K1540" s="183" t="s">
        <v>2017</v>
      </c>
    </row>
    <row r="1541" spans="8:11" x14ac:dyDescent="0.25">
      <c r="H1541" s="183" t="s">
        <v>554</v>
      </c>
      <c r="I1541" s="183" t="s">
        <v>483</v>
      </c>
      <c r="J1541" s="183" t="s">
        <v>487</v>
      </c>
      <c r="K1541" s="183" t="s">
        <v>2018</v>
      </c>
    </row>
    <row r="1542" spans="8:11" x14ac:dyDescent="0.25">
      <c r="H1542" s="183" t="s">
        <v>554</v>
      </c>
      <c r="I1542" s="183" t="s">
        <v>483</v>
      </c>
      <c r="J1542" s="183" t="s">
        <v>491</v>
      </c>
      <c r="K1542" s="183" t="s">
        <v>1746</v>
      </c>
    </row>
    <row r="1543" spans="8:11" x14ac:dyDescent="0.25">
      <c r="H1543" s="183" t="s">
        <v>554</v>
      </c>
      <c r="I1543" s="183" t="s">
        <v>483</v>
      </c>
      <c r="J1543" s="183" t="s">
        <v>495</v>
      </c>
      <c r="K1543" s="183" t="s">
        <v>2019</v>
      </c>
    </row>
    <row r="1544" spans="8:11" x14ac:dyDescent="0.25">
      <c r="H1544" s="183" t="s">
        <v>554</v>
      </c>
      <c r="I1544" s="183" t="s">
        <v>483</v>
      </c>
      <c r="J1544" s="183" t="s">
        <v>499</v>
      </c>
      <c r="K1544" s="183" t="s">
        <v>2020</v>
      </c>
    </row>
    <row r="1545" spans="8:11" x14ac:dyDescent="0.25">
      <c r="H1545" s="183" t="s">
        <v>554</v>
      </c>
      <c r="I1545" s="183" t="s">
        <v>483</v>
      </c>
      <c r="J1545" s="183" t="s">
        <v>503</v>
      </c>
      <c r="K1545" s="183" t="s">
        <v>2021</v>
      </c>
    </row>
    <row r="1546" spans="8:11" x14ac:dyDescent="0.25">
      <c r="H1546" s="183" t="s">
        <v>554</v>
      </c>
      <c r="I1546" s="183" t="s">
        <v>483</v>
      </c>
      <c r="J1546" s="183" t="s">
        <v>507</v>
      </c>
      <c r="K1546" s="183" t="s">
        <v>2022</v>
      </c>
    </row>
    <row r="1547" spans="8:11" x14ac:dyDescent="0.25">
      <c r="H1547" s="183" t="s">
        <v>554</v>
      </c>
      <c r="I1547" s="183" t="s">
        <v>483</v>
      </c>
      <c r="J1547" s="183" t="s">
        <v>511</v>
      </c>
      <c r="K1547" s="183" t="s">
        <v>2023</v>
      </c>
    </row>
    <row r="1548" spans="8:11" x14ac:dyDescent="0.25">
      <c r="H1548" s="183" t="s">
        <v>554</v>
      </c>
      <c r="I1548" s="183" t="s">
        <v>483</v>
      </c>
      <c r="J1548" s="183" t="s">
        <v>515</v>
      </c>
      <c r="K1548" s="183" t="s">
        <v>2024</v>
      </c>
    </row>
    <row r="1549" spans="8:11" x14ac:dyDescent="0.25">
      <c r="H1549" s="183" t="s">
        <v>554</v>
      </c>
      <c r="I1549" s="183" t="s">
        <v>487</v>
      </c>
      <c r="J1549" s="183" t="s">
        <v>480</v>
      </c>
      <c r="K1549" s="183" t="s">
        <v>812</v>
      </c>
    </row>
    <row r="1550" spans="8:11" x14ac:dyDescent="0.25">
      <c r="H1550" s="183" t="s">
        <v>554</v>
      </c>
      <c r="I1550" s="183" t="s">
        <v>487</v>
      </c>
      <c r="J1550" s="183" t="s">
        <v>483</v>
      </c>
      <c r="K1550" s="183" t="s">
        <v>2025</v>
      </c>
    </row>
    <row r="1551" spans="8:11" x14ac:dyDescent="0.25">
      <c r="H1551" s="183" t="s">
        <v>554</v>
      </c>
      <c r="I1551" s="183" t="s">
        <v>487</v>
      </c>
      <c r="J1551" s="183" t="s">
        <v>487</v>
      </c>
      <c r="K1551" s="183" t="s">
        <v>2026</v>
      </c>
    </row>
    <row r="1552" spans="8:11" x14ac:dyDescent="0.25">
      <c r="H1552" s="183" t="s">
        <v>554</v>
      </c>
      <c r="I1552" s="183" t="s">
        <v>487</v>
      </c>
      <c r="J1552" s="183" t="s">
        <v>491</v>
      </c>
      <c r="K1552" s="183" t="s">
        <v>2027</v>
      </c>
    </row>
    <row r="1553" spans="8:11" x14ac:dyDescent="0.25">
      <c r="H1553" s="183" t="s">
        <v>554</v>
      </c>
      <c r="I1553" s="183" t="s">
        <v>487</v>
      </c>
      <c r="J1553" s="183" t="s">
        <v>495</v>
      </c>
      <c r="K1553" s="183" t="s">
        <v>2028</v>
      </c>
    </row>
    <row r="1554" spans="8:11" x14ac:dyDescent="0.25">
      <c r="H1554" s="183" t="s">
        <v>554</v>
      </c>
      <c r="I1554" s="183" t="s">
        <v>487</v>
      </c>
      <c r="J1554" s="183" t="s">
        <v>499</v>
      </c>
      <c r="K1554" s="183" t="s">
        <v>2029</v>
      </c>
    </row>
    <row r="1555" spans="8:11" x14ac:dyDescent="0.25">
      <c r="H1555" s="183" t="s">
        <v>554</v>
      </c>
      <c r="I1555" s="183" t="s">
        <v>487</v>
      </c>
      <c r="J1555" s="183" t="s">
        <v>503</v>
      </c>
      <c r="K1555" s="183" t="s">
        <v>2030</v>
      </c>
    </row>
    <row r="1556" spans="8:11" x14ac:dyDescent="0.25">
      <c r="H1556" s="183" t="s">
        <v>554</v>
      </c>
      <c r="I1556" s="183" t="s">
        <v>487</v>
      </c>
      <c r="J1556" s="183" t="s">
        <v>507</v>
      </c>
      <c r="K1556" s="183" t="s">
        <v>2031</v>
      </c>
    </row>
    <row r="1557" spans="8:11" x14ac:dyDescent="0.25">
      <c r="H1557" s="183" t="s">
        <v>554</v>
      </c>
      <c r="I1557" s="183" t="s">
        <v>491</v>
      </c>
      <c r="J1557" s="183" t="s">
        <v>480</v>
      </c>
      <c r="K1557" s="183" t="s">
        <v>2032</v>
      </c>
    </row>
    <row r="1558" spans="8:11" x14ac:dyDescent="0.25">
      <c r="H1558" s="183" t="s">
        <v>554</v>
      </c>
      <c r="I1558" s="183" t="s">
        <v>491</v>
      </c>
      <c r="J1558" s="183" t="s">
        <v>483</v>
      </c>
      <c r="K1558" s="183" t="s">
        <v>2033</v>
      </c>
    </row>
    <row r="1559" spans="8:11" x14ac:dyDescent="0.25">
      <c r="H1559" s="183" t="s">
        <v>554</v>
      </c>
      <c r="I1559" s="183" t="s">
        <v>491</v>
      </c>
      <c r="J1559" s="183" t="s">
        <v>487</v>
      </c>
      <c r="K1559" s="183" t="s">
        <v>2034</v>
      </c>
    </row>
    <row r="1560" spans="8:11" x14ac:dyDescent="0.25">
      <c r="H1560" s="183" t="s">
        <v>554</v>
      </c>
      <c r="I1560" s="183" t="s">
        <v>491</v>
      </c>
      <c r="J1560" s="183" t="s">
        <v>491</v>
      </c>
      <c r="K1560" s="183" t="s">
        <v>2035</v>
      </c>
    </row>
    <row r="1561" spans="8:11" x14ac:dyDescent="0.25">
      <c r="H1561" s="183" t="s">
        <v>554</v>
      </c>
      <c r="I1561" s="183" t="s">
        <v>491</v>
      </c>
      <c r="J1561" s="183" t="s">
        <v>495</v>
      </c>
      <c r="K1561" s="183" t="s">
        <v>814</v>
      </c>
    </row>
    <row r="1562" spans="8:11" x14ac:dyDescent="0.25">
      <c r="H1562" s="183" t="s">
        <v>554</v>
      </c>
      <c r="I1562" s="183" t="s">
        <v>491</v>
      </c>
      <c r="J1562" s="183" t="s">
        <v>499</v>
      </c>
      <c r="K1562" s="183" t="s">
        <v>2036</v>
      </c>
    </row>
    <row r="1563" spans="8:11" x14ac:dyDescent="0.25">
      <c r="H1563" s="183" t="s">
        <v>554</v>
      </c>
      <c r="I1563" s="183" t="s">
        <v>491</v>
      </c>
      <c r="J1563" s="183" t="s">
        <v>503</v>
      </c>
      <c r="K1563" s="183" t="s">
        <v>2037</v>
      </c>
    </row>
    <row r="1564" spans="8:11" x14ac:dyDescent="0.25">
      <c r="H1564" s="183" t="s">
        <v>554</v>
      </c>
      <c r="I1564" s="183" t="s">
        <v>491</v>
      </c>
      <c r="J1564" s="183" t="s">
        <v>507</v>
      </c>
      <c r="K1564" s="183" t="s">
        <v>2038</v>
      </c>
    </row>
    <row r="1565" spans="8:11" x14ac:dyDescent="0.25">
      <c r="H1565" s="183" t="s">
        <v>554</v>
      </c>
      <c r="I1565" s="183" t="s">
        <v>491</v>
      </c>
      <c r="J1565" s="183" t="s">
        <v>511</v>
      </c>
      <c r="K1565" s="183" t="s">
        <v>2039</v>
      </c>
    </row>
    <row r="1566" spans="8:11" x14ac:dyDescent="0.25">
      <c r="H1566" s="183" t="s">
        <v>554</v>
      </c>
      <c r="I1566" s="183" t="s">
        <v>491</v>
      </c>
      <c r="J1566" s="183" t="s">
        <v>515</v>
      </c>
      <c r="K1566" s="183" t="s">
        <v>2040</v>
      </c>
    </row>
    <row r="1567" spans="8:11" x14ac:dyDescent="0.25">
      <c r="H1567" s="183" t="s">
        <v>554</v>
      </c>
      <c r="I1567" s="183" t="s">
        <v>495</v>
      </c>
      <c r="J1567" s="183" t="s">
        <v>480</v>
      </c>
      <c r="K1567" s="183" t="s">
        <v>816</v>
      </c>
    </row>
    <row r="1568" spans="8:11" x14ac:dyDescent="0.25">
      <c r="H1568" s="183" t="s">
        <v>554</v>
      </c>
      <c r="I1568" s="183" t="s">
        <v>495</v>
      </c>
      <c r="J1568" s="183" t="s">
        <v>483</v>
      </c>
      <c r="K1568" s="183" t="s">
        <v>2041</v>
      </c>
    </row>
    <row r="1569" spans="8:11" x14ac:dyDescent="0.25">
      <c r="H1569" s="183" t="s">
        <v>554</v>
      </c>
      <c r="I1569" s="183" t="s">
        <v>495</v>
      </c>
      <c r="J1569" s="183" t="s">
        <v>487</v>
      </c>
      <c r="K1569" s="183" t="s">
        <v>2042</v>
      </c>
    </row>
    <row r="1570" spans="8:11" x14ac:dyDescent="0.25">
      <c r="H1570" s="183" t="s">
        <v>554</v>
      </c>
      <c r="I1570" s="183" t="s">
        <v>495</v>
      </c>
      <c r="J1570" s="183" t="s">
        <v>491</v>
      </c>
      <c r="K1570" s="183" t="s">
        <v>2043</v>
      </c>
    </row>
    <row r="1571" spans="8:11" x14ac:dyDescent="0.25">
      <c r="H1571" s="183" t="s">
        <v>554</v>
      </c>
      <c r="I1571" s="183" t="s">
        <v>495</v>
      </c>
      <c r="J1571" s="183" t="s">
        <v>495</v>
      </c>
      <c r="K1571" s="183" t="s">
        <v>2044</v>
      </c>
    </row>
    <row r="1572" spans="8:11" x14ac:dyDescent="0.25">
      <c r="H1572" s="183" t="s">
        <v>554</v>
      </c>
      <c r="I1572" s="183" t="s">
        <v>495</v>
      </c>
      <c r="J1572" s="183" t="s">
        <v>499</v>
      </c>
      <c r="K1572" s="183" t="s">
        <v>2045</v>
      </c>
    </row>
    <row r="1573" spans="8:11" x14ac:dyDescent="0.25">
      <c r="H1573" s="183" t="s">
        <v>554</v>
      </c>
      <c r="I1573" s="183" t="s">
        <v>495</v>
      </c>
      <c r="J1573" s="183" t="s">
        <v>503</v>
      </c>
      <c r="K1573" s="183" t="s">
        <v>2046</v>
      </c>
    </row>
    <row r="1574" spans="8:11" x14ac:dyDescent="0.25">
      <c r="H1574" s="183" t="s">
        <v>554</v>
      </c>
      <c r="I1574" s="183" t="s">
        <v>499</v>
      </c>
      <c r="J1574" s="183" t="s">
        <v>480</v>
      </c>
      <c r="K1574" s="183" t="s">
        <v>818</v>
      </c>
    </row>
    <row r="1575" spans="8:11" x14ac:dyDescent="0.25">
      <c r="H1575" s="183" t="s">
        <v>554</v>
      </c>
      <c r="I1575" s="183" t="s">
        <v>499</v>
      </c>
      <c r="J1575" s="183" t="s">
        <v>483</v>
      </c>
      <c r="K1575" s="183" t="s">
        <v>847</v>
      </c>
    </row>
    <row r="1576" spans="8:11" x14ac:dyDescent="0.25">
      <c r="H1576" s="183" t="s">
        <v>554</v>
      </c>
      <c r="I1576" s="183" t="s">
        <v>499</v>
      </c>
      <c r="J1576" s="183" t="s">
        <v>487</v>
      </c>
      <c r="K1576" s="183" t="s">
        <v>2047</v>
      </c>
    </row>
    <row r="1577" spans="8:11" x14ac:dyDescent="0.25">
      <c r="H1577" s="183" t="s">
        <v>554</v>
      </c>
      <c r="I1577" s="183" t="s">
        <v>499</v>
      </c>
      <c r="J1577" s="183" t="s">
        <v>491</v>
      </c>
      <c r="K1577" s="183" t="s">
        <v>2048</v>
      </c>
    </row>
    <row r="1578" spans="8:11" x14ac:dyDescent="0.25">
      <c r="H1578" s="183" t="s">
        <v>554</v>
      </c>
      <c r="I1578" s="183" t="s">
        <v>499</v>
      </c>
      <c r="J1578" s="183" t="s">
        <v>495</v>
      </c>
      <c r="K1578" s="183" t="s">
        <v>2049</v>
      </c>
    </row>
    <row r="1579" spans="8:11" x14ac:dyDescent="0.25">
      <c r="H1579" s="183" t="s">
        <v>554</v>
      </c>
      <c r="I1579" s="183" t="s">
        <v>499</v>
      </c>
      <c r="J1579" s="183" t="s">
        <v>499</v>
      </c>
      <c r="K1579" s="183" t="s">
        <v>2050</v>
      </c>
    </row>
    <row r="1580" spans="8:11" x14ac:dyDescent="0.25">
      <c r="H1580" s="183" t="s">
        <v>554</v>
      </c>
      <c r="I1580" s="183" t="s">
        <v>499</v>
      </c>
      <c r="J1580" s="183" t="s">
        <v>503</v>
      </c>
      <c r="K1580" s="183" t="s">
        <v>2051</v>
      </c>
    </row>
    <row r="1581" spans="8:11" x14ac:dyDescent="0.25">
      <c r="H1581" s="183" t="s">
        <v>554</v>
      </c>
      <c r="I1581" s="183" t="s">
        <v>499</v>
      </c>
      <c r="J1581" s="183" t="s">
        <v>507</v>
      </c>
      <c r="K1581" s="183" t="s">
        <v>2036</v>
      </c>
    </row>
    <row r="1582" spans="8:11" x14ac:dyDescent="0.25">
      <c r="H1582" s="183" t="s">
        <v>554</v>
      </c>
      <c r="I1582" s="183" t="s">
        <v>503</v>
      </c>
      <c r="J1582" s="183" t="s">
        <v>480</v>
      </c>
      <c r="K1582" s="183" t="s">
        <v>2052</v>
      </c>
    </row>
    <row r="1583" spans="8:11" x14ac:dyDescent="0.25">
      <c r="H1583" s="183" t="s">
        <v>554</v>
      </c>
      <c r="I1583" s="183" t="s">
        <v>503</v>
      </c>
      <c r="J1583" s="183" t="s">
        <v>483</v>
      </c>
      <c r="K1583" s="183" t="s">
        <v>2053</v>
      </c>
    </row>
    <row r="1584" spans="8:11" x14ac:dyDescent="0.25">
      <c r="H1584" s="183" t="s">
        <v>554</v>
      </c>
      <c r="I1584" s="183" t="s">
        <v>503</v>
      </c>
      <c r="J1584" s="183" t="s">
        <v>487</v>
      </c>
      <c r="K1584" s="183" t="s">
        <v>2054</v>
      </c>
    </row>
    <row r="1585" spans="8:11" x14ac:dyDescent="0.25">
      <c r="H1585" s="183" t="s">
        <v>554</v>
      </c>
      <c r="I1585" s="183" t="s">
        <v>503</v>
      </c>
      <c r="J1585" s="183" t="s">
        <v>491</v>
      </c>
      <c r="K1585" s="183" t="s">
        <v>2055</v>
      </c>
    </row>
    <row r="1586" spans="8:11" x14ac:dyDescent="0.25">
      <c r="H1586" s="183" t="s">
        <v>554</v>
      </c>
      <c r="I1586" s="183" t="s">
        <v>503</v>
      </c>
      <c r="J1586" s="183" t="s">
        <v>495</v>
      </c>
      <c r="K1586" s="183" t="s">
        <v>2056</v>
      </c>
    </row>
    <row r="1587" spans="8:11" x14ac:dyDescent="0.25">
      <c r="H1587" s="183" t="s">
        <v>554</v>
      </c>
      <c r="I1587" s="183" t="s">
        <v>503</v>
      </c>
      <c r="J1587" s="183" t="s">
        <v>499</v>
      </c>
      <c r="K1587" s="183" t="s">
        <v>2057</v>
      </c>
    </row>
    <row r="1588" spans="8:11" x14ac:dyDescent="0.25">
      <c r="H1588" s="183" t="s">
        <v>554</v>
      </c>
      <c r="I1588" s="183" t="s">
        <v>507</v>
      </c>
      <c r="J1588" s="183" t="s">
        <v>480</v>
      </c>
      <c r="K1588" s="183" t="s">
        <v>822</v>
      </c>
    </row>
    <row r="1589" spans="8:11" x14ac:dyDescent="0.25">
      <c r="H1589" s="183" t="s">
        <v>554</v>
      </c>
      <c r="I1589" s="183" t="s">
        <v>507</v>
      </c>
      <c r="J1589" s="183" t="s">
        <v>483</v>
      </c>
      <c r="K1589" s="183" t="s">
        <v>2058</v>
      </c>
    </row>
    <row r="1590" spans="8:11" x14ac:dyDescent="0.25">
      <c r="H1590" s="183" t="s">
        <v>554</v>
      </c>
      <c r="I1590" s="183" t="s">
        <v>507</v>
      </c>
      <c r="J1590" s="183" t="s">
        <v>487</v>
      </c>
      <c r="K1590" s="183" t="s">
        <v>2059</v>
      </c>
    </row>
    <row r="1591" spans="8:11" x14ac:dyDescent="0.25">
      <c r="H1591" s="183" t="s">
        <v>554</v>
      </c>
      <c r="I1591" s="183" t="s">
        <v>507</v>
      </c>
      <c r="J1591" s="183" t="s">
        <v>491</v>
      </c>
      <c r="K1591" s="183" t="s">
        <v>2060</v>
      </c>
    </row>
    <row r="1592" spans="8:11" x14ac:dyDescent="0.25">
      <c r="H1592" s="183" t="s">
        <v>554</v>
      </c>
      <c r="I1592" s="183" t="s">
        <v>507</v>
      </c>
      <c r="J1592" s="183" t="s">
        <v>495</v>
      </c>
      <c r="K1592" s="183" t="s">
        <v>2061</v>
      </c>
    </row>
    <row r="1593" spans="8:11" x14ac:dyDescent="0.25">
      <c r="H1593" s="183" t="s">
        <v>554</v>
      </c>
      <c r="I1593" s="183" t="s">
        <v>507</v>
      </c>
      <c r="J1593" s="183" t="s">
        <v>499</v>
      </c>
      <c r="K1593" s="183" t="s">
        <v>2062</v>
      </c>
    </row>
    <row r="1594" spans="8:11" x14ac:dyDescent="0.25">
      <c r="H1594" s="183" t="s">
        <v>558</v>
      </c>
      <c r="I1594" s="183" t="s">
        <v>480</v>
      </c>
      <c r="J1594" s="183" t="s">
        <v>480</v>
      </c>
      <c r="K1594" s="183" t="s">
        <v>559</v>
      </c>
    </row>
    <row r="1595" spans="8:11" x14ac:dyDescent="0.25">
      <c r="H1595" s="183" t="s">
        <v>558</v>
      </c>
      <c r="I1595" s="183" t="s">
        <v>480</v>
      </c>
      <c r="J1595" s="183" t="s">
        <v>483</v>
      </c>
      <c r="K1595" s="183" t="s">
        <v>2063</v>
      </c>
    </row>
    <row r="1596" spans="8:11" x14ac:dyDescent="0.25">
      <c r="H1596" s="183" t="s">
        <v>558</v>
      </c>
      <c r="I1596" s="183" t="s">
        <v>480</v>
      </c>
      <c r="J1596" s="183" t="s">
        <v>487</v>
      </c>
      <c r="K1596" s="183" t="s">
        <v>2064</v>
      </c>
    </row>
    <row r="1597" spans="8:11" x14ac:dyDescent="0.25">
      <c r="H1597" s="183" t="s">
        <v>558</v>
      </c>
      <c r="I1597" s="183" t="s">
        <v>480</v>
      </c>
      <c r="J1597" s="183" t="s">
        <v>491</v>
      </c>
      <c r="K1597" s="183" t="s">
        <v>2065</v>
      </c>
    </row>
    <row r="1598" spans="8:11" x14ac:dyDescent="0.25">
      <c r="H1598" s="183" t="s">
        <v>558</v>
      </c>
      <c r="I1598" s="183" t="s">
        <v>480</v>
      </c>
      <c r="J1598" s="183" t="s">
        <v>495</v>
      </c>
      <c r="K1598" s="183" t="s">
        <v>2066</v>
      </c>
    </row>
    <row r="1599" spans="8:11" x14ac:dyDescent="0.25">
      <c r="H1599" s="183" t="s">
        <v>558</v>
      </c>
      <c r="I1599" s="183" t="s">
        <v>480</v>
      </c>
      <c r="J1599" s="183" t="s">
        <v>499</v>
      </c>
      <c r="K1599" s="183" t="s">
        <v>828</v>
      </c>
    </row>
    <row r="1600" spans="8:11" x14ac:dyDescent="0.25">
      <c r="H1600" s="183" t="s">
        <v>558</v>
      </c>
      <c r="I1600" s="183" t="s">
        <v>480</v>
      </c>
      <c r="J1600" s="183" t="s">
        <v>503</v>
      </c>
      <c r="K1600" s="183" t="s">
        <v>2067</v>
      </c>
    </row>
    <row r="1601" spans="8:11" x14ac:dyDescent="0.25">
      <c r="H1601" s="183" t="s">
        <v>558</v>
      </c>
      <c r="I1601" s="183" t="s">
        <v>480</v>
      </c>
      <c r="J1601" s="183" t="s">
        <v>507</v>
      </c>
      <c r="K1601" s="183" t="s">
        <v>841</v>
      </c>
    </row>
    <row r="1602" spans="8:11" x14ac:dyDescent="0.25">
      <c r="H1602" s="183" t="s">
        <v>558</v>
      </c>
      <c r="I1602" s="183" t="s">
        <v>480</v>
      </c>
      <c r="J1602" s="183" t="s">
        <v>511</v>
      </c>
      <c r="K1602" s="183" t="s">
        <v>2068</v>
      </c>
    </row>
    <row r="1603" spans="8:11" x14ac:dyDescent="0.25">
      <c r="H1603" s="183" t="s">
        <v>558</v>
      </c>
      <c r="I1603" s="183" t="s">
        <v>480</v>
      </c>
      <c r="J1603" s="183" t="s">
        <v>515</v>
      </c>
      <c r="K1603" s="183" t="s">
        <v>2069</v>
      </c>
    </row>
    <row r="1604" spans="8:11" x14ac:dyDescent="0.25">
      <c r="H1604" s="183" t="s">
        <v>558</v>
      </c>
      <c r="I1604" s="183" t="s">
        <v>480</v>
      </c>
      <c r="J1604" s="183" t="s">
        <v>519</v>
      </c>
      <c r="K1604" s="183" t="s">
        <v>2070</v>
      </c>
    </row>
    <row r="1605" spans="8:11" x14ac:dyDescent="0.25">
      <c r="H1605" s="183" t="s">
        <v>558</v>
      </c>
      <c r="I1605" s="183" t="s">
        <v>480</v>
      </c>
      <c r="J1605" s="183" t="s">
        <v>522</v>
      </c>
      <c r="K1605" s="183" t="s">
        <v>2071</v>
      </c>
    </row>
    <row r="1606" spans="8:11" x14ac:dyDescent="0.25">
      <c r="H1606" s="183" t="s">
        <v>558</v>
      </c>
      <c r="I1606" s="183" t="s">
        <v>480</v>
      </c>
      <c r="J1606" s="183" t="s">
        <v>526</v>
      </c>
      <c r="K1606" s="183" t="s">
        <v>993</v>
      </c>
    </row>
    <row r="1607" spans="8:11" x14ac:dyDescent="0.25">
      <c r="H1607" s="183" t="s">
        <v>558</v>
      </c>
      <c r="I1607" s="183" t="s">
        <v>480</v>
      </c>
      <c r="J1607" s="183" t="s">
        <v>530</v>
      </c>
      <c r="K1607" s="183" t="s">
        <v>2072</v>
      </c>
    </row>
    <row r="1608" spans="8:11" x14ac:dyDescent="0.25">
      <c r="H1608" s="183" t="s">
        <v>558</v>
      </c>
      <c r="I1608" s="183" t="s">
        <v>480</v>
      </c>
      <c r="J1608" s="183" t="s">
        <v>534</v>
      </c>
      <c r="K1608" s="183" t="s">
        <v>2073</v>
      </c>
    </row>
    <row r="1609" spans="8:11" x14ac:dyDescent="0.25">
      <c r="H1609" s="183" t="s">
        <v>558</v>
      </c>
      <c r="I1609" s="183" t="s">
        <v>483</v>
      </c>
      <c r="J1609" s="183" t="s">
        <v>480</v>
      </c>
      <c r="K1609" s="183" t="s">
        <v>824</v>
      </c>
    </row>
    <row r="1610" spans="8:11" x14ac:dyDescent="0.25">
      <c r="H1610" s="183" t="s">
        <v>558</v>
      </c>
      <c r="I1610" s="183" t="s">
        <v>483</v>
      </c>
      <c r="J1610" s="183" t="s">
        <v>483</v>
      </c>
      <c r="K1610" s="183" t="s">
        <v>2074</v>
      </c>
    </row>
    <row r="1611" spans="8:11" x14ac:dyDescent="0.25">
      <c r="H1611" s="183" t="s">
        <v>558</v>
      </c>
      <c r="I1611" s="183" t="s">
        <v>483</v>
      </c>
      <c r="J1611" s="183" t="s">
        <v>487</v>
      </c>
      <c r="K1611" s="183" t="s">
        <v>2075</v>
      </c>
    </row>
    <row r="1612" spans="8:11" x14ac:dyDescent="0.25">
      <c r="H1612" s="183" t="s">
        <v>558</v>
      </c>
      <c r="I1612" s="183" t="s">
        <v>483</v>
      </c>
      <c r="J1612" s="183" t="s">
        <v>491</v>
      </c>
      <c r="K1612" s="183" t="s">
        <v>2076</v>
      </c>
    </row>
    <row r="1613" spans="8:11" x14ac:dyDescent="0.25">
      <c r="H1613" s="183" t="s">
        <v>558</v>
      </c>
      <c r="I1613" s="183" t="s">
        <v>483</v>
      </c>
      <c r="J1613" s="183" t="s">
        <v>495</v>
      </c>
      <c r="K1613" s="183" t="s">
        <v>2077</v>
      </c>
    </row>
    <row r="1614" spans="8:11" x14ac:dyDescent="0.25">
      <c r="H1614" s="183" t="s">
        <v>558</v>
      </c>
      <c r="I1614" s="183" t="s">
        <v>483</v>
      </c>
      <c r="J1614" s="183" t="s">
        <v>499</v>
      </c>
      <c r="K1614" s="183" t="s">
        <v>2078</v>
      </c>
    </row>
    <row r="1615" spans="8:11" x14ac:dyDescent="0.25">
      <c r="H1615" s="183" t="s">
        <v>558</v>
      </c>
      <c r="I1615" s="183" t="s">
        <v>483</v>
      </c>
      <c r="J1615" s="183" t="s">
        <v>503</v>
      </c>
      <c r="K1615" s="183" t="s">
        <v>2079</v>
      </c>
    </row>
    <row r="1616" spans="8:11" x14ac:dyDescent="0.25">
      <c r="H1616" s="183" t="s">
        <v>558</v>
      </c>
      <c r="I1616" s="183" t="s">
        <v>483</v>
      </c>
      <c r="J1616" s="183" t="s">
        <v>507</v>
      </c>
      <c r="K1616" s="183" t="s">
        <v>2080</v>
      </c>
    </row>
    <row r="1617" spans="8:11" x14ac:dyDescent="0.25">
      <c r="H1617" s="183" t="s">
        <v>558</v>
      </c>
      <c r="I1617" s="183" t="s">
        <v>483</v>
      </c>
      <c r="J1617" s="183" t="s">
        <v>511</v>
      </c>
      <c r="K1617" s="183" t="s">
        <v>2081</v>
      </c>
    </row>
    <row r="1618" spans="8:11" x14ac:dyDescent="0.25">
      <c r="H1618" s="183" t="s">
        <v>558</v>
      </c>
      <c r="I1618" s="183" t="s">
        <v>483</v>
      </c>
      <c r="J1618" s="183" t="s">
        <v>515</v>
      </c>
      <c r="K1618" s="183" t="s">
        <v>2082</v>
      </c>
    </row>
    <row r="1619" spans="8:11" x14ac:dyDescent="0.25">
      <c r="H1619" s="183" t="s">
        <v>558</v>
      </c>
      <c r="I1619" s="183" t="s">
        <v>483</v>
      </c>
      <c r="J1619" s="183" t="s">
        <v>519</v>
      </c>
      <c r="K1619" s="183" t="s">
        <v>2083</v>
      </c>
    </row>
    <row r="1620" spans="8:11" x14ac:dyDescent="0.25">
      <c r="H1620" s="183" t="s">
        <v>558</v>
      </c>
      <c r="I1620" s="183" t="s">
        <v>483</v>
      </c>
      <c r="J1620" s="183" t="s">
        <v>522</v>
      </c>
      <c r="K1620" s="183" t="s">
        <v>1709</v>
      </c>
    </row>
    <row r="1621" spans="8:11" x14ac:dyDescent="0.25">
      <c r="H1621" s="183" t="s">
        <v>558</v>
      </c>
      <c r="I1621" s="183" t="s">
        <v>483</v>
      </c>
      <c r="J1621" s="183" t="s">
        <v>526</v>
      </c>
      <c r="K1621" s="183" t="s">
        <v>2084</v>
      </c>
    </row>
    <row r="1622" spans="8:11" x14ac:dyDescent="0.25">
      <c r="H1622" s="183" t="s">
        <v>558</v>
      </c>
      <c r="I1622" s="183" t="s">
        <v>483</v>
      </c>
      <c r="J1622" s="183" t="s">
        <v>530</v>
      </c>
      <c r="K1622" s="183" t="s">
        <v>2085</v>
      </c>
    </row>
    <row r="1623" spans="8:11" x14ac:dyDescent="0.25">
      <c r="H1623" s="183" t="s">
        <v>558</v>
      </c>
      <c r="I1623" s="183" t="s">
        <v>483</v>
      </c>
      <c r="J1623" s="183" t="s">
        <v>534</v>
      </c>
      <c r="K1623" s="183" t="s">
        <v>2086</v>
      </c>
    </row>
    <row r="1624" spans="8:11" x14ac:dyDescent="0.25">
      <c r="H1624" s="183" t="s">
        <v>558</v>
      </c>
      <c r="I1624" s="183" t="s">
        <v>487</v>
      </c>
      <c r="J1624" s="183" t="s">
        <v>480</v>
      </c>
      <c r="K1624" s="183" t="s">
        <v>2087</v>
      </c>
    </row>
    <row r="1625" spans="8:11" x14ac:dyDescent="0.25">
      <c r="H1625" s="183" t="s">
        <v>558</v>
      </c>
      <c r="I1625" s="183" t="s">
        <v>487</v>
      </c>
      <c r="J1625" s="183" t="s">
        <v>483</v>
      </c>
      <c r="K1625" s="183" t="s">
        <v>2088</v>
      </c>
    </row>
    <row r="1626" spans="8:11" x14ac:dyDescent="0.25">
      <c r="H1626" s="183" t="s">
        <v>558</v>
      </c>
      <c r="I1626" s="183" t="s">
        <v>487</v>
      </c>
      <c r="J1626" s="183" t="s">
        <v>487</v>
      </c>
      <c r="K1626" s="183" t="s">
        <v>2089</v>
      </c>
    </row>
    <row r="1627" spans="8:11" x14ac:dyDescent="0.25">
      <c r="H1627" s="183" t="s">
        <v>558</v>
      </c>
      <c r="I1627" s="183" t="s">
        <v>487</v>
      </c>
      <c r="J1627" s="183" t="s">
        <v>491</v>
      </c>
      <c r="K1627" s="183" t="s">
        <v>2090</v>
      </c>
    </row>
    <row r="1628" spans="8:11" x14ac:dyDescent="0.25">
      <c r="H1628" s="183" t="s">
        <v>558</v>
      </c>
      <c r="I1628" s="183" t="s">
        <v>487</v>
      </c>
      <c r="J1628" s="183" t="s">
        <v>495</v>
      </c>
      <c r="K1628" s="183" t="s">
        <v>2091</v>
      </c>
    </row>
    <row r="1629" spans="8:11" x14ac:dyDescent="0.25">
      <c r="H1629" s="183" t="s">
        <v>558</v>
      </c>
      <c r="I1629" s="183" t="s">
        <v>487</v>
      </c>
      <c r="J1629" s="183" t="s">
        <v>499</v>
      </c>
      <c r="K1629" s="183" t="s">
        <v>2092</v>
      </c>
    </row>
    <row r="1630" spans="8:11" x14ac:dyDescent="0.25">
      <c r="H1630" s="183" t="s">
        <v>558</v>
      </c>
      <c r="I1630" s="183" t="s">
        <v>487</v>
      </c>
      <c r="J1630" s="183" t="s">
        <v>503</v>
      </c>
      <c r="K1630" s="183" t="s">
        <v>2093</v>
      </c>
    </row>
    <row r="1631" spans="8:11" x14ac:dyDescent="0.25">
      <c r="H1631" s="183" t="s">
        <v>558</v>
      </c>
      <c r="I1631" s="183" t="s">
        <v>487</v>
      </c>
      <c r="J1631" s="183" t="s">
        <v>507</v>
      </c>
      <c r="K1631" s="183" t="s">
        <v>2094</v>
      </c>
    </row>
    <row r="1632" spans="8:11" x14ac:dyDescent="0.25">
      <c r="H1632" s="183" t="s">
        <v>558</v>
      </c>
      <c r="I1632" s="183" t="s">
        <v>487</v>
      </c>
      <c r="J1632" s="183" t="s">
        <v>511</v>
      </c>
      <c r="K1632" s="183" t="s">
        <v>2095</v>
      </c>
    </row>
    <row r="1633" spans="8:11" x14ac:dyDescent="0.25">
      <c r="H1633" s="183" t="s">
        <v>558</v>
      </c>
      <c r="I1633" s="183" t="s">
        <v>487</v>
      </c>
      <c r="J1633" s="183" t="s">
        <v>515</v>
      </c>
      <c r="K1633" s="183" t="s">
        <v>2096</v>
      </c>
    </row>
    <row r="1634" spans="8:11" x14ac:dyDescent="0.25">
      <c r="H1634" s="183" t="s">
        <v>558</v>
      </c>
      <c r="I1634" s="183" t="s">
        <v>491</v>
      </c>
      <c r="J1634" s="183" t="s">
        <v>480</v>
      </c>
      <c r="K1634" s="183" t="s">
        <v>2097</v>
      </c>
    </row>
    <row r="1635" spans="8:11" x14ac:dyDescent="0.25">
      <c r="H1635" s="183" t="s">
        <v>558</v>
      </c>
      <c r="I1635" s="183" t="s">
        <v>491</v>
      </c>
      <c r="J1635" s="183" t="s">
        <v>483</v>
      </c>
      <c r="K1635" s="183" t="s">
        <v>2098</v>
      </c>
    </row>
    <row r="1636" spans="8:11" x14ac:dyDescent="0.25">
      <c r="H1636" s="183" t="s">
        <v>558</v>
      </c>
      <c r="I1636" s="183" t="s">
        <v>491</v>
      </c>
      <c r="J1636" s="183" t="s">
        <v>487</v>
      </c>
      <c r="K1636" s="183" t="s">
        <v>2099</v>
      </c>
    </row>
    <row r="1637" spans="8:11" x14ac:dyDescent="0.25">
      <c r="H1637" s="183" t="s">
        <v>558</v>
      </c>
      <c r="I1637" s="183" t="s">
        <v>491</v>
      </c>
      <c r="J1637" s="183" t="s">
        <v>491</v>
      </c>
      <c r="K1637" s="183" t="s">
        <v>2100</v>
      </c>
    </row>
    <row r="1638" spans="8:11" x14ac:dyDescent="0.25">
      <c r="H1638" s="183" t="s">
        <v>558</v>
      </c>
      <c r="I1638" s="183" t="s">
        <v>491</v>
      </c>
      <c r="J1638" s="183" t="s">
        <v>495</v>
      </c>
      <c r="K1638" s="183" t="s">
        <v>2101</v>
      </c>
    </row>
    <row r="1639" spans="8:11" x14ac:dyDescent="0.25">
      <c r="H1639" s="183" t="s">
        <v>558</v>
      </c>
      <c r="I1639" s="183" t="s">
        <v>491</v>
      </c>
      <c r="J1639" s="183" t="s">
        <v>499</v>
      </c>
      <c r="K1639" s="183" t="s">
        <v>2102</v>
      </c>
    </row>
    <row r="1640" spans="8:11" x14ac:dyDescent="0.25">
      <c r="H1640" s="183" t="s">
        <v>558</v>
      </c>
      <c r="I1640" s="183" t="s">
        <v>491</v>
      </c>
      <c r="J1640" s="183" t="s">
        <v>503</v>
      </c>
      <c r="K1640" s="183" t="s">
        <v>2103</v>
      </c>
    </row>
    <row r="1641" spans="8:11" x14ac:dyDescent="0.25">
      <c r="H1641" s="183" t="s">
        <v>558</v>
      </c>
      <c r="I1641" s="183" t="s">
        <v>495</v>
      </c>
      <c r="J1641" s="183" t="s">
        <v>480</v>
      </c>
      <c r="K1641" s="183" t="s">
        <v>2104</v>
      </c>
    </row>
    <row r="1642" spans="8:11" x14ac:dyDescent="0.25">
      <c r="H1642" s="183" t="s">
        <v>558</v>
      </c>
      <c r="I1642" s="183" t="s">
        <v>495</v>
      </c>
      <c r="J1642" s="183" t="s">
        <v>483</v>
      </c>
      <c r="K1642" s="183" t="s">
        <v>2105</v>
      </c>
    </row>
    <row r="1643" spans="8:11" x14ac:dyDescent="0.25">
      <c r="H1643" s="183" t="s">
        <v>558</v>
      </c>
      <c r="I1643" s="183" t="s">
        <v>495</v>
      </c>
      <c r="J1643" s="183" t="s">
        <v>487</v>
      </c>
      <c r="K1643" s="183" t="s">
        <v>2106</v>
      </c>
    </row>
    <row r="1644" spans="8:11" x14ac:dyDescent="0.25">
      <c r="H1644" s="183" t="s">
        <v>558</v>
      </c>
      <c r="I1644" s="183" t="s">
        <v>495</v>
      </c>
      <c r="J1644" s="183" t="s">
        <v>491</v>
      </c>
      <c r="K1644" s="183" t="s">
        <v>670</v>
      </c>
    </row>
    <row r="1645" spans="8:11" x14ac:dyDescent="0.25">
      <c r="H1645" s="183" t="s">
        <v>558</v>
      </c>
      <c r="I1645" s="183" t="s">
        <v>495</v>
      </c>
      <c r="J1645" s="183" t="s">
        <v>495</v>
      </c>
      <c r="K1645" s="183" t="s">
        <v>2107</v>
      </c>
    </row>
    <row r="1646" spans="8:11" x14ac:dyDescent="0.25">
      <c r="H1646" s="183" t="s">
        <v>558</v>
      </c>
      <c r="I1646" s="183" t="s">
        <v>499</v>
      </c>
      <c r="J1646" s="183" t="s">
        <v>480</v>
      </c>
      <c r="K1646" s="183" t="s">
        <v>831</v>
      </c>
    </row>
    <row r="1647" spans="8:11" x14ac:dyDescent="0.25">
      <c r="H1647" s="183" t="s">
        <v>558</v>
      </c>
      <c r="I1647" s="183" t="s">
        <v>499</v>
      </c>
      <c r="J1647" s="183" t="s">
        <v>483</v>
      </c>
      <c r="K1647" s="183" t="s">
        <v>2108</v>
      </c>
    </row>
    <row r="1648" spans="8:11" x14ac:dyDescent="0.25">
      <c r="H1648" s="183" t="s">
        <v>558</v>
      </c>
      <c r="I1648" s="183" t="s">
        <v>499</v>
      </c>
      <c r="J1648" s="183" t="s">
        <v>487</v>
      </c>
      <c r="K1648" s="183" t="s">
        <v>2109</v>
      </c>
    </row>
    <row r="1649" spans="8:11" x14ac:dyDescent="0.25">
      <c r="H1649" s="183" t="s">
        <v>558</v>
      </c>
      <c r="I1649" s="183" t="s">
        <v>499</v>
      </c>
      <c r="J1649" s="183" t="s">
        <v>491</v>
      </c>
      <c r="K1649" s="183" t="s">
        <v>2110</v>
      </c>
    </row>
    <row r="1650" spans="8:11" x14ac:dyDescent="0.25">
      <c r="H1650" s="183" t="s">
        <v>558</v>
      </c>
      <c r="I1650" s="183" t="s">
        <v>499</v>
      </c>
      <c r="J1650" s="183" t="s">
        <v>495</v>
      </c>
      <c r="K1650" s="183" t="s">
        <v>2111</v>
      </c>
    </row>
    <row r="1651" spans="8:11" x14ac:dyDescent="0.25">
      <c r="H1651" s="183" t="s">
        <v>558</v>
      </c>
      <c r="I1651" s="183" t="s">
        <v>499</v>
      </c>
      <c r="J1651" s="183" t="s">
        <v>499</v>
      </c>
      <c r="K1651" s="183" t="s">
        <v>2112</v>
      </c>
    </row>
    <row r="1652" spans="8:11" x14ac:dyDescent="0.25">
      <c r="H1652" s="183" t="s">
        <v>558</v>
      </c>
      <c r="I1652" s="183" t="s">
        <v>499</v>
      </c>
      <c r="J1652" s="183" t="s">
        <v>503</v>
      </c>
      <c r="K1652" s="183" t="s">
        <v>2113</v>
      </c>
    </row>
    <row r="1653" spans="8:11" x14ac:dyDescent="0.25">
      <c r="H1653" s="183" t="s">
        <v>558</v>
      </c>
      <c r="I1653" s="183" t="s">
        <v>499</v>
      </c>
      <c r="J1653" s="183" t="s">
        <v>507</v>
      </c>
      <c r="K1653" s="183" t="s">
        <v>2114</v>
      </c>
    </row>
    <row r="1654" spans="8:11" x14ac:dyDescent="0.25">
      <c r="H1654" s="183" t="s">
        <v>558</v>
      </c>
      <c r="I1654" s="183" t="s">
        <v>503</v>
      </c>
      <c r="J1654" s="183" t="s">
        <v>480</v>
      </c>
      <c r="K1654" s="183" t="s">
        <v>833</v>
      </c>
    </row>
    <row r="1655" spans="8:11" x14ac:dyDescent="0.25">
      <c r="H1655" s="183" t="s">
        <v>558</v>
      </c>
      <c r="I1655" s="183" t="s">
        <v>503</v>
      </c>
      <c r="J1655" s="183" t="s">
        <v>483</v>
      </c>
      <c r="K1655" s="183" t="s">
        <v>2115</v>
      </c>
    </row>
    <row r="1656" spans="8:11" x14ac:dyDescent="0.25">
      <c r="H1656" s="183" t="s">
        <v>558</v>
      </c>
      <c r="I1656" s="183" t="s">
        <v>503</v>
      </c>
      <c r="J1656" s="183" t="s">
        <v>487</v>
      </c>
      <c r="K1656" s="183" t="s">
        <v>2116</v>
      </c>
    </row>
    <row r="1657" spans="8:11" x14ac:dyDescent="0.25">
      <c r="H1657" s="183" t="s">
        <v>558</v>
      </c>
      <c r="I1657" s="183" t="s">
        <v>503</v>
      </c>
      <c r="J1657" s="183" t="s">
        <v>491</v>
      </c>
      <c r="K1657" s="183" t="s">
        <v>2117</v>
      </c>
    </row>
    <row r="1658" spans="8:11" x14ac:dyDescent="0.25">
      <c r="H1658" s="183" t="s">
        <v>558</v>
      </c>
      <c r="I1658" s="183" t="s">
        <v>503</v>
      </c>
      <c r="J1658" s="183" t="s">
        <v>495</v>
      </c>
      <c r="K1658" s="183" t="s">
        <v>2118</v>
      </c>
    </row>
    <row r="1659" spans="8:11" x14ac:dyDescent="0.25">
      <c r="H1659" s="183" t="s">
        <v>558</v>
      </c>
      <c r="I1659" s="183" t="s">
        <v>503</v>
      </c>
      <c r="J1659" s="183" t="s">
        <v>499</v>
      </c>
      <c r="K1659" s="183" t="s">
        <v>1403</v>
      </c>
    </row>
    <row r="1660" spans="8:11" x14ac:dyDescent="0.25">
      <c r="H1660" s="183" t="s">
        <v>558</v>
      </c>
      <c r="I1660" s="183" t="s">
        <v>503</v>
      </c>
      <c r="J1660" s="183" t="s">
        <v>503</v>
      </c>
      <c r="K1660" s="183" t="s">
        <v>2119</v>
      </c>
    </row>
    <row r="1661" spans="8:11" x14ac:dyDescent="0.25">
      <c r="H1661" s="183" t="s">
        <v>558</v>
      </c>
      <c r="I1661" s="183" t="s">
        <v>503</v>
      </c>
      <c r="J1661" s="183" t="s">
        <v>507</v>
      </c>
      <c r="K1661" s="183" t="s">
        <v>1259</v>
      </c>
    </row>
    <row r="1662" spans="8:11" x14ac:dyDescent="0.25">
      <c r="H1662" s="183" t="s">
        <v>558</v>
      </c>
      <c r="I1662" s="183" t="s">
        <v>503</v>
      </c>
      <c r="J1662" s="183" t="s">
        <v>511</v>
      </c>
      <c r="K1662" s="183" t="s">
        <v>1150</v>
      </c>
    </row>
    <row r="1663" spans="8:11" x14ac:dyDescent="0.25">
      <c r="H1663" s="183" t="s">
        <v>558</v>
      </c>
      <c r="I1663" s="183" t="s">
        <v>503</v>
      </c>
      <c r="J1663" s="183" t="s">
        <v>515</v>
      </c>
      <c r="K1663" s="183" t="s">
        <v>2120</v>
      </c>
    </row>
    <row r="1664" spans="8:11" x14ac:dyDescent="0.25">
      <c r="H1664" s="183" t="s">
        <v>558</v>
      </c>
      <c r="I1664" s="183" t="s">
        <v>507</v>
      </c>
      <c r="J1664" s="183" t="s">
        <v>480</v>
      </c>
      <c r="K1664" s="183" t="s">
        <v>1895</v>
      </c>
    </row>
    <row r="1665" spans="8:11" x14ac:dyDescent="0.25">
      <c r="H1665" s="183" t="s">
        <v>558</v>
      </c>
      <c r="I1665" s="183" t="s">
        <v>507</v>
      </c>
      <c r="J1665" s="183" t="s">
        <v>483</v>
      </c>
      <c r="K1665" s="183" t="s">
        <v>2121</v>
      </c>
    </row>
    <row r="1666" spans="8:11" x14ac:dyDescent="0.25">
      <c r="H1666" s="183" t="s">
        <v>558</v>
      </c>
      <c r="I1666" s="183" t="s">
        <v>507</v>
      </c>
      <c r="J1666" s="183" t="s">
        <v>487</v>
      </c>
      <c r="K1666" s="183" t="s">
        <v>2122</v>
      </c>
    </row>
    <row r="1667" spans="8:11" x14ac:dyDescent="0.25">
      <c r="H1667" s="183" t="s">
        <v>558</v>
      </c>
      <c r="I1667" s="183" t="s">
        <v>507</v>
      </c>
      <c r="J1667" s="183" t="s">
        <v>491</v>
      </c>
      <c r="K1667" s="183" t="s">
        <v>2123</v>
      </c>
    </row>
    <row r="1668" spans="8:11" x14ac:dyDescent="0.25">
      <c r="H1668" s="183" t="s">
        <v>558</v>
      </c>
      <c r="I1668" s="183" t="s">
        <v>507</v>
      </c>
      <c r="J1668" s="183" t="s">
        <v>495</v>
      </c>
      <c r="K1668" s="183" t="s">
        <v>2124</v>
      </c>
    </row>
    <row r="1669" spans="8:11" x14ac:dyDescent="0.25">
      <c r="H1669" s="183" t="s">
        <v>558</v>
      </c>
      <c r="I1669" s="183" t="s">
        <v>507</v>
      </c>
      <c r="J1669" s="183" t="s">
        <v>499</v>
      </c>
      <c r="K1669" s="183" t="s">
        <v>2125</v>
      </c>
    </row>
    <row r="1670" spans="8:11" x14ac:dyDescent="0.25">
      <c r="H1670" s="183" t="s">
        <v>558</v>
      </c>
      <c r="I1670" s="183" t="s">
        <v>507</v>
      </c>
      <c r="J1670" s="183" t="s">
        <v>503</v>
      </c>
      <c r="K1670" s="183" t="s">
        <v>2126</v>
      </c>
    </row>
    <row r="1671" spans="8:11" x14ac:dyDescent="0.25">
      <c r="H1671" s="183" t="s">
        <v>558</v>
      </c>
      <c r="I1671" s="183" t="s">
        <v>507</v>
      </c>
      <c r="J1671" s="183" t="s">
        <v>507</v>
      </c>
      <c r="K1671" s="183" t="s">
        <v>670</v>
      </c>
    </row>
    <row r="1672" spans="8:11" x14ac:dyDescent="0.25">
      <c r="H1672" s="183" t="s">
        <v>558</v>
      </c>
      <c r="I1672" s="183" t="s">
        <v>507</v>
      </c>
      <c r="J1672" s="183" t="s">
        <v>511</v>
      </c>
      <c r="K1672" s="183" t="s">
        <v>2127</v>
      </c>
    </row>
    <row r="1673" spans="8:11" x14ac:dyDescent="0.25">
      <c r="H1673" s="183" t="s">
        <v>558</v>
      </c>
      <c r="I1673" s="183" t="s">
        <v>511</v>
      </c>
      <c r="J1673" s="183" t="s">
        <v>480</v>
      </c>
      <c r="K1673" s="183" t="s">
        <v>837</v>
      </c>
    </row>
    <row r="1674" spans="8:11" x14ac:dyDescent="0.25">
      <c r="H1674" s="183" t="s">
        <v>558</v>
      </c>
      <c r="I1674" s="183" t="s">
        <v>511</v>
      </c>
      <c r="J1674" s="183" t="s">
        <v>483</v>
      </c>
      <c r="K1674" s="183" t="s">
        <v>2128</v>
      </c>
    </row>
    <row r="1675" spans="8:11" x14ac:dyDescent="0.25">
      <c r="H1675" s="183" t="s">
        <v>558</v>
      </c>
      <c r="I1675" s="183" t="s">
        <v>511</v>
      </c>
      <c r="J1675" s="183" t="s">
        <v>487</v>
      </c>
      <c r="K1675" s="183" t="s">
        <v>2129</v>
      </c>
    </row>
    <row r="1676" spans="8:11" x14ac:dyDescent="0.25">
      <c r="H1676" s="183" t="s">
        <v>558</v>
      </c>
      <c r="I1676" s="183" t="s">
        <v>511</v>
      </c>
      <c r="J1676" s="183" t="s">
        <v>491</v>
      </c>
      <c r="K1676" s="183" t="s">
        <v>2130</v>
      </c>
    </row>
    <row r="1677" spans="8:11" x14ac:dyDescent="0.25">
      <c r="H1677" s="183" t="s">
        <v>558</v>
      </c>
      <c r="I1677" s="183" t="s">
        <v>515</v>
      </c>
      <c r="J1677" s="183" t="s">
        <v>480</v>
      </c>
      <c r="K1677" s="183" t="s">
        <v>2131</v>
      </c>
    </row>
    <row r="1678" spans="8:11" x14ac:dyDescent="0.25">
      <c r="H1678" s="183" t="s">
        <v>558</v>
      </c>
      <c r="I1678" s="183" t="s">
        <v>515</v>
      </c>
      <c r="J1678" s="183" t="s">
        <v>483</v>
      </c>
      <c r="K1678" s="183" t="s">
        <v>2132</v>
      </c>
    </row>
    <row r="1679" spans="8:11" x14ac:dyDescent="0.25">
      <c r="H1679" s="183" t="s">
        <v>558</v>
      </c>
      <c r="I1679" s="183" t="s">
        <v>515</v>
      </c>
      <c r="J1679" s="183" t="s">
        <v>487</v>
      </c>
      <c r="K1679" s="183" t="s">
        <v>2133</v>
      </c>
    </row>
    <row r="1680" spans="8:11" x14ac:dyDescent="0.25">
      <c r="H1680" s="183" t="s">
        <v>558</v>
      </c>
      <c r="I1680" s="183" t="s">
        <v>515</v>
      </c>
      <c r="J1680" s="183" t="s">
        <v>491</v>
      </c>
      <c r="K1680" s="183" t="s">
        <v>2134</v>
      </c>
    </row>
    <row r="1681" spans="8:11" x14ac:dyDescent="0.25">
      <c r="H1681" s="183" t="s">
        <v>558</v>
      </c>
      <c r="I1681" s="183" t="s">
        <v>515</v>
      </c>
      <c r="J1681" s="183" t="s">
        <v>495</v>
      </c>
      <c r="K1681" s="183" t="s">
        <v>2135</v>
      </c>
    </row>
    <row r="1682" spans="8:11" x14ac:dyDescent="0.25">
      <c r="H1682" s="183" t="s">
        <v>558</v>
      </c>
      <c r="I1682" s="183" t="s">
        <v>519</v>
      </c>
      <c r="J1682" s="183" t="s">
        <v>480</v>
      </c>
      <c r="K1682" s="183" t="s">
        <v>2136</v>
      </c>
    </row>
    <row r="1683" spans="8:11" x14ac:dyDescent="0.25">
      <c r="H1683" s="183" t="s">
        <v>558</v>
      </c>
      <c r="I1683" s="183" t="s">
        <v>519</v>
      </c>
      <c r="J1683" s="183" t="s">
        <v>483</v>
      </c>
      <c r="K1683" s="183" t="s">
        <v>884</v>
      </c>
    </row>
    <row r="1684" spans="8:11" x14ac:dyDescent="0.25">
      <c r="H1684" s="183" t="s">
        <v>558</v>
      </c>
      <c r="I1684" s="183" t="s">
        <v>519</v>
      </c>
      <c r="J1684" s="183" t="s">
        <v>487</v>
      </c>
      <c r="K1684" s="183" t="s">
        <v>2137</v>
      </c>
    </row>
    <row r="1685" spans="8:11" x14ac:dyDescent="0.25">
      <c r="H1685" s="183" t="s">
        <v>558</v>
      </c>
      <c r="I1685" s="183" t="s">
        <v>519</v>
      </c>
      <c r="J1685" s="183" t="s">
        <v>491</v>
      </c>
      <c r="K1685" s="183" t="s">
        <v>2138</v>
      </c>
    </row>
    <row r="1686" spans="8:11" x14ac:dyDescent="0.25">
      <c r="H1686" s="183" t="s">
        <v>558</v>
      </c>
      <c r="I1686" s="183" t="s">
        <v>522</v>
      </c>
      <c r="J1686" s="183" t="s">
        <v>480</v>
      </c>
      <c r="K1686" s="183" t="s">
        <v>842</v>
      </c>
    </row>
    <row r="1687" spans="8:11" x14ac:dyDescent="0.25">
      <c r="H1687" s="183" t="s">
        <v>558</v>
      </c>
      <c r="I1687" s="183" t="s">
        <v>522</v>
      </c>
      <c r="J1687" s="183" t="s">
        <v>483</v>
      </c>
      <c r="K1687" s="183" t="s">
        <v>2139</v>
      </c>
    </row>
    <row r="1688" spans="8:11" x14ac:dyDescent="0.25">
      <c r="H1688" s="183" t="s">
        <v>558</v>
      </c>
      <c r="I1688" s="183" t="s">
        <v>522</v>
      </c>
      <c r="J1688" s="183" t="s">
        <v>487</v>
      </c>
      <c r="K1688" s="183" t="s">
        <v>2140</v>
      </c>
    </row>
    <row r="1689" spans="8:11" x14ac:dyDescent="0.25">
      <c r="H1689" s="183" t="s">
        <v>558</v>
      </c>
      <c r="I1689" s="183" t="s">
        <v>522</v>
      </c>
      <c r="J1689" s="183" t="s">
        <v>491</v>
      </c>
      <c r="K1689" s="183" t="s">
        <v>2141</v>
      </c>
    </row>
    <row r="1690" spans="8:11" x14ac:dyDescent="0.25">
      <c r="H1690" s="183" t="s">
        <v>558</v>
      </c>
      <c r="I1690" s="183" t="s">
        <v>522</v>
      </c>
      <c r="J1690" s="183" t="s">
        <v>495</v>
      </c>
      <c r="K1690" s="183" t="s">
        <v>2142</v>
      </c>
    </row>
    <row r="1691" spans="8:11" x14ac:dyDescent="0.25">
      <c r="H1691" s="183" t="s">
        <v>558</v>
      </c>
      <c r="I1691" s="183" t="s">
        <v>522</v>
      </c>
      <c r="J1691" s="183" t="s">
        <v>499</v>
      </c>
      <c r="K1691" s="183" t="s">
        <v>2143</v>
      </c>
    </row>
    <row r="1692" spans="8:11" x14ac:dyDescent="0.25">
      <c r="H1692" s="183" t="s">
        <v>558</v>
      </c>
      <c r="I1692" s="183" t="s">
        <v>522</v>
      </c>
      <c r="J1692" s="183" t="s">
        <v>503</v>
      </c>
      <c r="K1692" s="183" t="s">
        <v>2144</v>
      </c>
    </row>
    <row r="1693" spans="8:11" x14ac:dyDescent="0.25">
      <c r="H1693" s="183" t="s">
        <v>558</v>
      </c>
      <c r="I1693" s="183" t="s">
        <v>522</v>
      </c>
      <c r="J1693" s="183" t="s">
        <v>507</v>
      </c>
      <c r="K1693" s="183" t="s">
        <v>2145</v>
      </c>
    </row>
    <row r="1694" spans="8:11" x14ac:dyDescent="0.25">
      <c r="H1694" s="183" t="s">
        <v>558</v>
      </c>
      <c r="I1694" s="183" t="s">
        <v>522</v>
      </c>
      <c r="J1694" s="183" t="s">
        <v>511</v>
      </c>
      <c r="K1694" s="183" t="s">
        <v>2146</v>
      </c>
    </row>
    <row r="1695" spans="8:11" x14ac:dyDescent="0.25">
      <c r="H1695" s="183" t="s">
        <v>558</v>
      </c>
      <c r="I1695" s="183" t="s">
        <v>522</v>
      </c>
      <c r="J1695" s="183" t="s">
        <v>515</v>
      </c>
      <c r="K1695" s="183" t="s">
        <v>2147</v>
      </c>
    </row>
    <row r="1696" spans="8:11" x14ac:dyDescent="0.25">
      <c r="H1696" s="183" t="s">
        <v>558</v>
      </c>
      <c r="I1696" s="183" t="s">
        <v>526</v>
      </c>
      <c r="J1696" s="183" t="s">
        <v>480</v>
      </c>
      <c r="K1696" s="183" t="s">
        <v>843</v>
      </c>
    </row>
    <row r="1697" spans="8:11" x14ac:dyDescent="0.25">
      <c r="H1697" s="183" t="s">
        <v>558</v>
      </c>
      <c r="I1697" s="183" t="s">
        <v>526</v>
      </c>
      <c r="J1697" s="183" t="s">
        <v>483</v>
      </c>
      <c r="K1697" s="183" t="s">
        <v>2148</v>
      </c>
    </row>
    <row r="1698" spans="8:11" x14ac:dyDescent="0.25">
      <c r="H1698" s="183" t="s">
        <v>558</v>
      </c>
      <c r="I1698" s="183" t="s">
        <v>526</v>
      </c>
      <c r="J1698" s="183" t="s">
        <v>487</v>
      </c>
      <c r="K1698" s="183" t="s">
        <v>2149</v>
      </c>
    </row>
    <row r="1699" spans="8:11" x14ac:dyDescent="0.25">
      <c r="H1699" s="183" t="s">
        <v>558</v>
      </c>
      <c r="I1699" s="183" t="s">
        <v>526</v>
      </c>
      <c r="J1699" s="183" t="s">
        <v>491</v>
      </c>
      <c r="K1699" s="183" t="s">
        <v>2150</v>
      </c>
    </row>
    <row r="1700" spans="8:11" x14ac:dyDescent="0.25">
      <c r="H1700" s="183" t="s">
        <v>558</v>
      </c>
      <c r="I1700" s="183" t="s">
        <v>526</v>
      </c>
      <c r="J1700" s="183" t="s">
        <v>495</v>
      </c>
      <c r="K1700" s="183" t="s">
        <v>2151</v>
      </c>
    </row>
    <row r="1701" spans="8:11" x14ac:dyDescent="0.25">
      <c r="H1701" s="183" t="s">
        <v>558</v>
      </c>
      <c r="I1701" s="183" t="s">
        <v>526</v>
      </c>
      <c r="J1701" s="183" t="s">
        <v>499</v>
      </c>
      <c r="K1701" s="183" t="s">
        <v>2152</v>
      </c>
    </row>
    <row r="1702" spans="8:11" x14ac:dyDescent="0.25">
      <c r="H1702" s="183" t="s">
        <v>558</v>
      </c>
      <c r="I1702" s="183" t="s">
        <v>526</v>
      </c>
      <c r="J1702" s="183" t="s">
        <v>503</v>
      </c>
      <c r="K1702" s="183" t="s">
        <v>2153</v>
      </c>
    </row>
    <row r="1703" spans="8:11" x14ac:dyDescent="0.25">
      <c r="H1703" s="183" t="s">
        <v>562</v>
      </c>
      <c r="I1703" s="183" t="s">
        <v>480</v>
      </c>
      <c r="J1703" s="183" t="s">
        <v>480</v>
      </c>
      <c r="K1703" s="183" t="s">
        <v>845</v>
      </c>
    </row>
    <row r="1704" spans="8:11" x14ac:dyDescent="0.25">
      <c r="H1704" s="183" t="s">
        <v>562</v>
      </c>
      <c r="I1704" s="183" t="s">
        <v>480</v>
      </c>
      <c r="J1704" s="183" t="s">
        <v>483</v>
      </c>
      <c r="K1704" s="183" t="s">
        <v>2154</v>
      </c>
    </row>
    <row r="1705" spans="8:11" x14ac:dyDescent="0.25">
      <c r="H1705" s="183" t="s">
        <v>562</v>
      </c>
      <c r="I1705" s="183" t="s">
        <v>480</v>
      </c>
      <c r="J1705" s="183" t="s">
        <v>487</v>
      </c>
      <c r="K1705" s="183" t="s">
        <v>2155</v>
      </c>
    </row>
    <row r="1706" spans="8:11" x14ac:dyDescent="0.25">
      <c r="H1706" s="183" t="s">
        <v>562</v>
      </c>
      <c r="I1706" s="183" t="s">
        <v>480</v>
      </c>
      <c r="J1706" s="183" t="s">
        <v>491</v>
      </c>
      <c r="K1706" s="183" t="s">
        <v>2156</v>
      </c>
    </row>
    <row r="1707" spans="8:11" x14ac:dyDescent="0.25">
      <c r="H1707" s="183" t="s">
        <v>562</v>
      </c>
      <c r="I1707" s="183" t="s">
        <v>480</v>
      </c>
      <c r="J1707" s="183" t="s">
        <v>495</v>
      </c>
      <c r="K1707" s="183" t="s">
        <v>2157</v>
      </c>
    </row>
    <row r="1708" spans="8:11" x14ac:dyDescent="0.25">
      <c r="H1708" s="183" t="s">
        <v>562</v>
      </c>
      <c r="I1708" s="183" t="s">
        <v>480</v>
      </c>
      <c r="J1708" s="183" t="s">
        <v>499</v>
      </c>
      <c r="K1708" s="183" t="s">
        <v>2158</v>
      </c>
    </row>
    <row r="1709" spans="8:11" x14ac:dyDescent="0.25">
      <c r="H1709" s="183" t="s">
        <v>562</v>
      </c>
      <c r="I1709" s="183" t="s">
        <v>483</v>
      </c>
      <c r="J1709" s="183" t="s">
        <v>480</v>
      </c>
      <c r="K1709" s="183" t="s">
        <v>847</v>
      </c>
    </row>
    <row r="1710" spans="8:11" x14ac:dyDescent="0.25">
      <c r="H1710" s="183" t="s">
        <v>562</v>
      </c>
      <c r="I1710" s="183" t="s">
        <v>483</v>
      </c>
      <c r="J1710" s="183" t="s">
        <v>483</v>
      </c>
      <c r="K1710" s="183" t="s">
        <v>2159</v>
      </c>
    </row>
    <row r="1711" spans="8:11" x14ac:dyDescent="0.25">
      <c r="H1711" s="183" t="s">
        <v>562</v>
      </c>
      <c r="I1711" s="183" t="s">
        <v>483</v>
      </c>
      <c r="J1711" s="183" t="s">
        <v>487</v>
      </c>
      <c r="K1711" s="183" t="s">
        <v>2160</v>
      </c>
    </row>
    <row r="1712" spans="8:11" x14ac:dyDescent="0.25">
      <c r="H1712" s="183" t="s">
        <v>562</v>
      </c>
      <c r="I1712" s="183" t="s">
        <v>483</v>
      </c>
      <c r="J1712" s="183" t="s">
        <v>491</v>
      </c>
      <c r="K1712" s="183" t="s">
        <v>850</v>
      </c>
    </row>
    <row r="1713" spans="8:11" x14ac:dyDescent="0.25">
      <c r="H1713" s="183" t="s">
        <v>562</v>
      </c>
      <c r="I1713" s="183" t="s">
        <v>483</v>
      </c>
      <c r="J1713" s="183" t="s">
        <v>495</v>
      </c>
      <c r="K1713" s="183" t="s">
        <v>653</v>
      </c>
    </row>
    <row r="1714" spans="8:11" x14ac:dyDescent="0.25">
      <c r="H1714" s="183" t="s">
        <v>562</v>
      </c>
      <c r="I1714" s="183" t="s">
        <v>483</v>
      </c>
      <c r="J1714" s="183" t="s">
        <v>499</v>
      </c>
      <c r="K1714" s="183" t="s">
        <v>1483</v>
      </c>
    </row>
    <row r="1715" spans="8:11" x14ac:dyDescent="0.25">
      <c r="H1715" s="183" t="s">
        <v>562</v>
      </c>
      <c r="I1715" s="183" t="s">
        <v>487</v>
      </c>
      <c r="J1715" s="183" t="s">
        <v>480</v>
      </c>
      <c r="K1715" s="183" t="s">
        <v>2161</v>
      </c>
    </row>
    <row r="1716" spans="8:11" x14ac:dyDescent="0.25">
      <c r="H1716" s="183" t="s">
        <v>562</v>
      </c>
      <c r="I1716" s="183" t="s">
        <v>487</v>
      </c>
      <c r="J1716" s="183" t="s">
        <v>483</v>
      </c>
      <c r="K1716" s="183" t="s">
        <v>2162</v>
      </c>
    </row>
    <row r="1717" spans="8:11" x14ac:dyDescent="0.25">
      <c r="H1717" s="183" t="s">
        <v>562</v>
      </c>
      <c r="I1717" s="183" t="s">
        <v>487</v>
      </c>
      <c r="J1717" s="183" t="s">
        <v>487</v>
      </c>
      <c r="K1717" s="183" t="s">
        <v>563</v>
      </c>
    </row>
    <row r="1718" spans="8:11" x14ac:dyDescent="0.25">
      <c r="H1718" s="183" t="s">
        <v>562</v>
      </c>
      <c r="I1718" s="183" t="s">
        <v>487</v>
      </c>
      <c r="J1718" s="183" t="s">
        <v>491</v>
      </c>
      <c r="K1718" s="183" t="s">
        <v>670</v>
      </c>
    </row>
    <row r="1719" spans="8:11" x14ac:dyDescent="0.25">
      <c r="H1719" s="183" t="s">
        <v>562</v>
      </c>
      <c r="I1719" s="183" t="s">
        <v>487</v>
      </c>
      <c r="J1719" s="183" t="s">
        <v>495</v>
      </c>
      <c r="K1719" s="183" t="s">
        <v>2163</v>
      </c>
    </row>
    <row r="1720" spans="8:11" x14ac:dyDescent="0.25">
      <c r="H1720" s="183" t="s">
        <v>562</v>
      </c>
      <c r="I1720" s="183" t="s">
        <v>491</v>
      </c>
      <c r="J1720" s="183" t="s">
        <v>480</v>
      </c>
      <c r="K1720" s="183" t="s">
        <v>2164</v>
      </c>
    </row>
    <row r="1721" spans="8:11" x14ac:dyDescent="0.25">
      <c r="H1721" s="183" t="s">
        <v>562</v>
      </c>
      <c r="I1721" s="183" t="s">
        <v>491</v>
      </c>
      <c r="J1721" s="183" t="s">
        <v>483</v>
      </c>
      <c r="K1721" s="183" t="s">
        <v>2165</v>
      </c>
    </row>
    <row r="1722" spans="8:11" x14ac:dyDescent="0.25">
      <c r="H1722" s="183" t="s">
        <v>562</v>
      </c>
      <c r="I1722" s="183" t="s">
        <v>491</v>
      </c>
      <c r="J1722" s="183" t="s">
        <v>487</v>
      </c>
      <c r="K1722" s="183" t="s">
        <v>2166</v>
      </c>
    </row>
    <row r="1723" spans="8:11" x14ac:dyDescent="0.25">
      <c r="H1723" s="183" t="s">
        <v>562</v>
      </c>
      <c r="I1723" s="183" t="s">
        <v>491</v>
      </c>
      <c r="J1723" s="183" t="s">
        <v>491</v>
      </c>
      <c r="K1723" s="183" t="s">
        <v>2167</v>
      </c>
    </row>
    <row r="1724" spans="8:11" x14ac:dyDescent="0.25">
      <c r="H1724" s="183" t="s">
        <v>562</v>
      </c>
      <c r="I1724" s="183" t="s">
        <v>491</v>
      </c>
      <c r="J1724" s="183" t="s">
        <v>495</v>
      </c>
      <c r="K1724" s="183" t="s">
        <v>2168</v>
      </c>
    </row>
    <row r="1725" spans="8:11" x14ac:dyDescent="0.25">
      <c r="H1725" s="183" t="s">
        <v>562</v>
      </c>
      <c r="I1725" s="183" t="s">
        <v>491</v>
      </c>
      <c r="J1725" s="183" t="s">
        <v>499</v>
      </c>
      <c r="K1725" s="183" t="s">
        <v>2169</v>
      </c>
    </row>
    <row r="1726" spans="8:11" x14ac:dyDescent="0.25">
      <c r="H1726" s="183" t="s">
        <v>562</v>
      </c>
      <c r="I1726" s="183" t="s">
        <v>495</v>
      </c>
      <c r="J1726" s="183" t="s">
        <v>480</v>
      </c>
      <c r="K1726" s="183" t="s">
        <v>852</v>
      </c>
    </row>
    <row r="1727" spans="8:11" x14ac:dyDescent="0.25">
      <c r="H1727" s="183" t="s">
        <v>562</v>
      </c>
      <c r="I1727" s="183" t="s">
        <v>495</v>
      </c>
      <c r="J1727" s="183" t="s">
        <v>483</v>
      </c>
      <c r="K1727" s="183" t="s">
        <v>2170</v>
      </c>
    </row>
    <row r="1728" spans="8:11" x14ac:dyDescent="0.25">
      <c r="H1728" s="183" t="s">
        <v>562</v>
      </c>
      <c r="I1728" s="183" t="s">
        <v>495</v>
      </c>
      <c r="J1728" s="183" t="s">
        <v>487</v>
      </c>
      <c r="K1728" s="183" t="s">
        <v>2171</v>
      </c>
    </row>
    <row r="1729" spans="8:11" x14ac:dyDescent="0.25">
      <c r="H1729" s="183" t="s">
        <v>562</v>
      </c>
      <c r="I1729" s="183" t="s">
        <v>495</v>
      </c>
      <c r="J1729" s="183" t="s">
        <v>491</v>
      </c>
      <c r="K1729" s="183" t="s">
        <v>2172</v>
      </c>
    </row>
    <row r="1730" spans="8:11" x14ac:dyDescent="0.25">
      <c r="H1730" s="183" t="s">
        <v>562</v>
      </c>
      <c r="I1730" s="183" t="s">
        <v>495</v>
      </c>
      <c r="J1730" s="183" t="s">
        <v>495</v>
      </c>
      <c r="K1730" s="183" t="s">
        <v>2173</v>
      </c>
    </row>
    <row r="1731" spans="8:11" x14ac:dyDescent="0.25">
      <c r="H1731" s="183" t="s">
        <v>562</v>
      </c>
      <c r="I1731" s="183" t="s">
        <v>495</v>
      </c>
      <c r="J1731" s="183" t="s">
        <v>499</v>
      </c>
      <c r="K1731" s="183" t="s">
        <v>2174</v>
      </c>
    </row>
    <row r="1732" spans="8:11" x14ac:dyDescent="0.25">
      <c r="H1732" s="183" t="s">
        <v>562</v>
      </c>
      <c r="I1732" s="183" t="s">
        <v>495</v>
      </c>
      <c r="J1732" s="183" t="s">
        <v>503</v>
      </c>
      <c r="K1732" s="183" t="s">
        <v>2175</v>
      </c>
    </row>
    <row r="1733" spans="8:11" x14ac:dyDescent="0.25">
      <c r="H1733" s="183" t="s">
        <v>562</v>
      </c>
      <c r="I1733" s="183" t="s">
        <v>495</v>
      </c>
      <c r="J1733" s="183" t="s">
        <v>507</v>
      </c>
      <c r="K1733" s="183" t="s">
        <v>2176</v>
      </c>
    </row>
    <row r="1734" spans="8:11" x14ac:dyDescent="0.25">
      <c r="H1734" s="183" t="s">
        <v>562</v>
      </c>
      <c r="I1734" s="183" t="s">
        <v>495</v>
      </c>
      <c r="J1734" s="183" t="s">
        <v>511</v>
      </c>
      <c r="K1734" s="183" t="s">
        <v>2177</v>
      </c>
    </row>
    <row r="1735" spans="8:11" x14ac:dyDescent="0.25">
      <c r="H1735" s="183" t="s">
        <v>562</v>
      </c>
      <c r="I1735" s="183" t="s">
        <v>495</v>
      </c>
      <c r="J1735" s="183" t="s">
        <v>515</v>
      </c>
      <c r="K1735" s="183" t="s">
        <v>2178</v>
      </c>
    </row>
    <row r="1736" spans="8:11" x14ac:dyDescent="0.25">
      <c r="H1736" s="183" t="s">
        <v>562</v>
      </c>
      <c r="I1736" s="183" t="s">
        <v>495</v>
      </c>
      <c r="J1736" s="183" t="s">
        <v>519</v>
      </c>
      <c r="K1736" s="183" t="s">
        <v>2179</v>
      </c>
    </row>
    <row r="1737" spans="8:11" x14ac:dyDescent="0.25">
      <c r="H1737" s="183" t="s">
        <v>562</v>
      </c>
      <c r="I1737" s="183" t="s">
        <v>499</v>
      </c>
      <c r="J1737" s="183" t="s">
        <v>480</v>
      </c>
      <c r="K1737" s="183" t="s">
        <v>2180</v>
      </c>
    </row>
    <row r="1738" spans="8:11" x14ac:dyDescent="0.25">
      <c r="H1738" s="183" t="s">
        <v>562</v>
      </c>
      <c r="I1738" s="183" t="s">
        <v>499</v>
      </c>
      <c r="J1738" s="183" t="s">
        <v>483</v>
      </c>
      <c r="K1738" s="183" t="s">
        <v>2181</v>
      </c>
    </row>
    <row r="1739" spans="8:11" x14ac:dyDescent="0.25">
      <c r="H1739" s="183" t="s">
        <v>562</v>
      </c>
      <c r="I1739" s="183" t="s">
        <v>499</v>
      </c>
      <c r="J1739" s="183" t="s">
        <v>487</v>
      </c>
      <c r="K1739" s="183" t="s">
        <v>2182</v>
      </c>
    </row>
    <row r="1740" spans="8:11" x14ac:dyDescent="0.25">
      <c r="H1740" s="183" t="s">
        <v>562</v>
      </c>
      <c r="I1740" s="183" t="s">
        <v>499</v>
      </c>
      <c r="J1740" s="183" t="s">
        <v>491</v>
      </c>
      <c r="K1740" s="183" t="s">
        <v>2183</v>
      </c>
    </row>
    <row r="1741" spans="8:11" x14ac:dyDescent="0.25">
      <c r="H1741" s="183" t="s">
        <v>562</v>
      </c>
      <c r="I1741" s="183" t="s">
        <v>499</v>
      </c>
      <c r="J1741" s="183" t="s">
        <v>495</v>
      </c>
      <c r="K1741" s="183" t="s">
        <v>2184</v>
      </c>
    </row>
    <row r="1742" spans="8:11" x14ac:dyDescent="0.25">
      <c r="H1742" s="183" t="s">
        <v>562</v>
      </c>
      <c r="I1742" s="183" t="s">
        <v>503</v>
      </c>
      <c r="J1742" s="183" t="s">
        <v>480</v>
      </c>
      <c r="K1742" s="183" t="s">
        <v>856</v>
      </c>
    </row>
    <row r="1743" spans="8:11" x14ac:dyDescent="0.25">
      <c r="H1743" s="183" t="s">
        <v>562</v>
      </c>
      <c r="I1743" s="183" t="s">
        <v>503</v>
      </c>
      <c r="J1743" s="183" t="s">
        <v>483</v>
      </c>
      <c r="K1743" s="183" t="s">
        <v>2033</v>
      </c>
    </row>
    <row r="1744" spans="8:11" x14ac:dyDescent="0.25">
      <c r="H1744" s="183" t="s">
        <v>562</v>
      </c>
      <c r="I1744" s="183" t="s">
        <v>503</v>
      </c>
      <c r="J1744" s="183" t="s">
        <v>487</v>
      </c>
      <c r="K1744" s="183" t="s">
        <v>2185</v>
      </c>
    </row>
    <row r="1745" spans="8:11" x14ac:dyDescent="0.25">
      <c r="H1745" s="183" t="s">
        <v>562</v>
      </c>
      <c r="I1745" s="183" t="s">
        <v>503</v>
      </c>
      <c r="J1745" s="183" t="s">
        <v>491</v>
      </c>
      <c r="K1745" s="183" t="s">
        <v>2186</v>
      </c>
    </row>
    <row r="1746" spans="8:11" x14ac:dyDescent="0.25">
      <c r="H1746" s="183" t="s">
        <v>562</v>
      </c>
      <c r="I1746" s="183" t="s">
        <v>503</v>
      </c>
      <c r="J1746" s="183" t="s">
        <v>495</v>
      </c>
      <c r="K1746" s="183" t="s">
        <v>2187</v>
      </c>
    </row>
    <row r="1747" spans="8:11" x14ac:dyDescent="0.25">
      <c r="H1747" s="183" t="s">
        <v>562</v>
      </c>
      <c r="I1747" s="183" t="s">
        <v>503</v>
      </c>
      <c r="J1747" s="183" t="s">
        <v>499</v>
      </c>
      <c r="K1747" s="183" t="s">
        <v>638</v>
      </c>
    </row>
    <row r="1748" spans="8:11" x14ac:dyDescent="0.25">
      <c r="H1748" s="183" t="s">
        <v>562</v>
      </c>
      <c r="I1748" s="183" t="s">
        <v>503</v>
      </c>
      <c r="J1748" s="183" t="s">
        <v>503</v>
      </c>
      <c r="K1748" s="183" t="s">
        <v>2188</v>
      </c>
    </row>
    <row r="1749" spans="8:11" x14ac:dyDescent="0.25">
      <c r="H1749" s="183" t="s">
        <v>562</v>
      </c>
      <c r="I1749" s="183" t="s">
        <v>503</v>
      </c>
      <c r="J1749" s="183" t="s">
        <v>507</v>
      </c>
      <c r="K1749" s="183" t="s">
        <v>2189</v>
      </c>
    </row>
    <row r="1750" spans="8:11" x14ac:dyDescent="0.25">
      <c r="H1750" s="183" t="s">
        <v>562</v>
      </c>
      <c r="I1750" s="183" t="s">
        <v>503</v>
      </c>
      <c r="J1750" s="183" t="s">
        <v>511</v>
      </c>
      <c r="K1750" s="183" t="s">
        <v>2190</v>
      </c>
    </row>
    <row r="1751" spans="8:11" x14ac:dyDescent="0.25">
      <c r="H1751" s="183" t="s">
        <v>562</v>
      </c>
      <c r="I1751" s="183" t="s">
        <v>503</v>
      </c>
      <c r="J1751" s="183" t="s">
        <v>515</v>
      </c>
      <c r="K1751" s="183" t="s">
        <v>2191</v>
      </c>
    </row>
    <row r="1752" spans="8:11" x14ac:dyDescent="0.25">
      <c r="H1752" s="183" t="s">
        <v>562</v>
      </c>
      <c r="I1752" s="183" t="s">
        <v>507</v>
      </c>
      <c r="J1752" s="183" t="s">
        <v>480</v>
      </c>
      <c r="K1752" s="183" t="s">
        <v>858</v>
      </c>
    </row>
    <row r="1753" spans="8:11" x14ac:dyDescent="0.25">
      <c r="H1753" s="183" t="s">
        <v>562</v>
      </c>
      <c r="I1753" s="183" t="s">
        <v>507</v>
      </c>
      <c r="J1753" s="183" t="s">
        <v>483</v>
      </c>
      <c r="K1753" s="183" t="s">
        <v>2192</v>
      </c>
    </row>
    <row r="1754" spans="8:11" x14ac:dyDescent="0.25">
      <c r="H1754" s="183" t="s">
        <v>562</v>
      </c>
      <c r="I1754" s="183" t="s">
        <v>507</v>
      </c>
      <c r="J1754" s="183" t="s">
        <v>487</v>
      </c>
      <c r="K1754" s="183" t="s">
        <v>2193</v>
      </c>
    </row>
    <row r="1755" spans="8:11" x14ac:dyDescent="0.25">
      <c r="H1755" s="183" t="s">
        <v>562</v>
      </c>
      <c r="I1755" s="183" t="s">
        <v>507</v>
      </c>
      <c r="J1755" s="183" t="s">
        <v>491</v>
      </c>
      <c r="K1755" s="183" t="s">
        <v>2194</v>
      </c>
    </row>
    <row r="1756" spans="8:11" x14ac:dyDescent="0.25">
      <c r="H1756" s="183" t="s">
        <v>562</v>
      </c>
      <c r="I1756" s="183" t="s">
        <v>507</v>
      </c>
      <c r="J1756" s="183" t="s">
        <v>495</v>
      </c>
      <c r="K1756" s="183" t="s">
        <v>2195</v>
      </c>
    </row>
    <row r="1757" spans="8:11" x14ac:dyDescent="0.25">
      <c r="H1757" s="183" t="s">
        <v>562</v>
      </c>
      <c r="I1757" s="183" t="s">
        <v>507</v>
      </c>
      <c r="J1757" s="183" t="s">
        <v>499</v>
      </c>
      <c r="K1757" s="183" t="s">
        <v>2196</v>
      </c>
    </row>
    <row r="1758" spans="8:11" x14ac:dyDescent="0.25">
      <c r="H1758" s="183" t="s">
        <v>562</v>
      </c>
      <c r="I1758" s="183" t="s">
        <v>507</v>
      </c>
      <c r="J1758" s="183" t="s">
        <v>503</v>
      </c>
      <c r="K1758" s="183" t="s">
        <v>2197</v>
      </c>
    </row>
    <row r="1759" spans="8:11" x14ac:dyDescent="0.25">
      <c r="H1759" s="183" t="s">
        <v>562</v>
      </c>
      <c r="I1759" s="183" t="s">
        <v>507</v>
      </c>
      <c r="J1759" s="183" t="s">
        <v>507</v>
      </c>
      <c r="K1759" s="183" t="s">
        <v>2198</v>
      </c>
    </row>
    <row r="1760" spans="8:11" x14ac:dyDescent="0.25">
      <c r="H1760" s="183" t="s">
        <v>562</v>
      </c>
      <c r="I1760" s="183" t="s">
        <v>507</v>
      </c>
      <c r="J1760" s="183" t="s">
        <v>511</v>
      </c>
      <c r="K1760" s="183" t="s">
        <v>2199</v>
      </c>
    </row>
    <row r="1761" spans="8:11" x14ac:dyDescent="0.25">
      <c r="H1761" s="183" t="s">
        <v>562</v>
      </c>
      <c r="I1761" s="183" t="s">
        <v>511</v>
      </c>
      <c r="J1761" s="183" t="s">
        <v>480</v>
      </c>
      <c r="K1761" s="183" t="s">
        <v>2200</v>
      </c>
    </row>
    <row r="1762" spans="8:11" x14ac:dyDescent="0.25">
      <c r="H1762" s="183" t="s">
        <v>562</v>
      </c>
      <c r="I1762" s="183" t="s">
        <v>511</v>
      </c>
      <c r="J1762" s="183" t="s">
        <v>483</v>
      </c>
      <c r="K1762" s="183" t="s">
        <v>2201</v>
      </c>
    </row>
    <row r="1763" spans="8:11" x14ac:dyDescent="0.25">
      <c r="H1763" s="183" t="s">
        <v>562</v>
      </c>
      <c r="I1763" s="183" t="s">
        <v>511</v>
      </c>
      <c r="J1763" s="183" t="s">
        <v>487</v>
      </c>
      <c r="K1763" s="183" t="s">
        <v>2202</v>
      </c>
    </row>
    <row r="1764" spans="8:11" x14ac:dyDescent="0.25">
      <c r="H1764" s="183" t="s">
        <v>562</v>
      </c>
      <c r="I1764" s="183" t="s">
        <v>511</v>
      </c>
      <c r="J1764" s="183" t="s">
        <v>491</v>
      </c>
      <c r="K1764" s="183" t="s">
        <v>2203</v>
      </c>
    </row>
    <row r="1765" spans="8:11" x14ac:dyDescent="0.25">
      <c r="H1765" s="183" t="s">
        <v>562</v>
      </c>
      <c r="I1765" s="183" t="s">
        <v>511</v>
      </c>
      <c r="J1765" s="183" t="s">
        <v>495</v>
      </c>
      <c r="K1765" s="183" t="s">
        <v>2204</v>
      </c>
    </row>
    <row r="1766" spans="8:11" x14ac:dyDescent="0.25">
      <c r="H1766" s="183" t="s">
        <v>562</v>
      </c>
      <c r="I1766" s="183" t="s">
        <v>511</v>
      </c>
      <c r="J1766" s="183" t="s">
        <v>499</v>
      </c>
      <c r="K1766" s="183" t="s">
        <v>1673</v>
      </c>
    </row>
    <row r="1767" spans="8:11" x14ac:dyDescent="0.25">
      <c r="H1767" s="183" t="s">
        <v>562</v>
      </c>
      <c r="I1767" s="183" t="s">
        <v>511</v>
      </c>
      <c r="J1767" s="183" t="s">
        <v>503</v>
      </c>
      <c r="K1767" s="183" t="s">
        <v>2205</v>
      </c>
    </row>
    <row r="1768" spans="8:11" x14ac:dyDescent="0.25">
      <c r="H1768" s="183" t="s">
        <v>562</v>
      </c>
      <c r="I1768" s="183" t="s">
        <v>511</v>
      </c>
      <c r="J1768" s="183" t="s">
        <v>507</v>
      </c>
      <c r="K1768" s="183" t="s">
        <v>2206</v>
      </c>
    </row>
    <row r="1769" spans="8:11" x14ac:dyDescent="0.25">
      <c r="H1769" s="183" t="s">
        <v>562</v>
      </c>
      <c r="I1769" s="183" t="s">
        <v>511</v>
      </c>
      <c r="J1769" s="183" t="s">
        <v>511</v>
      </c>
      <c r="K1769" s="183" t="s">
        <v>2207</v>
      </c>
    </row>
    <row r="1770" spans="8:11" x14ac:dyDescent="0.25">
      <c r="H1770" s="183" t="s">
        <v>562</v>
      </c>
      <c r="I1770" s="183" t="s">
        <v>511</v>
      </c>
      <c r="J1770" s="183" t="s">
        <v>515</v>
      </c>
      <c r="K1770" s="183" t="s">
        <v>2208</v>
      </c>
    </row>
    <row r="1771" spans="8:11" x14ac:dyDescent="0.25">
      <c r="H1771" s="183" t="s">
        <v>562</v>
      </c>
      <c r="I1771" s="183" t="s">
        <v>511</v>
      </c>
      <c r="J1771" s="183" t="s">
        <v>519</v>
      </c>
      <c r="K1771" s="183" t="s">
        <v>2209</v>
      </c>
    </row>
    <row r="1772" spans="8:11" x14ac:dyDescent="0.25">
      <c r="H1772" s="183" t="s">
        <v>562</v>
      </c>
      <c r="I1772" s="183" t="s">
        <v>511</v>
      </c>
      <c r="J1772" s="183" t="s">
        <v>522</v>
      </c>
      <c r="K1772" s="183" t="s">
        <v>993</v>
      </c>
    </row>
    <row r="1773" spans="8:11" x14ac:dyDescent="0.25">
      <c r="H1773" s="183" t="s">
        <v>562</v>
      </c>
      <c r="I1773" s="183" t="s">
        <v>511</v>
      </c>
      <c r="J1773" s="183" t="s">
        <v>526</v>
      </c>
      <c r="K1773" s="183" t="s">
        <v>2210</v>
      </c>
    </row>
    <row r="1774" spans="8:11" x14ac:dyDescent="0.25">
      <c r="H1774" s="183" t="s">
        <v>562</v>
      </c>
      <c r="I1774" s="183" t="s">
        <v>511</v>
      </c>
      <c r="J1774" s="183" t="s">
        <v>530</v>
      </c>
      <c r="K1774" s="183" t="s">
        <v>2211</v>
      </c>
    </row>
    <row r="1775" spans="8:11" x14ac:dyDescent="0.25">
      <c r="H1775" s="183" t="s">
        <v>562</v>
      </c>
      <c r="I1775" s="183" t="s">
        <v>515</v>
      </c>
      <c r="J1775" s="183" t="s">
        <v>480</v>
      </c>
      <c r="K1775" s="183" t="s">
        <v>861</v>
      </c>
    </row>
    <row r="1776" spans="8:11" x14ac:dyDescent="0.25">
      <c r="H1776" s="183" t="s">
        <v>562</v>
      </c>
      <c r="I1776" s="183" t="s">
        <v>515</v>
      </c>
      <c r="J1776" s="183" t="s">
        <v>483</v>
      </c>
      <c r="K1776" s="183" t="s">
        <v>2212</v>
      </c>
    </row>
    <row r="1777" spans="8:11" x14ac:dyDescent="0.25">
      <c r="H1777" s="183" t="s">
        <v>562</v>
      </c>
      <c r="I1777" s="183" t="s">
        <v>515</v>
      </c>
      <c r="J1777" s="183" t="s">
        <v>487</v>
      </c>
      <c r="K1777" s="183" t="s">
        <v>2213</v>
      </c>
    </row>
    <row r="1778" spans="8:11" x14ac:dyDescent="0.25">
      <c r="H1778" s="183" t="s">
        <v>562</v>
      </c>
      <c r="I1778" s="183" t="s">
        <v>515</v>
      </c>
      <c r="J1778" s="183" t="s">
        <v>491</v>
      </c>
      <c r="K1778" s="183" t="s">
        <v>2214</v>
      </c>
    </row>
    <row r="1779" spans="8:11" x14ac:dyDescent="0.25">
      <c r="H1779" s="183" t="s">
        <v>562</v>
      </c>
      <c r="I1779" s="183" t="s">
        <v>515</v>
      </c>
      <c r="J1779" s="183" t="s">
        <v>495</v>
      </c>
      <c r="K1779" s="183" t="s">
        <v>2215</v>
      </c>
    </row>
    <row r="1780" spans="8:11" x14ac:dyDescent="0.25">
      <c r="H1780" s="183" t="s">
        <v>566</v>
      </c>
      <c r="I1780" s="183" t="s">
        <v>480</v>
      </c>
      <c r="J1780" s="183" t="s">
        <v>480</v>
      </c>
      <c r="K1780" s="183" t="s">
        <v>567</v>
      </c>
    </row>
    <row r="1781" spans="8:11" x14ac:dyDescent="0.25">
      <c r="H1781" s="183" t="s">
        <v>566</v>
      </c>
      <c r="I1781" s="183" t="s">
        <v>480</v>
      </c>
      <c r="J1781" s="183" t="s">
        <v>483</v>
      </c>
      <c r="K1781" s="183" t="s">
        <v>2216</v>
      </c>
    </row>
    <row r="1782" spans="8:11" x14ac:dyDescent="0.25">
      <c r="H1782" s="183" t="s">
        <v>566</v>
      </c>
      <c r="I1782" s="183" t="s">
        <v>480</v>
      </c>
      <c r="J1782" s="183" t="s">
        <v>487</v>
      </c>
      <c r="K1782" s="183" t="s">
        <v>2217</v>
      </c>
    </row>
    <row r="1783" spans="8:11" x14ac:dyDescent="0.25">
      <c r="H1783" s="183" t="s">
        <v>566</v>
      </c>
      <c r="I1783" s="183" t="s">
        <v>480</v>
      </c>
      <c r="J1783" s="183" t="s">
        <v>491</v>
      </c>
      <c r="K1783" s="183" t="s">
        <v>2218</v>
      </c>
    </row>
    <row r="1784" spans="8:11" x14ac:dyDescent="0.25">
      <c r="H1784" s="183" t="s">
        <v>566</v>
      </c>
      <c r="I1784" s="183" t="s">
        <v>480</v>
      </c>
      <c r="J1784" s="183" t="s">
        <v>495</v>
      </c>
      <c r="K1784" s="183" t="s">
        <v>2219</v>
      </c>
    </row>
    <row r="1785" spans="8:11" x14ac:dyDescent="0.25">
      <c r="H1785" s="183" t="s">
        <v>566</v>
      </c>
      <c r="I1785" s="183" t="s">
        <v>480</v>
      </c>
      <c r="J1785" s="183" t="s">
        <v>499</v>
      </c>
      <c r="K1785" s="183" t="s">
        <v>2220</v>
      </c>
    </row>
    <row r="1786" spans="8:11" x14ac:dyDescent="0.25">
      <c r="H1786" s="183" t="s">
        <v>566</v>
      </c>
      <c r="I1786" s="183" t="s">
        <v>480</v>
      </c>
      <c r="J1786" s="183" t="s">
        <v>503</v>
      </c>
      <c r="K1786" s="183" t="s">
        <v>1403</v>
      </c>
    </row>
    <row r="1787" spans="8:11" x14ac:dyDescent="0.25">
      <c r="H1787" s="183" t="s">
        <v>566</v>
      </c>
      <c r="I1787" s="183" t="s">
        <v>480</v>
      </c>
      <c r="J1787" s="183" t="s">
        <v>507</v>
      </c>
      <c r="K1787" s="183" t="s">
        <v>2221</v>
      </c>
    </row>
    <row r="1788" spans="8:11" x14ac:dyDescent="0.25">
      <c r="H1788" s="183" t="s">
        <v>566</v>
      </c>
      <c r="I1788" s="183" t="s">
        <v>480</v>
      </c>
      <c r="J1788" s="183" t="s">
        <v>511</v>
      </c>
      <c r="K1788" s="183" t="s">
        <v>2222</v>
      </c>
    </row>
    <row r="1789" spans="8:11" x14ac:dyDescent="0.25">
      <c r="H1789" s="183" t="s">
        <v>566</v>
      </c>
      <c r="I1789" s="183" t="s">
        <v>480</v>
      </c>
      <c r="J1789" s="183" t="s">
        <v>515</v>
      </c>
      <c r="K1789" s="183" t="s">
        <v>2223</v>
      </c>
    </row>
    <row r="1790" spans="8:11" x14ac:dyDescent="0.25">
      <c r="H1790" s="183" t="s">
        <v>566</v>
      </c>
      <c r="I1790" s="183" t="s">
        <v>483</v>
      </c>
      <c r="J1790" s="183" t="s">
        <v>480</v>
      </c>
      <c r="K1790" s="183" t="s">
        <v>864</v>
      </c>
    </row>
    <row r="1791" spans="8:11" x14ac:dyDescent="0.25">
      <c r="H1791" s="183" t="s">
        <v>566</v>
      </c>
      <c r="I1791" s="183" t="s">
        <v>483</v>
      </c>
      <c r="J1791" s="183" t="s">
        <v>483</v>
      </c>
      <c r="K1791" s="183" t="s">
        <v>2224</v>
      </c>
    </row>
    <row r="1792" spans="8:11" x14ac:dyDescent="0.25">
      <c r="H1792" s="183" t="s">
        <v>566</v>
      </c>
      <c r="I1792" s="183" t="s">
        <v>483</v>
      </c>
      <c r="J1792" s="183" t="s">
        <v>487</v>
      </c>
      <c r="K1792" s="183" t="s">
        <v>2225</v>
      </c>
    </row>
    <row r="1793" spans="8:11" x14ac:dyDescent="0.25">
      <c r="H1793" s="183" t="s">
        <v>566</v>
      </c>
      <c r="I1793" s="183" t="s">
        <v>483</v>
      </c>
      <c r="J1793" s="183" t="s">
        <v>491</v>
      </c>
      <c r="K1793" s="183" t="s">
        <v>2226</v>
      </c>
    </row>
    <row r="1794" spans="8:11" x14ac:dyDescent="0.25">
      <c r="H1794" s="183" t="s">
        <v>566</v>
      </c>
      <c r="I1794" s="183" t="s">
        <v>483</v>
      </c>
      <c r="J1794" s="183" t="s">
        <v>495</v>
      </c>
      <c r="K1794" s="183" t="s">
        <v>2227</v>
      </c>
    </row>
    <row r="1795" spans="8:11" x14ac:dyDescent="0.25">
      <c r="H1795" s="183" t="s">
        <v>566</v>
      </c>
      <c r="I1795" s="183" t="s">
        <v>483</v>
      </c>
      <c r="J1795" s="183" t="s">
        <v>499</v>
      </c>
      <c r="K1795" s="183" t="s">
        <v>2228</v>
      </c>
    </row>
    <row r="1796" spans="8:11" x14ac:dyDescent="0.25">
      <c r="H1796" s="183" t="s">
        <v>566</v>
      </c>
      <c r="I1796" s="183" t="s">
        <v>487</v>
      </c>
      <c r="J1796" s="183" t="s">
        <v>480</v>
      </c>
      <c r="K1796" s="183" t="s">
        <v>2229</v>
      </c>
    </row>
    <row r="1797" spans="8:11" x14ac:dyDescent="0.25">
      <c r="H1797" s="183" t="s">
        <v>566</v>
      </c>
      <c r="I1797" s="183" t="s">
        <v>487</v>
      </c>
      <c r="J1797" s="183" t="s">
        <v>483</v>
      </c>
      <c r="K1797" s="183" t="s">
        <v>2230</v>
      </c>
    </row>
    <row r="1798" spans="8:11" x14ac:dyDescent="0.25">
      <c r="H1798" s="183" t="s">
        <v>566</v>
      </c>
      <c r="I1798" s="183" t="s">
        <v>487</v>
      </c>
      <c r="J1798" s="183" t="s">
        <v>487</v>
      </c>
      <c r="K1798" s="183" t="s">
        <v>2231</v>
      </c>
    </row>
    <row r="1799" spans="8:11" x14ac:dyDescent="0.25">
      <c r="H1799" s="183" t="s">
        <v>566</v>
      </c>
      <c r="I1799" s="183" t="s">
        <v>491</v>
      </c>
      <c r="J1799" s="183" t="s">
        <v>480</v>
      </c>
      <c r="K1799" s="183" t="s">
        <v>868</v>
      </c>
    </row>
    <row r="1800" spans="8:11" x14ac:dyDescent="0.25">
      <c r="H1800" s="183" t="s">
        <v>566</v>
      </c>
      <c r="I1800" s="183" t="s">
        <v>491</v>
      </c>
      <c r="J1800" s="183" t="s">
        <v>483</v>
      </c>
      <c r="K1800" s="183" t="s">
        <v>2232</v>
      </c>
    </row>
    <row r="1801" spans="8:11" x14ac:dyDescent="0.25">
      <c r="H1801" s="183" t="s">
        <v>566</v>
      </c>
      <c r="I1801" s="183" t="s">
        <v>491</v>
      </c>
      <c r="J1801" s="183" t="s">
        <v>487</v>
      </c>
      <c r="K1801" s="183" t="s">
        <v>2233</v>
      </c>
    </row>
    <row r="1802" spans="8:11" x14ac:dyDescent="0.25">
      <c r="H1802" s="183" t="s">
        <v>566</v>
      </c>
      <c r="I1802" s="183" t="s">
        <v>491</v>
      </c>
      <c r="J1802" s="183" t="s">
        <v>491</v>
      </c>
      <c r="K1802" s="183" t="s">
        <v>2234</v>
      </c>
    </row>
    <row r="1803" spans="8:11" x14ac:dyDescent="0.25">
      <c r="H1803" s="183" t="s">
        <v>566</v>
      </c>
      <c r="I1803" s="183" t="s">
        <v>491</v>
      </c>
      <c r="J1803" s="183" t="s">
        <v>495</v>
      </c>
      <c r="K1803" s="183" t="s">
        <v>2235</v>
      </c>
    </row>
    <row r="1804" spans="8:11" x14ac:dyDescent="0.25">
      <c r="H1804" s="183" t="s">
        <v>566</v>
      </c>
      <c r="I1804" s="183" t="s">
        <v>491</v>
      </c>
      <c r="J1804" s="183" t="s">
        <v>499</v>
      </c>
      <c r="K1804" s="183" t="s">
        <v>2236</v>
      </c>
    </row>
    <row r="1805" spans="8:11" x14ac:dyDescent="0.25">
      <c r="H1805" s="183" t="s">
        <v>566</v>
      </c>
      <c r="I1805" s="183" t="s">
        <v>491</v>
      </c>
      <c r="J1805" s="183" t="s">
        <v>503</v>
      </c>
      <c r="K1805" s="183" t="s">
        <v>2237</v>
      </c>
    </row>
    <row r="1806" spans="8:11" x14ac:dyDescent="0.25">
      <c r="H1806" s="183" t="s">
        <v>566</v>
      </c>
      <c r="I1806" s="183" t="s">
        <v>491</v>
      </c>
      <c r="J1806" s="183" t="s">
        <v>507</v>
      </c>
      <c r="K1806" s="183" t="s">
        <v>2238</v>
      </c>
    </row>
    <row r="1807" spans="8:11" x14ac:dyDescent="0.25">
      <c r="H1807" s="183" t="s">
        <v>570</v>
      </c>
      <c r="I1807" s="183" t="s">
        <v>480</v>
      </c>
      <c r="J1807" s="183" t="s">
        <v>480</v>
      </c>
      <c r="K1807" s="183" t="s">
        <v>571</v>
      </c>
    </row>
    <row r="1808" spans="8:11" x14ac:dyDescent="0.25">
      <c r="H1808" s="183" t="s">
        <v>570</v>
      </c>
      <c r="I1808" s="183" t="s">
        <v>480</v>
      </c>
      <c r="J1808" s="183" t="s">
        <v>483</v>
      </c>
      <c r="K1808" s="183" t="s">
        <v>2239</v>
      </c>
    </row>
    <row r="1809" spans="8:11" x14ac:dyDescent="0.25">
      <c r="H1809" s="183" t="s">
        <v>570</v>
      </c>
      <c r="I1809" s="183" t="s">
        <v>480</v>
      </c>
      <c r="J1809" s="183" t="s">
        <v>487</v>
      </c>
      <c r="K1809" s="183" t="s">
        <v>2240</v>
      </c>
    </row>
    <row r="1810" spans="8:11" x14ac:dyDescent="0.25">
      <c r="H1810" s="183" t="s">
        <v>570</v>
      </c>
      <c r="I1810" s="183" t="s">
        <v>480</v>
      </c>
      <c r="J1810" s="183" t="s">
        <v>491</v>
      </c>
      <c r="K1810" s="183" t="s">
        <v>2241</v>
      </c>
    </row>
    <row r="1811" spans="8:11" x14ac:dyDescent="0.25">
      <c r="H1811" s="183" t="s">
        <v>570</v>
      </c>
      <c r="I1811" s="183" t="s">
        <v>480</v>
      </c>
      <c r="J1811" s="183" t="s">
        <v>495</v>
      </c>
      <c r="K1811" s="183" t="s">
        <v>2242</v>
      </c>
    </row>
    <row r="1812" spans="8:11" x14ac:dyDescent="0.25">
      <c r="H1812" s="183" t="s">
        <v>570</v>
      </c>
      <c r="I1812" s="183" t="s">
        <v>480</v>
      </c>
      <c r="J1812" s="183" t="s">
        <v>499</v>
      </c>
      <c r="K1812" s="183" t="s">
        <v>2243</v>
      </c>
    </row>
    <row r="1813" spans="8:11" x14ac:dyDescent="0.25">
      <c r="H1813" s="183" t="s">
        <v>570</v>
      </c>
      <c r="I1813" s="183" t="s">
        <v>483</v>
      </c>
      <c r="J1813" s="183" t="s">
        <v>480</v>
      </c>
      <c r="K1813" s="183" t="s">
        <v>2244</v>
      </c>
    </row>
    <row r="1814" spans="8:11" x14ac:dyDescent="0.25">
      <c r="H1814" s="183" t="s">
        <v>570</v>
      </c>
      <c r="I1814" s="183" t="s">
        <v>483</v>
      </c>
      <c r="J1814" s="183" t="s">
        <v>483</v>
      </c>
      <c r="K1814" s="183" t="s">
        <v>2245</v>
      </c>
    </row>
    <row r="1815" spans="8:11" x14ac:dyDescent="0.25">
      <c r="H1815" s="183" t="s">
        <v>570</v>
      </c>
      <c r="I1815" s="183" t="s">
        <v>483</v>
      </c>
      <c r="J1815" s="183" t="s">
        <v>487</v>
      </c>
      <c r="K1815" s="183" t="s">
        <v>2246</v>
      </c>
    </row>
    <row r="1816" spans="8:11" x14ac:dyDescent="0.25">
      <c r="H1816" s="183" t="s">
        <v>570</v>
      </c>
      <c r="I1816" s="183" t="s">
        <v>487</v>
      </c>
      <c r="J1816" s="183" t="s">
        <v>480</v>
      </c>
      <c r="K1816" s="183" t="s">
        <v>872</v>
      </c>
    </row>
    <row r="1817" spans="8:11" x14ac:dyDescent="0.25">
      <c r="H1817" s="183" t="s">
        <v>570</v>
      </c>
      <c r="I1817" s="183" t="s">
        <v>487</v>
      </c>
      <c r="J1817" s="183" t="s">
        <v>483</v>
      </c>
      <c r="K1817" s="183" t="s">
        <v>2247</v>
      </c>
    </row>
    <row r="1818" spans="8:11" x14ac:dyDescent="0.25">
      <c r="H1818" s="183" t="s">
        <v>570</v>
      </c>
      <c r="I1818" s="183" t="s">
        <v>487</v>
      </c>
      <c r="J1818" s="183" t="s">
        <v>487</v>
      </c>
      <c r="K1818" s="183" t="s">
        <v>2248</v>
      </c>
    </row>
    <row r="1819" spans="8:11" x14ac:dyDescent="0.25">
      <c r="H1819" s="183" t="s">
        <v>570</v>
      </c>
      <c r="I1819" s="183" t="s">
        <v>487</v>
      </c>
      <c r="J1819" s="183" t="s">
        <v>491</v>
      </c>
      <c r="K1819" s="183" t="s">
        <v>2249</v>
      </c>
    </row>
    <row r="1820" spans="8:11" x14ac:dyDescent="0.25">
      <c r="H1820" s="183" t="s">
        <v>574</v>
      </c>
      <c r="I1820" s="183" t="s">
        <v>480</v>
      </c>
      <c r="J1820" s="183" t="s">
        <v>480</v>
      </c>
      <c r="K1820" s="183" t="s">
        <v>2250</v>
      </c>
    </row>
    <row r="1821" spans="8:11" x14ac:dyDescent="0.25">
      <c r="H1821" s="183" t="s">
        <v>574</v>
      </c>
      <c r="I1821" s="183" t="s">
        <v>480</v>
      </c>
      <c r="J1821" s="183" t="s">
        <v>483</v>
      </c>
      <c r="K1821" s="183" t="s">
        <v>2251</v>
      </c>
    </row>
    <row r="1822" spans="8:11" x14ac:dyDescent="0.25">
      <c r="H1822" s="183" t="s">
        <v>574</v>
      </c>
      <c r="I1822" s="183" t="s">
        <v>480</v>
      </c>
      <c r="J1822" s="183" t="s">
        <v>487</v>
      </c>
      <c r="K1822" s="183" t="s">
        <v>2252</v>
      </c>
    </row>
    <row r="1823" spans="8:11" x14ac:dyDescent="0.25">
      <c r="H1823" s="183" t="s">
        <v>574</v>
      </c>
      <c r="I1823" s="183" t="s">
        <v>480</v>
      </c>
      <c r="J1823" s="183" t="s">
        <v>491</v>
      </c>
      <c r="K1823" s="183" t="s">
        <v>2253</v>
      </c>
    </row>
    <row r="1824" spans="8:11" x14ac:dyDescent="0.25">
      <c r="H1824" s="183" t="s">
        <v>574</v>
      </c>
      <c r="I1824" s="183" t="s">
        <v>480</v>
      </c>
      <c r="J1824" s="183" t="s">
        <v>495</v>
      </c>
      <c r="K1824" s="183" t="s">
        <v>2254</v>
      </c>
    </row>
    <row r="1825" spans="8:11" x14ac:dyDescent="0.25">
      <c r="H1825" s="183" t="s">
        <v>574</v>
      </c>
      <c r="I1825" s="183" t="s">
        <v>480</v>
      </c>
      <c r="J1825" s="183" t="s">
        <v>499</v>
      </c>
      <c r="K1825" s="183" t="s">
        <v>2255</v>
      </c>
    </row>
    <row r="1826" spans="8:11" x14ac:dyDescent="0.25">
      <c r="H1826" s="183" t="s">
        <v>574</v>
      </c>
      <c r="I1826" s="183" t="s">
        <v>483</v>
      </c>
      <c r="J1826" s="183" t="s">
        <v>480</v>
      </c>
      <c r="K1826" s="183" t="s">
        <v>2256</v>
      </c>
    </row>
    <row r="1827" spans="8:11" x14ac:dyDescent="0.25">
      <c r="H1827" s="183" t="s">
        <v>574</v>
      </c>
      <c r="I1827" s="183" t="s">
        <v>483</v>
      </c>
      <c r="J1827" s="183" t="s">
        <v>483</v>
      </c>
      <c r="K1827" s="183" t="s">
        <v>2257</v>
      </c>
    </row>
    <row r="1828" spans="8:11" x14ac:dyDescent="0.25">
      <c r="H1828" s="183" t="s">
        <v>574</v>
      </c>
      <c r="I1828" s="183" t="s">
        <v>483</v>
      </c>
      <c r="J1828" s="183" t="s">
        <v>487</v>
      </c>
      <c r="K1828" s="183" t="s">
        <v>2258</v>
      </c>
    </row>
    <row r="1829" spans="8:11" x14ac:dyDescent="0.25">
      <c r="H1829" s="183" t="s">
        <v>574</v>
      </c>
      <c r="I1829" s="183" t="s">
        <v>483</v>
      </c>
      <c r="J1829" s="183" t="s">
        <v>491</v>
      </c>
      <c r="K1829" s="183" t="s">
        <v>2259</v>
      </c>
    </row>
    <row r="1830" spans="8:11" x14ac:dyDescent="0.25">
      <c r="H1830" s="183" t="s">
        <v>574</v>
      </c>
      <c r="I1830" s="183" t="s">
        <v>487</v>
      </c>
      <c r="J1830" s="183" t="s">
        <v>480</v>
      </c>
      <c r="K1830" s="183" t="s">
        <v>878</v>
      </c>
    </row>
    <row r="1831" spans="8:11" x14ac:dyDescent="0.25">
      <c r="H1831" s="183" t="s">
        <v>574</v>
      </c>
      <c r="I1831" s="183" t="s">
        <v>487</v>
      </c>
      <c r="J1831" s="183" t="s">
        <v>483</v>
      </c>
      <c r="K1831" s="183" t="s">
        <v>2260</v>
      </c>
    </row>
    <row r="1832" spans="8:11" x14ac:dyDescent="0.25">
      <c r="H1832" s="183" t="s">
        <v>574</v>
      </c>
      <c r="I1832" s="183" t="s">
        <v>487</v>
      </c>
      <c r="J1832" s="183" t="s">
        <v>487</v>
      </c>
      <c r="K1832" s="183" t="s">
        <v>2261</v>
      </c>
    </row>
    <row r="1833" spans="8:11" x14ac:dyDescent="0.25">
      <c r="H1833" s="183" t="s">
        <v>574</v>
      </c>
      <c r="I1833" s="183" t="s">
        <v>491</v>
      </c>
      <c r="J1833" s="183" t="s">
        <v>480</v>
      </c>
      <c r="K1833" s="183" t="s">
        <v>880</v>
      </c>
    </row>
    <row r="1834" spans="8:11" x14ac:dyDescent="0.25">
      <c r="H1834" s="183" t="s">
        <v>554</v>
      </c>
      <c r="I1834" s="183" t="s">
        <v>480</v>
      </c>
      <c r="J1834" s="183" t="s">
        <v>534</v>
      </c>
      <c r="K1834" s="183" t="s">
        <v>2262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11</vt:i4>
      </vt:variant>
    </vt:vector>
  </HeadingPairs>
  <TitlesOfParts>
    <vt:vector size="23" baseType="lpstr">
      <vt:lpstr>HOJA DE RESUMEN</vt:lpstr>
      <vt:lpstr>MEMORIA</vt:lpstr>
      <vt:lpstr>C2</vt:lpstr>
      <vt:lpstr>ANEXO I</vt:lpstr>
      <vt:lpstr>ANEXO II</vt:lpstr>
      <vt:lpstr>FOTO</vt:lpstr>
      <vt:lpstr>Listado $</vt:lpstr>
      <vt:lpstr>SUSTENTO DE UBICACION</vt:lpstr>
      <vt:lpstr>Listado S.</vt:lpstr>
      <vt:lpstr>Aux_TipoBien</vt:lpstr>
      <vt:lpstr>AuxTipoVia</vt:lpstr>
      <vt:lpstr>AuxUbigeo</vt:lpstr>
      <vt:lpstr>'ANEXO I'!Área_de_impresión</vt:lpstr>
      <vt:lpstr>'ANEXO II'!Área_de_impresión</vt:lpstr>
      <vt:lpstr>'C2'!Área_de_impresión</vt:lpstr>
      <vt:lpstr>FOTO!Área_de_impresión</vt:lpstr>
      <vt:lpstr>'HOJA DE RESUMEN'!Área_de_impresión</vt:lpstr>
      <vt:lpstr>'Listado $'!Área_de_impresión</vt:lpstr>
      <vt:lpstr>'Listado S.'!Área_de_impresión</vt:lpstr>
      <vt:lpstr>MEMORIA!Área_de_impresión</vt:lpstr>
      <vt:lpstr>'ANEXO I'!Títulos_a_imprimir</vt:lpstr>
      <vt:lpstr>'HOJA DE RESUMEN'!Títulos_a_imprimir</vt:lpstr>
      <vt:lpstr>MEMORIA!Títulos_a_imprimir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 GUTIERREZ C.</dc:creator>
  <cp:lastModifiedBy>LISSETH RAMIREZ</cp:lastModifiedBy>
  <cp:lastPrinted>2025-09-03T22:48:40Z</cp:lastPrinted>
  <dcterms:created xsi:type="dcterms:W3CDTF">2005-08-17T14:44:50Z</dcterms:created>
  <dcterms:modified xsi:type="dcterms:W3CDTF">2025-09-03T22:50:13Z</dcterms:modified>
</cp:coreProperties>
</file>