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Y:\BVANET 2025\FORMATO 2025\formatos xlsx\"/>
    </mc:Choice>
  </mc:AlternateContent>
  <xr:revisionPtr revIDLastSave="0" documentId="13_ncr:1_{184BBBD8-641B-4A31-951E-2A8DE96C9B6A}" xr6:coauthVersionLast="47" xr6:coauthVersionMax="47" xr10:uidLastSave="{00000000-0000-0000-0000-000000000000}"/>
  <bookViews>
    <workbookView xWindow="-108" yWindow="-108" windowWidth="23256" windowHeight="12576" xr2:uid="{8FB470B7-478C-43F1-8120-DC912DFA590E}"/>
  </bookViews>
  <sheets>
    <sheet name="MEMORIA Y VAL" sheetId="2" r:id="rId1"/>
    <sheet name="VALORIZACION" sheetId="8" r:id="rId2"/>
    <sheet name="FOTO" sheetId="7" r:id="rId3"/>
  </sheets>
  <externalReferences>
    <externalReference r:id="rId4"/>
    <externalReference r:id="rId5"/>
    <externalReference r:id="rId6"/>
    <externalReference r:id="rId7"/>
  </externalReferences>
  <definedNames>
    <definedName name="_xlnm.Print_Area" localSheetId="2">FOTO!$A$1:$O$59</definedName>
    <definedName name="_xlnm.Print_Area" localSheetId="0">'MEMORIA Y VAL'!$A$1:$AV$391</definedName>
    <definedName name="_xlnm.Print_Titles" localSheetId="0">'MEMORIA Y VAL'!$1:$9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8" l="1"/>
  <c r="G33" i="8"/>
  <c r="S32" i="8"/>
  <c r="AA32" i="8"/>
  <c r="H32" i="8"/>
  <c r="F32" i="8"/>
  <c r="C32" i="8"/>
  <c r="B32" i="8"/>
  <c r="S31" i="8"/>
  <c r="AA31" i="8" s="1"/>
  <c r="AA33" i="8" s="1"/>
  <c r="J31" i="8"/>
  <c r="H31" i="8"/>
  <c r="F31" i="8"/>
  <c r="I31" i="8"/>
  <c r="C31" i="8"/>
  <c r="C33" i="8" s="1"/>
  <c r="B31" i="8"/>
  <c r="K29" i="8"/>
  <c r="G29" i="8"/>
  <c r="S28" i="8"/>
  <c r="AA28" i="8"/>
  <c r="H28" i="8"/>
  <c r="F28" i="8"/>
  <c r="C28" i="8"/>
  <c r="B28" i="8"/>
  <c r="S27" i="8"/>
  <c r="AA27" i="8" s="1"/>
  <c r="H27" i="8"/>
  <c r="F27" i="8"/>
  <c r="C27" i="8"/>
  <c r="B27" i="8"/>
  <c r="S26" i="8"/>
  <c r="AA26" i="8"/>
  <c r="H26" i="8"/>
  <c r="F26" i="8"/>
  <c r="C26" i="8"/>
  <c r="B26" i="8"/>
  <c r="S25" i="8"/>
  <c r="AA25" i="8" s="1"/>
  <c r="H25" i="8"/>
  <c r="F25" i="8"/>
  <c r="I25" i="8"/>
  <c r="N25" i="8" s="1"/>
  <c r="C25" i="8"/>
  <c r="B25" i="8"/>
  <c r="S24" i="8"/>
  <c r="AA24" i="8" s="1"/>
  <c r="H24" i="8"/>
  <c r="F24" i="8"/>
  <c r="C24" i="8"/>
  <c r="B24" i="8"/>
  <c r="S23" i="8"/>
  <c r="AA23" i="8"/>
  <c r="H23" i="8"/>
  <c r="F23" i="8"/>
  <c r="C23" i="8"/>
  <c r="B23" i="8"/>
  <c r="S22" i="8"/>
  <c r="AA22" i="8" s="1"/>
  <c r="H22" i="8"/>
  <c r="F22" i="8"/>
  <c r="C22" i="8"/>
  <c r="B22" i="8"/>
  <c r="S21" i="8"/>
  <c r="AA21" i="8"/>
  <c r="H21" i="8"/>
  <c r="F21" i="8"/>
  <c r="C21" i="8"/>
  <c r="B21" i="8"/>
  <c r="S20" i="8"/>
  <c r="AA20" i="8" s="1"/>
  <c r="H20" i="8"/>
  <c r="F20" i="8"/>
  <c r="C20" i="8"/>
  <c r="B20" i="8"/>
  <c r="S19" i="8"/>
  <c r="AA19" i="8" s="1"/>
  <c r="J19" i="8"/>
  <c r="J20" i="8" s="1"/>
  <c r="H19" i="8"/>
  <c r="Y19" i="8"/>
  <c r="F19" i="8"/>
  <c r="I19" i="8" s="1"/>
  <c r="C19" i="8"/>
  <c r="C29" i="8" s="1"/>
  <c r="B19" i="8"/>
  <c r="G17" i="8"/>
  <c r="S16" i="8"/>
  <c r="AA16" i="8" s="1"/>
  <c r="H16" i="8"/>
  <c r="F16" i="8"/>
  <c r="I16" i="8" s="1"/>
  <c r="N16" i="8" s="1"/>
  <c r="C16" i="8"/>
  <c r="B16" i="8"/>
  <c r="S15" i="8"/>
  <c r="AA15" i="8" s="1"/>
  <c r="H15" i="8"/>
  <c r="F15" i="8"/>
  <c r="I15" i="8" s="1"/>
  <c r="N15" i="8" s="1"/>
  <c r="C15" i="8"/>
  <c r="B15" i="8"/>
  <c r="S14" i="8"/>
  <c r="AA14" i="8" s="1"/>
  <c r="H14" i="8"/>
  <c r="F14" i="8"/>
  <c r="I14" i="8" s="1"/>
  <c r="C14" i="8"/>
  <c r="B14" i="8"/>
  <c r="S13" i="8"/>
  <c r="AA13" i="8"/>
  <c r="H13" i="8"/>
  <c r="F13" i="8"/>
  <c r="C13" i="8"/>
  <c r="B13" i="8"/>
  <c r="S12" i="8"/>
  <c r="AA12" i="8" s="1"/>
  <c r="H12" i="8"/>
  <c r="F12" i="8"/>
  <c r="C12" i="8"/>
  <c r="B12" i="8"/>
  <c r="A12" i="8"/>
  <c r="A13" i="8" s="1"/>
  <c r="A14" i="8" s="1"/>
  <c r="A15" i="8"/>
  <c r="A16" i="8" s="1"/>
  <c r="A19" i="8" s="1"/>
  <c r="A20" i="8" s="1"/>
  <c r="A21" i="8" s="1"/>
  <c r="A22" i="8" s="1"/>
  <c r="A23" i="8" s="1"/>
  <c r="A24" i="8" s="1"/>
  <c r="A25" i="8" s="1"/>
  <c r="A26" i="8" s="1"/>
  <c r="A27" i="8" s="1"/>
  <c r="A28" i="8" s="1"/>
  <c r="A31" i="8" s="1"/>
  <c r="A32" i="8" s="1"/>
  <c r="S11" i="8"/>
  <c r="AA11" i="8"/>
  <c r="AA17" i="8"/>
  <c r="R11" i="8"/>
  <c r="L11" i="8"/>
  <c r="L12" i="8"/>
  <c r="L13" i="8"/>
  <c r="L14" i="8" s="1"/>
  <c r="L15" i="8" s="1"/>
  <c r="L16" i="8" s="1"/>
  <c r="L19" i="8"/>
  <c r="J11" i="8"/>
  <c r="J12" i="8"/>
  <c r="J13" i="8"/>
  <c r="H11" i="8"/>
  <c r="F11" i="8"/>
  <c r="I11" i="8"/>
  <c r="D11" i="8"/>
  <c r="D12" i="8"/>
  <c r="D13" i="8"/>
  <c r="C11" i="8"/>
  <c r="C17" i="8"/>
  <c r="C35" i="8" s="1"/>
  <c r="B11" i="8"/>
  <c r="AA8" i="8"/>
  <c r="AA7" i="8"/>
  <c r="AA6" i="8"/>
  <c r="AU165" i="2"/>
  <c r="AN165" i="2"/>
  <c r="AG165" i="2"/>
  <c r="AP164" i="2"/>
  <c r="AI164" i="2"/>
  <c r="U163" i="2"/>
  <c r="AB163" i="2"/>
  <c r="U162" i="2"/>
  <c r="AB162" i="2" s="1"/>
  <c r="AB164" i="2" s="1"/>
  <c r="AP161" i="2"/>
  <c r="AI161" i="2"/>
  <c r="U160" i="2"/>
  <c r="AB160" i="2"/>
  <c r="U159" i="2"/>
  <c r="AB159" i="2" s="1"/>
  <c r="U158" i="2"/>
  <c r="AB158" i="2" s="1"/>
  <c r="U157" i="2"/>
  <c r="AB157" i="2" s="1"/>
  <c r="U156" i="2"/>
  <c r="AB156" i="2" s="1"/>
  <c r="U155" i="2"/>
  <c r="AB155" i="2" s="1"/>
  <c r="U154" i="2"/>
  <c r="AB154" i="2"/>
  <c r="U153" i="2"/>
  <c r="AB153" i="2" s="1"/>
  <c r="U152" i="2"/>
  <c r="AB152" i="2"/>
  <c r="U151" i="2"/>
  <c r="AB151" i="2" s="1"/>
  <c r="U150" i="2"/>
  <c r="U161" i="2" s="1"/>
  <c r="AP149" i="2"/>
  <c r="AI149" i="2"/>
  <c r="AI165" i="2" s="1"/>
  <c r="U148" i="2"/>
  <c r="AB148" i="2" s="1"/>
  <c r="U147" i="2"/>
  <c r="AB147" i="2" s="1"/>
  <c r="U146" i="2"/>
  <c r="AB146" i="2" s="1"/>
  <c r="U145" i="2"/>
  <c r="AB145" i="2" s="1"/>
  <c r="U144" i="2"/>
  <c r="AB144" i="2"/>
  <c r="U143" i="2"/>
  <c r="AB143" i="2" s="1"/>
  <c r="AB149" i="2" s="1"/>
  <c r="H33" i="8"/>
  <c r="I32" i="8"/>
  <c r="N32" i="8" s="1"/>
  <c r="N14" i="8"/>
  <c r="I27" i="8"/>
  <c r="N27" i="8" s="1"/>
  <c r="T11" i="8"/>
  <c r="T17" i="8" s="1"/>
  <c r="F33" i="8"/>
  <c r="E11" i="8"/>
  <c r="E17" i="8" s="1"/>
  <c r="E12" i="8"/>
  <c r="F29" i="8"/>
  <c r="R12" i="8"/>
  <c r="T12" i="8" s="1"/>
  <c r="M11" i="8"/>
  <c r="M12" i="8"/>
  <c r="I13" i="8"/>
  <c r="N13" i="8" s="1"/>
  <c r="Y12" i="8"/>
  <c r="Y11" i="8"/>
  <c r="H17" i="8"/>
  <c r="I20" i="8"/>
  <c r="N20" i="8" s="1"/>
  <c r="I24" i="8"/>
  <c r="N24" i="8"/>
  <c r="Z19" i="8"/>
  <c r="I22" i="8"/>
  <c r="N22" i="8"/>
  <c r="I28" i="8"/>
  <c r="N28" i="8" s="1"/>
  <c r="AB150" i="2"/>
  <c r="AB161" i="2" s="1"/>
  <c r="U164" i="2"/>
  <c r="Z11" i="8"/>
  <c r="AB11" i="8" s="1"/>
  <c r="AB17" i="8" s="1"/>
  <c r="Z12" i="8"/>
  <c r="AB12" i="8" s="1"/>
  <c r="R13" i="8"/>
  <c r="C323" i="2"/>
  <c r="C247" i="2"/>
  <c r="C280" i="2" s="1"/>
  <c r="C245" i="2"/>
  <c r="C278" i="2"/>
  <c r="C243" i="2"/>
  <c r="C276" i="2" s="1"/>
  <c r="AN224" i="2"/>
  <c r="AS224" i="2"/>
  <c r="AN222" i="2"/>
  <c r="AS222" i="2" s="1"/>
  <c r="AN221" i="2"/>
  <c r="AS221" i="2"/>
  <c r="AN220" i="2"/>
  <c r="AS220" i="2" s="1"/>
  <c r="AS328" i="2"/>
  <c r="AO274" i="2"/>
  <c r="R10" i="2"/>
  <c r="S271" i="2" s="1"/>
  <c r="S212" i="2"/>
  <c r="U289" i="2"/>
  <c r="AA289" i="2"/>
  <c r="AF289" i="2"/>
  <c r="AF290" i="2" s="1"/>
  <c r="AK290" i="2" s="1"/>
  <c r="U290" i="2"/>
  <c r="AA290" i="2"/>
  <c r="U291" i="2"/>
  <c r="AA291" i="2"/>
  <c r="AA279" i="2"/>
  <c r="AA281" i="2"/>
  <c r="U292" i="2"/>
  <c r="AA292" i="2"/>
  <c r="AK260" i="2"/>
  <c r="AK294" i="2"/>
  <c r="C284" i="2"/>
  <c r="C244" i="2"/>
  <c r="C277" i="2"/>
  <c r="N244" i="2"/>
  <c r="N277" i="2" s="1"/>
  <c r="AO277" i="2" s="1"/>
  <c r="C246" i="2"/>
  <c r="C279" i="2" s="1"/>
  <c r="AR184" i="2"/>
  <c r="N246" i="2" s="1"/>
  <c r="C248" i="2"/>
  <c r="C281" i="2"/>
  <c r="N248" i="2"/>
  <c r="N281" i="2" s="1"/>
  <c r="AA248" i="2"/>
  <c r="AA246" i="2"/>
  <c r="AA244" i="2"/>
  <c r="AF255" i="2" s="1"/>
  <c r="AO266" i="2"/>
  <c r="AO267" i="2"/>
  <c r="AM358" i="2"/>
  <c r="O376" i="2" s="1"/>
  <c r="AO263" i="2"/>
  <c r="AO264" i="2" s="1"/>
  <c r="AM357" i="2" s="1"/>
  <c r="C309" i="2"/>
  <c r="AP309" i="2" s="1"/>
  <c r="C311" i="2"/>
  <c r="AP311" i="2" s="1"/>
  <c r="C299" i="2"/>
  <c r="AP299" i="2" s="1"/>
  <c r="C301" i="2"/>
  <c r="AP301" i="2"/>
  <c r="AO96" i="2"/>
  <c r="A46" i="2"/>
  <c r="C240" i="2"/>
  <c r="N240" i="2"/>
  <c r="AO240" i="2" s="1"/>
  <c r="AO241" i="2" s="1"/>
  <c r="AM349" i="2" s="1"/>
  <c r="B49" i="2"/>
  <c r="E386" i="2"/>
  <c r="E385" i="2"/>
  <c r="E383" i="2"/>
  <c r="E382" i="2"/>
  <c r="C282" i="2"/>
  <c r="E381" i="2"/>
  <c r="Y290" i="2"/>
  <c r="Y291" i="2"/>
  <c r="Y292" i="2"/>
  <c r="Y289" i="2"/>
  <c r="C292" i="2"/>
  <c r="C291" i="2"/>
  <c r="C290" i="2"/>
  <c r="C289" i="2"/>
  <c r="AB212" i="2"/>
  <c r="AB271" i="2" s="1"/>
  <c r="AB317" i="2" s="1"/>
  <c r="C249" i="2"/>
  <c r="A361" i="2"/>
  <c r="A380" i="2"/>
  <c r="AQ315" i="2"/>
  <c r="C315" i="2"/>
  <c r="AQ305" i="2"/>
  <c r="C305" i="2"/>
  <c r="C295" i="2"/>
  <c r="C261" i="2"/>
  <c r="E352" i="2"/>
  <c r="B39" i="2"/>
  <c r="A275" i="2"/>
  <c r="A283" i="2"/>
  <c r="A286" i="2"/>
  <c r="C285" i="2"/>
  <c r="C252" i="2"/>
  <c r="E351" i="2"/>
  <c r="B38" i="2"/>
  <c r="C274" i="2"/>
  <c r="X37" i="2"/>
  <c r="V344" i="2"/>
  <c r="AS325" i="2"/>
  <c r="AS324" i="2"/>
  <c r="AS326" i="2"/>
  <c r="M53" i="2"/>
  <c r="P16" i="2"/>
  <c r="P15" i="2"/>
  <c r="P14" i="2"/>
  <c r="P13" i="2"/>
  <c r="P12" i="2"/>
  <c r="AB10" i="2"/>
  <c r="AO87" i="2"/>
  <c r="B40" i="2"/>
  <c r="AM41" i="2"/>
  <c r="X36" i="2"/>
  <c r="F390" i="2"/>
  <c r="AH368" i="2"/>
  <c r="I370" i="2"/>
  <c r="I372" i="2"/>
  <c r="I374" i="2" s="1"/>
  <c r="A77" i="2"/>
  <c r="A88" i="2"/>
  <c r="A97" i="2"/>
  <c r="A105" i="2" s="1"/>
  <c r="A107" i="2" s="1"/>
  <c r="A117" i="2" s="1"/>
  <c r="A133" i="2" s="1"/>
  <c r="A135" i="2" s="1"/>
  <c r="A140" i="2" s="1"/>
  <c r="A166" i="2" s="1"/>
  <c r="A185" i="2" s="1"/>
  <c r="A190" i="2" s="1"/>
  <c r="A192" i="2" s="1"/>
  <c r="A194" i="2" s="1"/>
  <c r="E358" i="2"/>
  <c r="B44" i="2" s="1"/>
  <c r="A242" i="2"/>
  <c r="A253" i="2"/>
  <c r="A262" i="2"/>
  <c r="A265" i="2" s="1"/>
  <c r="C267" i="2"/>
  <c r="A2" i="7"/>
  <c r="I20" i="7"/>
  <c r="B39" i="7"/>
  <c r="I39" i="7"/>
  <c r="B58" i="7" s="1"/>
  <c r="I58" i="7" s="1"/>
  <c r="A11" i="2"/>
  <c r="A12" i="2"/>
  <c r="A13" i="2"/>
  <c r="F14" i="2"/>
  <c r="F15" i="2"/>
  <c r="F16" i="2"/>
  <c r="B35" i="2"/>
  <c r="A45" i="2"/>
  <c r="E349" i="2"/>
  <c r="B36" i="2"/>
  <c r="K349" i="2"/>
  <c r="H36" i="2"/>
  <c r="E350" i="2"/>
  <c r="B37" i="2"/>
  <c r="B41" i="2"/>
  <c r="C264" i="2"/>
  <c r="E357" i="2" s="1"/>
  <c r="B43" i="2" s="1"/>
  <c r="B47" i="2"/>
  <c r="AC47" i="2"/>
  <c r="J51" i="2"/>
  <c r="J52" i="2"/>
  <c r="I239" i="2"/>
  <c r="C241" i="2"/>
  <c r="K241" i="2"/>
  <c r="AB347" i="2"/>
  <c r="G359" i="2"/>
  <c r="G377" i="2"/>
  <c r="C388" i="2"/>
  <c r="A50" i="2" s="1"/>
  <c r="C378" i="2" a="1"/>
  <c r="C378" i="2" s="1"/>
  <c r="A48" i="2" s="1"/>
  <c r="A250" i="2"/>
  <c r="AO248" i="2"/>
  <c r="AF291" i="2"/>
  <c r="AF292" i="2" s="1"/>
  <c r="AK289" i="2" l="1"/>
  <c r="R14" i="8"/>
  <c r="T13" i="8"/>
  <c r="AM43" i="2"/>
  <c r="O374" i="2"/>
  <c r="I12" i="8"/>
  <c r="N12" i="8" s="1"/>
  <c r="F17" i="8"/>
  <c r="F35" i="8" s="1"/>
  <c r="AP312" i="2"/>
  <c r="O314" i="2" s="1"/>
  <c r="AP314" i="2" s="1"/>
  <c r="AO315" i="2" s="1"/>
  <c r="AM386" i="2" s="1"/>
  <c r="I21" i="8"/>
  <c r="N21" i="8" s="1"/>
  <c r="H29" i="8"/>
  <c r="H35" i="8" s="1"/>
  <c r="I26" i="8"/>
  <c r="N26" i="8" s="1"/>
  <c r="AP302" i="2"/>
  <c r="J14" i="8"/>
  <c r="M13" i="8"/>
  <c r="Y13" i="8"/>
  <c r="J32" i="8"/>
  <c r="Y31" i="8"/>
  <c r="M31" i="8"/>
  <c r="O12" i="8"/>
  <c r="D14" i="8"/>
  <c r="E13" i="8"/>
  <c r="AB19" i="8"/>
  <c r="AB29" i="8" s="1"/>
  <c r="AA29" i="8"/>
  <c r="AA35" i="8" s="1"/>
  <c r="O11" i="8"/>
  <c r="L20" i="8"/>
  <c r="L21" i="8" s="1"/>
  <c r="L22" i="8" s="1"/>
  <c r="L23" i="8" s="1"/>
  <c r="L24" i="8" s="1"/>
  <c r="L25" i="8" s="1"/>
  <c r="L26" i="8" s="1"/>
  <c r="L27" i="8" s="1"/>
  <c r="L28" i="8" s="1"/>
  <c r="L31" i="8" s="1"/>
  <c r="L32" i="8" s="1"/>
  <c r="M19" i="8"/>
  <c r="AK292" i="2"/>
  <c r="I23" i="8"/>
  <c r="N23" i="8" s="1"/>
  <c r="N11" i="8"/>
  <c r="N17" i="8" s="1"/>
  <c r="I17" i="8"/>
  <c r="N19" i="8"/>
  <c r="N29" i="8" s="1"/>
  <c r="M20" i="8"/>
  <c r="O20" i="8" s="1"/>
  <c r="Y20" i="8"/>
  <c r="J21" i="8"/>
  <c r="I33" i="8"/>
  <c r="N31" i="8"/>
  <c r="N33" i="8" s="1"/>
  <c r="AP165" i="2"/>
  <c r="I376" i="2"/>
  <c r="AM376" i="2" s="1"/>
  <c r="AM374" i="2"/>
  <c r="AM36" i="2"/>
  <c r="AF256" i="2"/>
  <c r="AK255" i="2"/>
  <c r="AO281" i="2"/>
  <c r="O304" i="2"/>
  <c r="AP304" i="2" s="1"/>
  <c r="AO305" i="2" s="1"/>
  <c r="AM385" i="2" s="1"/>
  <c r="N279" i="2"/>
  <c r="AO279" i="2" s="1"/>
  <c r="AO282" i="2" s="1"/>
  <c r="AO246" i="2"/>
  <c r="AB165" i="2"/>
  <c r="U149" i="2"/>
  <c r="U165" i="2" s="1"/>
  <c r="AM44" i="2"/>
  <c r="AO244" i="2"/>
  <c r="AO249" i="2" s="1"/>
  <c r="AK291" i="2"/>
  <c r="AK293" i="2" s="1"/>
  <c r="AQ295" i="2" s="1"/>
  <c r="AM383" i="2" s="1"/>
  <c r="Z47" i="2"/>
  <c r="S347" i="2"/>
  <c r="S317" i="2"/>
  <c r="P11" i="8" l="1"/>
  <c r="Q11" i="8"/>
  <c r="P12" i="8"/>
  <c r="Q12" i="8"/>
  <c r="U12" i="8" s="1"/>
  <c r="W12" i="8" s="1"/>
  <c r="X12" i="8" s="1"/>
  <c r="J22" i="8"/>
  <c r="I29" i="8"/>
  <c r="M21" i="8"/>
  <c r="O21" i="8" s="1"/>
  <c r="Z20" i="8"/>
  <c r="AB20" i="8"/>
  <c r="I35" i="8"/>
  <c r="O19" i="8"/>
  <c r="Y33" i="8"/>
  <c r="Z31" i="8"/>
  <c r="Z33" i="8" s="1"/>
  <c r="AB31" i="8"/>
  <c r="AB33" i="8" s="1"/>
  <c r="AB35" i="8" s="1"/>
  <c r="Z13" i="8"/>
  <c r="AB13" i="8"/>
  <c r="Y21" i="8"/>
  <c r="J15" i="8"/>
  <c r="Y14" i="8"/>
  <c r="M14" i="8"/>
  <c r="O14" i="8" s="1"/>
  <c r="M33" i="8"/>
  <c r="O31" i="8"/>
  <c r="P20" i="8"/>
  <c r="Q20" i="8"/>
  <c r="N35" i="8"/>
  <c r="D15" i="8"/>
  <c r="E14" i="8"/>
  <c r="M32" i="8"/>
  <c r="O32" i="8" s="1"/>
  <c r="Y32" i="8"/>
  <c r="O13" i="8"/>
  <c r="R15" i="8"/>
  <c r="T14" i="8"/>
  <c r="N284" i="2"/>
  <c r="AO284" i="2" s="1"/>
  <c r="AO285" i="2" s="1"/>
  <c r="AM382" i="2" s="1"/>
  <c r="AM381" i="2"/>
  <c r="AM384" i="2" s="1"/>
  <c r="AM387" i="2" s="1"/>
  <c r="AM49" i="2" s="1"/>
  <c r="N251" i="2"/>
  <c r="AO251" i="2" s="1"/>
  <c r="AO252" i="2" s="1"/>
  <c r="AM351" i="2" s="1"/>
  <c r="AM38" i="2" s="1"/>
  <c r="AM350" i="2"/>
  <c r="AK256" i="2"/>
  <c r="AF257" i="2"/>
  <c r="Z32" i="8" l="1"/>
  <c r="AB32" i="8"/>
  <c r="P32" i="8"/>
  <c r="Q32" i="8" s="1"/>
  <c r="J23" i="8"/>
  <c r="Y22" i="8"/>
  <c r="M22" i="8"/>
  <c r="U11" i="8"/>
  <c r="Q21" i="8"/>
  <c r="P21" i="8"/>
  <c r="Z21" i="8"/>
  <c r="AB21" i="8"/>
  <c r="T15" i="8"/>
  <c r="R16" i="8"/>
  <c r="P14" i="8"/>
  <c r="Q14" i="8" s="1"/>
  <c r="U14" i="8" s="1"/>
  <c r="W14" i="8" s="1"/>
  <c r="X14" i="8" s="1"/>
  <c r="P19" i="8"/>
  <c r="Q19" i="8"/>
  <c r="Z14" i="8"/>
  <c r="AB14" i="8"/>
  <c r="P13" i="8"/>
  <c r="E15" i="8"/>
  <c r="D16" i="8"/>
  <c r="O33" i="8"/>
  <c r="Q31" i="8"/>
  <c r="Q33" i="8" s="1"/>
  <c r="P31" i="8"/>
  <c r="P33" i="8" s="1"/>
  <c r="M15" i="8"/>
  <c r="O15" i="8" s="1"/>
  <c r="J16" i="8"/>
  <c r="Y15" i="8"/>
  <c r="AK259" i="2"/>
  <c r="AO261" i="2" s="1"/>
  <c r="AM352" i="2" s="1"/>
  <c r="AM39" i="2" s="1"/>
  <c r="AM37" i="2"/>
  <c r="AF258" i="2"/>
  <c r="AK258" i="2" s="1"/>
  <c r="AK257" i="2"/>
  <c r="Z15" i="8" l="1"/>
  <c r="O22" i="8"/>
  <c r="M16" i="8"/>
  <c r="Y16" i="8"/>
  <c r="R19" i="8"/>
  <c r="T16" i="8"/>
  <c r="Q13" i="8"/>
  <c r="Z22" i="8"/>
  <c r="AB22" i="8"/>
  <c r="P15" i="8"/>
  <c r="D19" i="8"/>
  <c r="E16" i="8"/>
  <c r="J24" i="8"/>
  <c r="Y23" i="8"/>
  <c r="M23" i="8"/>
  <c r="O23" i="8" s="1"/>
  <c r="U17" i="8"/>
  <c r="W11" i="8"/>
  <c r="AM353" i="2"/>
  <c r="Z23" i="8" l="1"/>
  <c r="AB23" i="8" s="1"/>
  <c r="E19" i="8"/>
  <c r="D20" i="8"/>
  <c r="R20" i="8"/>
  <c r="T19" i="8"/>
  <c r="T29" i="8" s="1"/>
  <c r="Y24" i="8"/>
  <c r="J25" i="8"/>
  <c r="M24" i="8"/>
  <c r="O24" i="8" s="1"/>
  <c r="P23" i="8"/>
  <c r="Q23" i="8"/>
  <c r="P22" i="8"/>
  <c r="Q22" i="8"/>
  <c r="Z16" i="8"/>
  <c r="Z17" i="8" s="1"/>
  <c r="AB16" i="8"/>
  <c r="Y17" i="8"/>
  <c r="W17" i="8"/>
  <c r="X11" i="8"/>
  <c r="X17" i="8" s="1"/>
  <c r="Q15" i="8"/>
  <c r="U15" i="8" s="1"/>
  <c r="W15" i="8" s="1"/>
  <c r="X15" i="8" s="1"/>
  <c r="U13" i="8"/>
  <c r="W13" i="8" s="1"/>
  <c r="X13" i="8" s="1"/>
  <c r="O16" i="8"/>
  <c r="M17" i="8"/>
  <c r="AB15" i="8"/>
  <c r="AM40" i="2"/>
  <c r="T356" i="2"/>
  <c r="AM356" i="2" s="1"/>
  <c r="AB24" i="8" l="1"/>
  <c r="Z24" i="8"/>
  <c r="E29" i="8"/>
  <c r="U19" i="8"/>
  <c r="P16" i="8"/>
  <c r="P17" i="8" s="1"/>
  <c r="O17" i="8"/>
  <c r="P24" i="8"/>
  <c r="Q24" i="8" s="1"/>
  <c r="T20" i="8"/>
  <c r="R21" i="8"/>
  <c r="Y25" i="8"/>
  <c r="M25" i="8"/>
  <c r="O25" i="8" s="1"/>
  <c r="J26" i="8"/>
  <c r="D21" i="8"/>
  <c r="E20" i="8"/>
  <c r="U20" i="8" s="1"/>
  <c r="W20" i="8" s="1"/>
  <c r="X20" i="8" s="1"/>
  <c r="AM42" i="2"/>
  <c r="O372" i="2"/>
  <c r="AM372" i="2" s="1"/>
  <c r="AM377" i="2" s="1"/>
  <c r="AM47" i="2" s="1"/>
  <c r="AM359" i="2"/>
  <c r="AM45" i="2" s="1"/>
  <c r="J27" i="8" l="1"/>
  <c r="M26" i="8"/>
  <c r="O26" i="8" s="1"/>
  <c r="Y26" i="8"/>
  <c r="U29" i="8"/>
  <c r="W19" i="8"/>
  <c r="P25" i="8"/>
  <c r="Q25" i="8" s="1"/>
  <c r="T21" i="8"/>
  <c r="R22" i="8"/>
  <c r="Z25" i="8"/>
  <c r="AB25" i="8" s="1"/>
  <c r="E21" i="8"/>
  <c r="U21" i="8" s="1"/>
  <c r="W21" i="8" s="1"/>
  <c r="X21" i="8" s="1"/>
  <c r="D22" i="8"/>
  <c r="Q16" i="8"/>
  <c r="D23" i="8" l="1"/>
  <c r="E22" i="8"/>
  <c r="P26" i="8"/>
  <c r="Q26" i="8" s="1"/>
  <c r="J28" i="8"/>
  <c r="Y27" i="8"/>
  <c r="M27" i="8"/>
  <c r="O27" i="8" s="1"/>
  <c r="U16" i="8"/>
  <c r="W16" i="8" s="1"/>
  <c r="X16" i="8" s="1"/>
  <c r="Q17" i="8"/>
  <c r="J29" i="8"/>
  <c r="X19" i="8"/>
  <c r="X29" i="8" s="1"/>
  <c r="W29" i="8"/>
  <c r="T22" i="8"/>
  <c r="R23" i="8"/>
  <c r="AB26" i="8"/>
  <c r="Z26" i="8"/>
  <c r="R24" i="8" l="1"/>
  <c r="T23" i="8"/>
  <c r="Z27" i="8"/>
  <c r="AB27" i="8" s="1"/>
  <c r="Y28" i="8"/>
  <c r="M28" i="8"/>
  <c r="U22" i="8"/>
  <c r="W22" i="8" s="1"/>
  <c r="X22" i="8" s="1"/>
  <c r="P27" i="8"/>
  <c r="Q27" i="8" s="1"/>
  <c r="D24" i="8"/>
  <c r="E23" i="8"/>
  <c r="U23" i="8" s="1"/>
  <c r="W23" i="8" s="1"/>
  <c r="X23" i="8" s="1"/>
  <c r="Z28" i="8" l="1"/>
  <c r="Z29" i="8" s="1"/>
  <c r="Z35" i="8" s="1"/>
  <c r="Y29" i="8"/>
  <c r="Y35" i="8" s="1"/>
  <c r="D25" i="8"/>
  <c r="E24" i="8"/>
  <c r="O28" i="8"/>
  <c r="M29" i="8"/>
  <c r="M35" i="8" s="1"/>
  <c r="T24" i="8"/>
  <c r="R25" i="8"/>
  <c r="D26" i="8" l="1"/>
  <c r="E25" i="8"/>
  <c r="P28" i="8"/>
  <c r="P29" i="8" s="1"/>
  <c r="P35" i="8" s="1"/>
  <c r="Q28" i="8"/>
  <c r="Q29" i="8" s="1"/>
  <c r="Q35" i="8" s="1"/>
  <c r="O29" i="8"/>
  <c r="O35" i="8" s="1"/>
  <c r="T25" i="8"/>
  <c r="R26" i="8"/>
  <c r="U24" i="8"/>
  <c r="W24" i="8" s="1"/>
  <c r="X24" i="8" s="1"/>
  <c r="AB28" i="8"/>
  <c r="U25" i="8" l="1"/>
  <c r="W25" i="8" s="1"/>
  <c r="X25" i="8" s="1"/>
  <c r="T26" i="8"/>
  <c r="R27" i="8"/>
  <c r="E26" i="8"/>
  <c r="U26" i="8" s="1"/>
  <c r="W26" i="8" s="1"/>
  <c r="X26" i="8" s="1"/>
  <c r="D27" i="8"/>
  <c r="R28" i="8" l="1"/>
  <c r="T27" i="8"/>
  <c r="D28" i="8"/>
  <c r="E27" i="8"/>
  <c r="U27" i="8" s="1"/>
  <c r="W27" i="8" s="1"/>
  <c r="X27" i="8" s="1"/>
  <c r="D31" i="8" l="1"/>
  <c r="E28" i="8"/>
  <c r="R31" i="8"/>
  <c r="T28" i="8"/>
  <c r="U28" i="8" l="1"/>
  <c r="W28" i="8" s="1"/>
  <c r="X28" i="8" s="1"/>
  <c r="R32" i="8"/>
  <c r="T32" i="8" s="1"/>
  <c r="T31" i="8"/>
  <c r="T33" i="8" s="1"/>
  <c r="T35" i="8" s="1"/>
  <c r="E31" i="8"/>
  <c r="D32" i="8"/>
  <c r="E32" i="8" s="1"/>
  <c r="U32" i="8" s="1"/>
  <c r="W32" i="8" s="1"/>
  <c r="X32" i="8" s="1"/>
  <c r="E33" i="8" l="1"/>
  <c r="E35" i="8" s="1"/>
  <c r="U31" i="8"/>
  <c r="W31" i="8" l="1"/>
  <c r="U33" i="8"/>
  <c r="U35" i="8" s="1"/>
  <c r="W33" i="8" l="1"/>
  <c r="W35" i="8" s="1"/>
  <c r="X31" i="8"/>
  <c r="X33" i="8" s="1"/>
  <c r="X35" i="8" s="1"/>
</calcChain>
</file>

<file path=xl/sharedStrings.xml><?xml version="1.0" encoding="utf-8"?>
<sst xmlns="http://schemas.openxmlformats.org/spreadsheetml/2006/main" count="570" uniqueCount="256">
  <si>
    <t>DESARROLLO DE LA VALUACIÓN COMERCIAL</t>
  </si>
  <si>
    <t>c)</t>
  </si>
  <si>
    <t>-&amp;&amp;&amp;&amp;&amp;&amp;&amp;-</t>
  </si>
  <si>
    <t>VALOR DE LAS OBRAS COMPLEMENTARIAS</t>
  </si>
  <si>
    <t>OBJETO/ANTECEDENTES/METODOLOGIA</t>
  </si>
  <si>
    <t>La metodología aplicada en el presente informe es la indicada en el Reglamento Nacional de Tasaciones del Perú vigente a la fecha.</t>
  </si>
  <si>
    <t>ENTORNO URBANO E INFRAESTRUCTURA DE SERVICIOS</t>
  </si>
  <si>
    <t>de  VCI</t>
  </si>
  <si>
    <r>
      <t>m</t>
    </r>
    <r>
      <rPr>
        <vertAlign val="superscript"/>
        <sz val="10"/>
        <rFont val="Arial"/>
        <family val="2"/>
      </rPr>
      <t>2</t>
    </r>
  </si>
  <si>
    <t>d)</t>
  </si>
  <si>
    <t>A.C.:</t>
  </si>
  <si>
    <t>El informe ha sido elaborado en base al numeral 7 del oficio circular Nº 6731-97 de fecha 24 de Octubre de 1997 y a la Modificación de la Resolución N° 992-98 de fecha 23 de Septiembre de 1998 emitida por la SBS. (sin inspección ocular interior).</t>
  </si>
  <si>
    <t>Es recomendable practicar una valuación en el momento de la adjudicación del bien.</t>
  </si>
  <si>
    <t>Porcentaje de Áreas Comunes al inmueble %</t>
  </si>
  <si>
    <t>A solicitud del Banco, el presente Informe referencial se realiza en base a lo indicado en documentación presentada, no responsabilizándonos de la información contenida en dicho documento.</t>
  </si>
  <si>
    <t>m3</t>
  </si>
  <si>
    <t xml:space="preserve">                                                                                                                                                                                                                                                                                                                                                                                                                                                                                                                                                                                                                                                                                                                                                                                                                                                                                                                                                                                                                                                                                                                                                                                                                                                                                                                                                                                                                                                                                                                                                                                                                                                                                                                                                                                                                                                                                                                                                                                                                                                                                                                                                                                                                                                                                                                                                                                                                                                                                                                                                                                                                                                                                                                                                                                                                                                                                                                                                                                                                                                                                                                                                                                                                                                                                                                                                                                                                                                                                                                                                                                                                                                                                                                                                                                                                                                                                                                                                                                                                                                                                                                                                                                                                                    </t>
  </si>
  <si>
    <t>:</t>
  </si>
  <si>
    <t>=</t>
  </si>
  <si>
    <t>OBSERVACIONES</t>
  </si>
  <si>
    <t>MEMORIA DESCRIPTIVA</t>
  </si>
  <si>
    <t>x</t>
  </si>
  <si>
    <t>DEDUCCIONES APLICABLES</t>
  </si>
  <si>
    <t>Para el caso de realización se consideran las siguientes deducciones aplicables:</t>
  </si>
  <si>
    <t>TOTAL DEDUCCIONES</t>
  </si>
  <si>
    <t>Lima,</t>
  </si>
  <si>
    <t>m2</t>
  </si>
  <si>
    <t>2.-</t>
  </si>
  <si>
    <t>CUADRO COMPARATIVO</t>
  </si>
  <si>
    <t>V. U.
US$/m2</t>
  </si>
  <si>
    <t>UBICACIÓN</t>
  </si>
  <si>
    <t>/ m2</t>
  </si>
  <si>
    <t>/m2</t>
  </si>
  <si>
    <t>Gastos de Mantenimiento</t>
  </si>
  <si>
    <t>Comisiones de Venta</t>
  </si>
  <si>
    <t>Gastos de Valuación</t>
  </si>
  <si>
    <t>Gastos de Publicidad</t>
  </si>
  <si>
    <t>Otros para poder vender  el  bien  en un plazo de 60 días.</t>
  </si>
  <si>
    <t>?</t>
  </si>
  <si>
    <t>FECHA INFORME</t>
  </si>
  <si>
    <t>Valor de
Terr.US$</t>
  </si>
  <si>
    <t>V. Tot. Inm. US$</t>
  </si>
  <si>
    <t>V. Const.
US$</t>
  </si>
  <si>
    <t>A)</t>
  </si>
  <si>
    <t>B)</t>
  </si>
  <si>
    <t>Lima ,</t>
  </si>
  <si>
    <t>a)</t>
  </si>
  <si>
    <t>b)</t>
  </si>
  <si>
    <t>C.-</t>
  </si>
  <si>
    <t>ZONIFICACION</t>
  </si>
  <si>
    <t>R E S U M E N</t>
  </si>
  <si>
    <t>SERVIDUMBRES</t>
  </si>
  <si>
    <t>VALOR DEL</t>
  </si>
  <si>
    <t>Valor del</t>
  </si>
  <si>
    <t>Ocupación y Usos</t>
  </si>
  <si>
    <t>Observaciones</t>
  </si>
  <si>
    <t>Fecha Informe</t>
  </si>
  <si>
    <t>Control Interno</t>
  </si>
  <si>
    <t>PROPIETARIO</t>
  </si>
  <si>
    <t>D.-</t>
  </si>
  <si>
    <t>1.-</t>
  </si>
  <si>
    <t>TOTAL</t>
  </si>
  <si>
    <t>TERRENO</t>
  </si>
  <si>
    <t>VRA        =</t>
  </si>
  <si>
    <t xml:space="preserve"> </t>
  </si>
  <si>
    <t>ml</t>
  </si>
  <si>
    <t>F</t>
  </si>
  <si>
    <t>La presente valuación no incluye estudio de títulos de propiedad.</t>
  </si>
  <si>
    <t>El nombre del propietario se consigna según la documentación presentada.</t>
  </si>
  <si>
    <t>NOTAS FINALES</t>
  </si>
  <si>
    <t>VALOR DE LA EDIFICACIÓN</t>
  </si>
  <si>
    <t>LINDEROS Y PERÍMETRO</t>
  </si>
  <si>
    <t>ÁREA DE TERRENO</t>
  </si>
  <si>
    <t>DESCRIPCIÓN</t>
  </si>
  <si>
    <t>OCUPACIÓN Y USOS</t>
  </si>
  <si>
    <t>INSCRIPCIÓN</t>
  </si>
  <si>
    <t>VALOR DE REALIZACIÓN AUTOMÁTICA (VRA)</t>
  </si>
  <si>
    <t>A.T.:</t>
  </si>
  <si>
    <t>Descripción</t>
  </si>
  <si>
    <t>Medidas</t>
  </si>
  <si>
    <t>Unitario
$/med.</t>
  </si>
  <si>
    <t>Deprec.</t>
  </si>
  <si>
    <t>Total $</t>
  </si>
  <si>
    <t>Total Obras Complementarias Comunes</t>
  </si>
  <si>
    <t>-&amp;&amp;&amp;&amp;&amp;&amp;&amp;&amp;&amp;-</t>
  </si>
  <si>
    <t>VALOR COMERCIAL  DEL INMUEBLE (VCI)</t>
  </si>
  <si>
    <t>Según Autoavalúo</t>
  </si>
  <si>
    <t xml:space="preserve">CLIENTE </t>
  </si>
  <si>
    <t xml:space="preserve">Según Ficha Registral </t>
  </si>
  <si>
    <t>VALOR DE REPOSICION</t>
  </si>
  <si>
    <t>FACTOR DE REAJUSTE COMERCIAL</t>
  </si>
  <si>
    <t>Debido a que el valor de reposición no refleja el valor comercial del inmueble a la fecha, el perito considera conveniente aplicar un factor de reajuste comercial de:</t>
  </si>
  <si>
    <t>(Referencial / No oficial)</t>
  </si>
  <si>
    <t>El presente informe, no considera los vicios ocultos que tenga el inmueble que no han podido ser identificados en el momento de la inspección o que pudiese tener el inmueble a futuro.</t>
  </si>
  <si>
    <t>VALOR DE LAS AREAS COMUNES</t>
  </si>
  <si>
    <t>VALOR DEL ESTACIONAMIENTO</t>
  </si>
  <si>
    <t>e)</t>
  </si>
  <si>
    <t>B) ESTACIONAMIENTO:</t>
  </si>
  <si>
    <t>VALOR DEL INMUEBLE</t>
  </si>
  <si>
    <t>VANET S.A.C. sólo se responsabiliza por los valores vertidos en el presente informe, los cuales son determinados en base a la documentación presentada.</t>
  </si>
  <si>
    <t>El objetivo del presente informe es determinar el valor de mercado y de realización del inmueble.</t>
  </si>
  <si>
    <t>Según Inspección ocular</t>
  </si>
  <si>
    <t>ml.</t>
  </si>
  <si>
    <t>Total Perímetro</t>
  </si>
  <si>
    <t>Frente</t>
  </si>
  <si>
    <t>Izquierda</t>
  </si>
  <si>
    <t>Derecha</t>
  </si>
  <si>
    <t>Fondo</t>
  </si>
  <si>
    <t>Uni</t>
  </si>
  <si>
    <t>VALOR DEL DEPOSITO</t>
  </si>
  <si>
    <t>C) DEPOSITO</t>
  </si>
  <si>
    <t>. Terreno matriz</t>
  </si>
  <si>
    <t>DISTRIBUCIÓN</t>
  </si>
  <si>
    <t>ÁREAS CONSTRUIDAS</t>
  </si>
  <si>
    <t xml:space="preserve">EDIFICACIÓN </t>
  </si>
  <si>
    <t>Valor Unit. - US$</t>
  </si>
  <si>
    <t>Muros , cimentación, elementos estructurales y columnas;</t>
  </si>
  <si>
    <t>Techos:</t>
  </si>
  <si>
    <t>Pisos:</t>
  </si>
  <si>
    <t>Puertas y Ventanas:</t>
  </si>
  <si>
    <t>Revestimientos:</t>
  </si>
  <si>
    <t>Baños:</t>
  </si>
  <si>
    <t>Instalaciones:</t>
  </si>
  <si>
    <t>TOTAL VALOR UNITARIO</t>
  </si>
  <si>
    <t>ANTIGÜEDAD, ESTADO Y DEPRECIACIÓN</t>
  </si>
  <si>
    <t>Edificación</t>
  </si>
  <si>
    <t>Antigüedad</t>
  </si>
  <si>
    <t>Estado</t>
  </si>
  <si>
    <t>Deprec. %</t>
  </si>
  <si>
    <t>años</t>
  </si>
  <si>
    <t>Und</t>
  </si>
  <si>
    <t>g)</t>
  </si>
  <si>
    <t>A) DEPARTAMENTO:</t>
  </si>
  <si>
    <t>f)</t>
  </si>
  <si>
    <r>
      <t xml:space="preserve">Nota.- </t>
    </r>
    <r>
      <rPr>
        <sz val="10"/>
        <rFont val="Arial"/>
        <family val="2"/>
      </rPr>
      <t>Se recomienda solicitar Certificado de Parámetros.</t>
    </r>
  </si>
  <si>
    <t xml:space="preserve">a) Primer piso </t>
  </si>
  <si>
    <t xml:space="preserve">b) Segundo piso </t>
  </si>
  <si>
    <t>. Porcentaje correspondiente al ……………. %</t>
  </si>
  <si>
    <t xml:space="preserve">El inmueble materia de valuación se encuentra en: </t>
  </si>
  <si>
    <t>Al inmueble le corresponde un área de terreno de:</t>
  </si>
  <si>
    <t>Zonificación</t>
  </si>
  <si>
    <t>Área de terreno  m2</t>
  </si>
  <si>
    <t>Área construida  m2</t>
  </si>
  <si>
    <r>
      <t xml:space="preserve">Para determinar el valor de mercado del </t>
    </r>
    <r>
      <rPr>
        <b/>
        <sz val="8"/>
        <rFont val="Arial"/>
        <family val="2"/>
      </rPr>
      <t>TERRENO</t>
    </r>
    <r>
      <rPr>
        <sz val="10"/>
        <rFont val="Arial"/>
        <family val="2"/>
      </rPr>
      <t xml:space="preserve"> se han tomado en consideración las últimas operaciones de compra venta de los inmuebles adyacentes al que es materia de valuación por ser de características similares; así mismo, se ha considerado la oferta y demanda existente para inmuebles de condiciones semejantes.</t>
    </r>
  </si>
  <si>
    <t>ÁREA UTIL VENDIBLE</t>
  </si>
  <si>
    <t>Para determinar el valor de área útil vendible (valor por metro cuadrado), se ha procedido a elaborar el siguiente estudio de mercado.</t>
  </si>
  <si>
    <t>Bajo este esquema, al valor de reposición se le aplica un factor de:</t>
  </si>
  <si>
    <t>V.U.A. U.V.
US$/m2</t>
  </si>
  <si>
    <t>(Según Partida Registral y Autoavalúo)</t>
  </si>
  <si>
    <t>"VALUACIÓN COMERCIAL DE INMUEBLE"</t>
  </si>
  <si>
    <t xml:space="preserve">/ </t>
  </si>
  <si>
    <t>VALOR DEL TERRENO</t>
  </si>
  <si>
    <t>de</t>
  </si>
  <si>
    <t>Medida</t>
  </si>
  <si>
    <t>Porcentaje de Áreas Comunes</t>
  </si>
  <si>
    <t>a) Valor de la edificación:</t>
  </si>
  <si>
    <t>- Area techada:</t>
  </si>
  <si>
    <t>- Area sin techar:</t>
  </si>
  <si>
    <t>b) Valor de áreas comunes:</t>
  </si>
  <si>
    <t>-&amp;&amp;&amp;&amp;&amp;&amp;&amp;&amp;&amp;&amp;&amp;-</t>
  </si>
  <si>
    <t>3.-</t>
  </si>
  <si>
    <t>GEOREFERENCIAS</t>
  </si>
  <si>
    <t>Latitud</t>
  </si>
  <si>
    <t>Longitud</t>
  </si>
  <si>
    <t>Para efectos del presente informe se contó con la siguiente documentación: …................</t>
  </si>
  <si>
    <t>. Porcentaje correspondiente al estacionamiento %</t>
  </si>
  <si>
    <t>Al estacionamiento le corresponde un área de terreno de:</t>
  </si>
  <si>
    <r>
      <t>m</t>
    </r>
    <r>
      <rPr>
        <b/>
        <vertAlign val="superscript"/>
        <sz val="10"/>
        <color indexed="63"/>
        <rFont val="Arial"/>
        <family val="2"/>
      </rPr>
      <t>2</t>
    </r>
  </si>
  <si>
    <t>. Porcentaje correspondiente al depósito %</t>
  </si>
  <si>
    <t>Al depósito le corresponde un área de terreno de:</t>
  </si>
  <si>
    <t>.</t>
  </si>
  <si>
    <t>VALOR DE RECONSTRUCCION DE LAS ÁREAS COMUNES</t>
  </si>
  <si>
    <t>No se considera VALOR DE RECONSTRUCCION.</t>
  </si>
  <si>
    <t>VALOR DE RECONSTRUCCION DE LAS OBRAS COMPLEMENTARIAS</t>
  </si>
  <si>
    <t>VALOR DE RECONSTRUCCION DEL ESTACIONAMIENTO Nº</t>
  </si>
  <si>
    <t>VALOR DE RECONSTRUCCION DEL DEPOSITO Nº</t>
  </si>
  <si>
    <t>VALOR DE RECONSTRUCCION DE LA EDIFICACIÓN</t>
  </si>
  <si>
    <t xml:space="preserve">VALOR DE RECONSTRUCCIÓN DE LAS EDIFICACIONES </t>
  </si>
  <si>
    <t xml:space="preserve">/….  / </t>
  </si>
  <si>
    <t>VALOR DE RECONSTRUCCION DEL INMUEBLE</t>
  </si>
  <si>
    <t>DESARROLLO DEL VALOR  DE RECONSTRUCCION DE LAS EDIFICACIONES</t>
  </si>
  <si>
    <t>Vista interior</t>
  </si>
  <si>
    <t>Vista exterior</t>
  </si>
  <si>
    <t>MAPA</t>
  </si>
  <si>
    <t>LEYENDA</t>
  </si>
  <si>
    <t>Tipo:</t>
  </si>
  <si>
    <t>Simple</t>
  </si>
  <si>
    <t>Doble lineal</t>
  </si>
  <si>
    <t>Doble paralelo</t>
  </si>
  <si>
    <t>Depósito(s):</t>
  </si>
  <si>
    <t>Estacionamiento (s):</t>
  </si>
  <si>
    <t>"OFERTA EN EL MERCADO"</t>
  </si>
  <si>
    <t>"INMUEBLES VENDIDOS - VENTAS CERRADAS"
Tomado del aplicativo Vanetmap</t>
  </si>
  <si>
    <t>Los inmuebles corren inscritos según Partidas Nºs  de la Oficina Registral de la Propiedad Inmueble de Lima.</t>
  </si>
  <si>
    <t>Item</t>
  </si>
  <si>
    <t>Detalle</t>
  </si>
  <si>
    <t>Partida Nº</t>
  </si>
  <si>
    <t>It.</t>
  </si>
  <si>
    <t>% de participación</t>
  </si>
  <si>
    <t>A. Terreno
m2</t>
  </si>
  <si>
    <t>A. techada
m2</t>
  </si>
  <si>
    <t>A. Ocupada
m2</t>
  </si>
  <si>
    <t>Departamento Flat Nº</t>
  </si>
  <si>
    <t xml:space="preserve">Departamento Dúplex Nº </t>
  </si>
  <si>
    <t>Total - Dptos.</t>
  </si>
  <si>
    <t xml:space="preserve">Estacionamiento  Nº </t>
  </si>
  <si>
    <t>(simple)</t>
  </si>
  <si>
    <t>Total - Estacs.</t>
  </si>
  <si>
    <t xml:space="preserve">Depósito Nº </t>
  </si>
  <si>
    <t>Total - Depósitos</t>
  </si>
  <si>
    <t xml:space="preserve">TOTAL  AREAS </t>
  </si>
  <si>
    <t>DATOS DEL INMUEBLE</t>
  </si>
  <si>
    <t>EDIFICACION</t>
  </si>
  <si>
    <t>OBRAS COMPLEMENTARIAS</t>
  </si>
  <si>
    <t>VALOR TOTAL - US$</t>
  </si>
  <si>
    <t>VALOR IMPORTE ASEGURABLE  (VIA)</t>
  </si>
  <si>
    <t>ÁREA</t>
  </si>
  <si>
    <t>V.UNIT.</t>
  </si>
  <si>
    <t>VALOR</t>
  </si>
  <si>
    <t>AREA</t>
  </si>
  <si>
    <t xml:space="preserve">AREA </t>
  </si>
  <si>
    <t>A.LIBRE</t>
  </si>
  <si>
    <t>Deprec.
%</t>
  </si>
  <si>
    <t>V.TOTAL</t>
  </si>
  <si>
    <t>V. TOTAL</t>
  </si>
  <si>
    <t>TOTAL AREAS COMUNES
15 %</t>
  </si>
  <si>
    <t>VALORIZACIÓN</t>
  </si>
  <si>
    <t>PORCENTAJE</t>
  </si>
  <si>
    <t>VALOR 
DE REPOSICIÓN
US$</t>
  </si>
  <si>
    <t xml:space="preserve">FACTOR 
DE AJUSTE
</t>
  </si>
  <si>
    <t>VALOR 
COMERCIAL 
US$</t>
  </si>
  <si>
    <t>VALOR 
REALIZAC.
 US$</t>
  </si>
  <si>
    <t>VALOR EDIFICACION SIN DEPRECIACION</t>
  </si>
  <si>
    <t>AREAS COMUNES
15 %</t>
  </si>
  <si>
    <t>VALOR DEL IMPORTE ASEGURABLE (VIA)
US$</t>
  </si>
  <si>
    <t>M²</t>
  </si>
  <si>
    <t>US$/M²</t>
  </si>
  <si>
    <t>OCUPADA</t>
  </si>
  <si>
    <t>TECHADA</t>
  </si>
  <si>
    <t xml:space="preserve">OBRAS </t>
  </si>
  <si>
    <t>OBRAS</t>
  </si>
  <si>
    <t>LIBRE</t>
  </si>
  <si>
    <t>COMPLEM.</t>
  </si>
  <si>
    <t>COMP</t>
  </si>
  <si>
    <t>US$</t>
  </si>
  <si>
    <t>(%)</t>
  </si>
  <si>
    <t>I. DEPARTAMENTOS:</t>
  </si>
  <si>
    <t>TOTAL DE DEPARTAMENTOS</t>
  </si>
  <si>
    <t>II. ESTACIONAMIENTOS</t>
  </si>
  <si>
    <t>TOTAL DE ESTACIONAMIENTOS</t>
  </si>
  <si>
    <t>III. DEPÓSITOS</t>
  </si>
  <si>
    <t>TOTAL DE DEPÓSITOS</t>
  </si>
  <si>
    <t>TOTAL GENERAL</t>
  </si>
  <si>
    <r>
      <t>INFORME N°</t>
    </r>
    <r>
      <rPr>
        <b/>
        <sz val="8"/>
        <rFont val="Arial"/>
        <family val="2"/>
      </rPr>
      <t xml:space="preserve"> </t>
    </r>
    <r>
      <rPr>
        <b/>
        <sz val="10"/>
        <rFont val="Arial"/>
        <family val="2"/>
      </rPr>
      <t>25</t>
    </r>
  </si>
  <si>
    <t>La visita de inspección se realizó el día …......../2025, en presencia de la …..........., previa coordinación al teléfono ….............., procediéndose a las tomas fotográficas correspondientes.</t>
  </si>
  <si>
    <t>Este informe incluye un código QR en la parte superior derecha de la hoja frontal, el cual permite verificar su autenticidad. Al escanearlo, debe redirigir al sitio oficial www.vanetperu.com, donde podrá consultarse la versión original emitida por la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</si>
</sst>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_);_(* \(#,##0\);_(* &quot;-&quot;_);_(@_)"/>
    <numFmt numFmtId="165" formatCode="_(&quot;$&quot;* #,##0.00_);_(&quot;$&quot;* \(#,##0.00\);_(&quot;$&quot;* &quot;-&quot;??_);_(@_)"/>
    <numFmt numFmtId="166" formatCode="_-* #,##0.00\ _P_t_s_-;\-* #,##0.00\ _P_t_s_-;_-* &quot;-&quot;??\ _P_t_s_-;_-@_-"/>
    <numFmt numFmtId="167" formatCode="mmmm\ d\,\ yyyy"/>
    <numFmt numFmtId="168" formatCode="\-\ 0###"/>
    <numFmt numFmtId="169" formatCode="\-\ \ 0###"/>
    <numFmt numFmtId="170" formatCode="_-[$$-409]* #,##0.00_ ;_-[$$-409]* \-#,##0.00\ ;_-[$$-409]* &quot;-&quot;??_ ;_-@_ "/>
    <numFmt numFmtId="171" formatCode="_([$$-409]* #,##0.00_);_([$$-409]* \(#,##0.00\);_([$$-409]* &quot;-&quot;??_);_(@_)"/>
    <numFmt numFmtId="172" formatCode="#.\-"/>
    <numFmt numFmtId="173" formatCode="000#"/>
    <numFmt numFmtId="174" formatCode="\-\ 000#"/>
    <numFmt numFmtId="175" formatCode="\F\o\t\o\ \N\r\o\ 0#"/>
    <numFmt numFmtId="176" formatCode="[$$-409]#,##0.00"/>
    <numFmt numFmtId="177" formatCode="mmmm\ dd\,\ yyyy"/>
    <numFmt numFmtId="178" formatCode="0.000000"/>
    <numFmt numFmtId="179" formatCode="[$-C0A]d\-mmm\-yy;@"/>
    <numFmt numFmtId="180" formatCode="#,##0.000"/>
    <numFmt numFmtId="181" formatCode="0.000%"/>
  </numFmts>
  <fonts count="62" x14ac:knownFonts="1">
    <font>
      <sz val="10"/>
      <name val="Arial"/>
    </font>
    <font>
      <b/>
      <sz val="10"/>
      <name val="Arial"/>
      <family val="2"/>
    </font>
    <font>
      <sz val="10"/>
      <name val="Arial"/>
      <family val="2"/>
    </font>
    <font>
      <b/>
      <sz val="10"/>
      <name val="Arial"/>
      <family val="2"/>
    </font>
    <font>
      <sz val="10.5"/>
      <name val="Arial"/>
      <family val="2"/>
    </font>
    <font>
      <sz val="10"/>
      <name val="Arial"/>
      <family val="2"/>
    </font>
    <font>
      <b/>
      <sz val="8"/>
      <name val="Arial"/>
      <family val="2"/>
    </font>
    <font>
      <sz val="8"/>
      <name val="Arial"/>
      <family val="2"/>
    </font>
    <font>
      <sz val="8"/>
      <name val="Arial"/>
      <family val="2"/>
    </font>
    <font>
      <sz val="7"/>
      <name val="Arial"/>
      <family val="2"/>
    </font>
    <font>
      <sz val="7"/>
      <name val="Arial"/>
      <family val="2"/>
    </font>
    <font>
      <sz val="9"/>
      <name val="Arial"/>
      <family val="2"/>
    </font>
    <font>
      <sz val="7.5"/>
      <name val="Arial"/>
      <family val="2"/>
    </font>
    <font>
      <b/>
      <sz val="9"/>
      <name val="Arial"/>
      <family val="2"/>
    </font>
    <font>
      <b/>
      <sz val="9"/>
      <name val="Garamond"/>
      <family val="1"/>
    </font>
    <font>
      <sz val="11"/>
      <name val="Arial"/>
      <family val="2"/>
    </font>
    <font>
      <b/>
      <sz val="10.5"/>
      <name val="Arial"/>
      <family val="2"/>
    </font>
    <font>
      <sz val="10"/>
      <name val="Arial"/>
      <family val="2"/>
    </font>
    <font>
      <b/>
      <u/>
      <sz val="10.5"/>
      <name val="Arial"/>
      <family val="2"/>
    </font>
    <font>
      <sz val="10"/>
      <name val="Arial"/>
      <family val="2"/>
    </font>
    <font>
      <b/>
      <sz val="10"/>
      <name val="Arial Narrow"/>
      <family val="2"/>
    </font>
    <font>
      <b/>
      <u/>
      <sz val="9"/>
      <name val="Arial"/>
      <family val="2"/>
    </font>
    <font>
      <b/>
      <u/>
      <sz val="10"/>
      <name val="Arial"/>
      <family val="2"/>
    </font>
    <font>
      <sz val="10"/>
      <name val="Arial"/>
      <family val="2"/>
    </font>
    <font>
      <b/>
      <sz val="9"/>
      <name val="Arial Narrow"/>
      <family val="2"/>
    </font>
    <font>
      <sz val="9"/>
      <name val="Arial Narrow"/>
      <family val="2"/>
    </font>
    <font>
      <b/>
      <u/>
      <sz val="8"/>
      <name val="Arial"/>
      <family val="2"/>
    </font>
    <font>
      <b/>
      <u/>
      <sz val="11"/>
      <name val="Arial"/>
      <family val="2"/>
    </font>
    <font>
      <u/>
      <sz val="11"/>
      <name val="Arial"/>
      <family val="2"/>
    </font>
    <font>
      <u/>
      <sz val="8"/>
      <name val="Arial"/>
      <family val="2"/>
    </font>
    <font>
      <b/>
      <sz val="7"/>
      <name val="Arial"/>
      <family val="2"/>
    </font>
    <font>
      <b/>
      <u/>
      <sz val="7"/>
      <name val="Arial"/>
      <family val="2"/>
    </font>
    <font>
      <sz val="9"/>
      <name val="Arial"/>
      <family val="2"/>
    </font>
    <font>
      <sz val="8"/>
      <name val="Comic Sans MS"/>
      <family val="4"/>
    </font>
    <font>
      <sz val="9"/>
      <name val="Comic Sans MS"/>
      <family val="4"/>
    </font>
    <font>
      <sz val="10"/>
      <name val="Comic Sans MS"/>
      <family val="4"/>
    </font>
    <font>
      <sz val="10"/>
      <name val="Wingdings"/>
      <charset val="2"/>
    </font>
    <font>
      <b/>
      <u val="double"/>
      <sz val="9"/>
      <name val="Arial"/>
      <family val="2"/>
    </font>
    <font>
      <sz val="6"/>
      <name val="Arial Narrow"/>
      <family val="2"/>
    </font>
    <font>
      <b/>
      <i/>
      <sz val="10"/>
      <name val="Arial"/>
      <family val="2"/>
    </font>
    <font>
      <sz val="10"/>
      <name val="Arial Narrow"/>
      <family val="2"/>
    </font>
    <font>
      <u/>
      <sz val="9"/>
      <name val="Arial"/>
      <family val="2"/>
    </font>
    <font>
      <sz val="9"/>
      <name val="Wingdings"/>
      <charset val="2"/>
    </font>
    <font>
      <vertAlign val="superscript"/>
      <sz val="10"/>
      <name val="Arial"/>
      <family val="2"/>
    </font>
    <font>
      <sz val="10"/>
      <color indexed="31"/>
      <name val="Arial"/>
      <family val="2"/>
    </font>
    <font>
      <u/>
      <sz val="10"/>
      <name val="Arial"/>
      <family val="2"/>
    </font>
    <font>
      <sz val="10"/>
      <name val="Arial"/>
      <family val="2"/>
    </font>
    <font>
      <b/>
      <i/>
      <u/>
      <sz val="10"/>
      <name val="Arial"/>
      <family val="2"/>
    </font>
    <font>
      <b/>
      <i/>
      <sz val="10"/>
      <name val="Arial Narrow"/>
      <family val="2"/>
    </font>
    <font>
      <i/>
      <sz val="10"/>
      <name val="Arial"/>
      <family val="2"/>
    </font>
    <font>
      <b/>
      <vertAlign val="superscript"/>
      <sz val="10"/>
      <color indexed="63"/>
      <name val="Arial"/>
      <family val="2"/>
    </font>
    <font>
      <sz val="9.5"/>
      <name val="Arial"/>
      <family val="2"/>
    </font>
    <font>
      <sz val="12"/>
      <name val="Arial Narrow"/>
      <family val="2"/>
    </font>
    <font>
      <b/>
      <sz val="12"/>
      <name val="Arial Narrow"/>
      <family val="2"/>
    </font>
    <font>
      <sz val="10"/>
      <color theme="1" tint="0.249977111117893"/>
      <name val="Arial"/>
      <family val="2"/>
    </font>
    <font>
      <sz val="12"/>
      <color theme="1"/>
      <name val="Arial Narrow"/>
      <family val="2"/>
    </font>
    <font>
      <b/>
      <sz val="10"/>
      <color rgb="FF212121"/>
      <name val="Arial"/>
      <family val="2"/>
    </font>
    <font>
      <sz val="10"/>
      <color rgb="FF212121"/>
      <name val="Arial"/>
      <family val="2"/>
    </font>
    <font>
      <b/>
      <u/>
      <sz val="10.5"/>
      <color rgb="FF212121"/>
      <name val="Arial"/>
      <family val="2"/>
    </font>
    <font>
      <sz val="9"/>
      <color theme="1"/>
      <name val="Arial Narrow"/>
      <family val="2"/>
    </font>
    <font>
      <sz val="10"/>
      <color theme="1" tint="0.249977111117893"/>
      <name val="Wingdings"/>
      <charset val="2"/>
    </font>
    <font>
      <b/>
      <sz val="10"/>
      <color theme="0"/>
      <name val="Arial Narrow"/>
      <family val="2"/>
    </font>
  </fonts>
  <fills count="10">
    <fill>
      <patternFill patternType="none"/>
    </fill>
    <fill>
      <patternFill patternType="gray125"/>
    </fill>
    <fill>
      <patternFill patternType="solid">
        <fgColor indexed="35"/>
        <bgColor indexed="64"/>
      </patternFill>
    </fill>
    <fill>
      <patternFill patternType="solid">
        <fgColor indexed="34"/>
        <bgColor indexed="64"/>
      </patternFill>
    </fill>
    <fill>
      <patternFill patternType="solid">
        <fgColor indexed="60"/>
        <bgColor indexed="64"/>
      </patternFill>
    </fill>
    <fill>
      <patternFill patternType="solid">
        <fgColor indexed="34"/>
        <bgColor indexed="8"/>
      </patternFill>
    </fill>
    <fill>
      <patternFill patternType="solid">
        <fgColor rgb="FFFFFF00"/>
        <bgColor indexed="64"/>
      </patternFill>
    </fill>
    <fill>
      <patternFill patternType="solid">
        <fgColor theme="0" tint="-4.9989318521683403E-2"/>
        <bgColor indexed="64"/>
      </patternFill>
    </fill>
    <fill>
      <patternFill patternType="solid">
        <fgColor rgb="FF99FF66"/>
        <bgColor indexed="64"/>
      </patternFill>
    </fill>
    <fill>
      <patternFill patternType="solid">
        <fgColor theme="6" tint="0.79998168889431442"/>
        <bgColor indexed="64"/>
      </patternFill>
    </fill>
  </fills>
  <borders count="130">
    <border>
      <left/>
      <right/>
      <top/>
      <bottom/>
      <diagonal/>
    </border>
    <border>
      <left/>
      <right/>
      <top style="thin">
        <color indexed="32"/>
      </top>
      <bottom style="double">
        <color indexed="32"/>
      </bottom>
      <diagonal/>
    </border>
    <border>
      <left/>
      <right/>
      <top/>
      <bottom style="thin">
        <color indexed="32"/>
      </bottom>
      <diagonal/>
    </border>
    <border>
      <left style="thin">
        <color indexed="32"/>
      </left>
      <right/>
      <top style="thin">
        <color indexed="32"/>
      </top>
      <bottom style="medium">
        <color indexed="32"/>
      </bottom>
      <diagonal/>
    </border>
    <border>
      <left/>
      <right/>
      <top style="thin">
        <color indexed="32"/>
      </top>
      <bottom style="medium">
        <color indexed="32"/>
      </bottom>
      <diagonal/>
    </border>
    <border>
      <left/>
      <right style="double">
        <color indexed="32"/>
      </right>
      <top style="thin">
        <color indexed="32"/>
      </top>
      <bottom style="medium">
        <color indexed="32"/>
      </bottom>
      <diagonal/>
    </border>
    <border>
      <left style="thin">
        <color indexed="31"/>
      </left>
      <right/>
      <top style="thin">
        <color indexed="31"/>
      </top>
      <bottom style="medium">
        <color indexed="31"/>
      </bottom>
      <diagonal/>
    </border>
    <border>
      <left/>
      <right/>
      <top style="thin">
        <color indexed="31"/>
      </top>
      <bottom style="medium">
        <color indexed="31"/>
      </bottom>
      <diagonal/>
    </border>
    <border>
      <left/>
      <right style="double">
        <color indexed="31"/>
      </right>
      <top style="thin">
        <color indexed="31"/>
      </top>
      <bottom style="medium">
        <color indexed="31"/>
      </bottom>
      <diagonal/>
    </border>
    <border>
      <left/>
      <right/>
      <top style="thin">
        <color indexed="31"/>
      </top>
      <bottom style="double">
        <color indexed="31"/>
      </bottom>
      <diagonal/>
    </border>
    <border>
      <left style="hair">
        <color indexed="32"/>
      </left>
      <right/>
      <top style="hair">
        <color indexed="32"/>
      </top>
      <bottom style="hair">
        <color indexed="32"/>
      </bottom>
      <diagonal/>
    </border>
    <border>
      <left/>
      <right/>
      <top style="hair">
        <color indexed="32"/>
      </top>
      <bottom style="hair">
        <color indexed="32"/>
      </bottom>
      <diagonal/>
    </border>
    <border>
      <left/>
      <right/>
      <top/>
      <bottom style="hair">
        <color indexed="64"/>
      </bottom>
      <diagonal/>
    </border>
    <border>
      <left style="hair">
        <color indexed="64"/>
      </left>
      <right/>
      <top style="hair">
        <color indexed="64"/>
      </top>
      <bottom style="hair">
        <color indexed="64"/>
      </bottom>
      <diagonal/>
    </border>
    <border>
      <left/>
      <right/>
      <top style="dashed">
        <color indexed="32"/>
      </top>
      <bottom style="double">
        <color indexed="32"/>
      </bottom>
      <diagonal/>
    </border>
    <border>
      <left/>
      <right/>
      <top style="thin">
        <color indexed="32"/>
      </top>
      <bottom style="thin">
        <color indexed="32"/>
      </bottom>
      <diagonal/>
    </border>
    <border>
      <left/>
      <right style="thin">
        <color indexed="32"/>
      </right>
      <top style="thin">
        <color indexed="32"/>
      </top>
      <bottom style="thin">
        <color indexed="32"/>
      </bottom>
      <diagonal/>
    </border>
    <border>
      <left style="hair">
        <color indexed="32"/>
      </left>
      <right/>
      <top style="medium">
        <color indexed="32"/>
      </top>
      <bottom style="medium">
        <color indexed="32"/>
      </bottom>
      <diagonal/>
    </border>
    <border>
      <left/>
      <right/>
      <top style="medium">
        <color indexed="32"/>
      </top>
      <bottom style="medium">
        <color indexed="32"/>
      </bottom>
      <diagonal/>
    </border>
    <border>
      <left style="hair">
        <color indexed="32"/>
      </left>
      <right/>
      <top/>
      <bottom style="medium">
        <color indexed="64"/>
      </bottom>
      <diagonal/>
    </border>
    <border>
      <left/>
      <right/>
      <top/>
      <bottom style="medium">
        <color indexed="64"/>
      </bottom>
      <diagonal/>
    </border>
    <border>
      <left/>
      <right style="hair">
        <color indexed="32"/>
      </right>
      <top/>
      <bottom style="medium">
        <color indexed="64"/>
      </bottom>
      <diagonal/>
    </border>
    <border>
      <left/>
      <right style="hair">
        <color indexed="32"/>
      </right>
      <top style="hair">
        <color indexed="32"/>
      </top>
      <bottom style="hair">
        <color indexed="32"/>
      </bottom>
      <diagonal/>
    </border>
    <border>
      <left/>
      <right style="double">
        <color indexed="32"/>
      </right>
      <top/>
      <bottom/>
      <diagonal/>
    </border>
    <border>
      <left/>
      <right/>
      <top/>
      <bottom style="thin">
        <color indexed="64"/>
      </bottom>
      <diagonal/>
    </border>
    <border>
      <left/>
      <right/>
      <top style="thin">
        <color indexed="62"/>
      </top>
      <bottom style="double">
        <color indexed="62"/>
      </bottom>
      <diagonal/>
    </border>
    <border>
      <left style="hair">
        <color indexed="62"/>
      </left>
      <right/>
      <top style="hair">
        <color indexed="62"/>
      </top>
      <bottom style="hair">
        <color indexed="62"/>
      </bottom>
      <diagonal/>
    </border>
    <border>
      <left/>
      <right/>
      <top style="hair">
        <color indexed="62"/>
      </top>
      <bottom style="hair">
        <color indexed="62"/>
      </bottom>
      <diagonal/>
    </border>
    <border>
      <left style="hair">
        <color indexed="62"/>
      </left>
      <right/>
      <top style="hair">
        <color indexed="62"/>
      </top>
      <bottom style="thin">
        <color indexed="62"/>
      </bottom>
      <diagonal/>
    </border>
    <border>
      <left/>
      <right/>
      <top style="hair">
        <color indexed="62"/>
      </top>
      <bottom style="thin">
        <color indexed="62"/>
      </bottom>
      <diagonal/>
    </border>
    <border>
      <left style="thin">
        <color indexed="62"/>
      </left>
      <right/>
      <top style="thin">
        <color indexed="62"/>
      </top>
      <bottom style="medium">
        <color indexed="62"/>
      </bottom>
      <diagonal/>
    </border>
    <border>
      <left/>
      <right/>
      <top style="thin">
        <color indexed="62"/>
      </top>
      <bottom style="medium">
        <color indexed="62"/>
      </bottom>
      <diagonal/>
    </border>
    <border>
      <left/>
      <right style="double">
        <color indexed="62"/>
      </right>
      <top style="thin">
        <color indexed="62"/>
      </top>
      <bottom style="medium">
        <color indexed="62"/>
      </bottom>
      <diagonal/>
    </border>
    <border>
      <left style="thin">
        <color indexed="32"/>
      </left>
      <right/>
      <top style="thin">
        <color indexed="32"/>
      </top>
      <bottom style="thin">
        <color indexed="32"/>
      </bottom>
      <diagonal/>
    </border>
    <border>
      <left/>
      <right/>
      <top/>
      <bottom style="hair">
        <color indexed="32"/>
      </bottom>
      <diagonal/>
    </border>
    <border>
      <left style="hair">
        <color indexed="32"/>
      </left>
      <right style="hair">
        <color indexed="32"/>
      </right>
      <top/>
      <bottom/>
      <diagonal/>
    </border>
    <border>
      <left style="hair">
        <color indexed="32"/>
      </left>
      <right/>
      <top style="hair">
        <color indexed="32"/>
      </top>
      <bottom/>
      <diagonal/>
    </border>
    <border>
      <left/>
      <right/>
      <top style="hair">
        <color indexed="32"/>
      </top>
      <bottom/>
      <diagonal/>
    </border>
    <border>
      <left/>
      <right style="hair">
        <color indexed="32"/>
      </right>
      <top style="hair">
        <color indexed="32"/>
      </top>
      <bottom/>
      <diagonal/>
    </border>
    <border>
      <left style="hair">
        <color indexed="32"/>
      </left>
      <right style="hair">
        <color indexed="32"/>
      </right>
      <top style="hair">
        <color indexed="32"/>
      </top>
      <bottom style="hair">
        <color indexed="32"/>
      </bottom>
      <diagonal/>
    </border>
    <border>
      <left style="double">
        <color indexed="32"/>
      </left>
      <right/>
      <top style="double">
        <color indexed="32"/>
      </top>
      <bottom/>
      <diagonal/>
    </border>
    <border>
      <left/>
      <right/>
      <top style="double">
        <color indexed="32"/>
      </top>
      <bottom/>
      <diagonal/>
    </border>
    <border>
      <left/>
      <right style="double">
        <color indexed="32"/>
      </right>
      <top style="double">
        <color indexed="32"/>
      </top>
      <bottom/>
      <diagonal/>
    </border>
    <border>
      <left style="double">
        <color indexed="32"/>
      </left>
      <right/>
      <top/>
      <bottom/>
      <diagonal/>
    </border>
    <border>
      <left style="double">
        <color indexed="32"/>
      </left>
      <right/>
      <top/>
      <bottom style="double">
        <color indexed="32"/>
      </bottom>
      <diagonal/>
    </border>
    <border>
      <left/>
      <right/>
      <top/>
      <bottom style="double">
        <color indexed="32"/>
      </bottom>
      <diagonal/>
    </border>
    <border>
      <left/>
      <right style="double">
        <color indexed="32"/>
      </right>
      <top/>
      <bottom style="double">
        <color indexed="32"/>
      </bottom>
      <diagonal/>
    </border>
    <border>
      <left/>
      <right style="double">
        <color indexed="32"/>
      </right>
      <top style="hair">
        <color indexed="32"/>
      </top>
      <bottom style="hair">
        <color indexed="32"/>
      </bottom>
      <diagonal/>
    </border>
    <border>
      <left style="hair">
        <color indexed="32"/>
      </left>
      <right style="hair">
        <color indexed="32"/>
      </right>
      <top style="hair">
        <color indexed="32"/>
      </top>
      <bottom/>
      <diagonal/>
    </border>
    <border>
      <left style="hair">
        <color indexed="32"/>
      </left>
      <right style="double">
        <color indexed="32"/>
      </right>
      <top style="hair">
        <color indexed="32"/>
      </top>
      <bottom/>
      <diagonal/>
    </border>
    <border>
      <left/>
      <right style="hair">
        <color indexed="32"/>
      </right>
      <top/>
      <bottom/>
      <diagonal/>
    </border>
    <border>
      <left style="hair">
        <color indexed="32"/>
      </left>
      <right style="double">
        <color indexed="32"/>
      </right>
      <top/>
      <bottom/>
      <diagonal/>
    </border>
    <border>
      <left style="hair">
        <color indexed="32"/>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indexed="32"/>
      </right>
      <top/>
      <bottom style="medium">
        <color indexed="64"/>
      </bottom>
      <diagonal/>
    </border>
    <border>
      <left/>
      <right style="hair">
        <color indexed="32"/>
      </right>
      <top/>
      <bottom style="hair">
        <color indexed="32"/>
      </bottom>
      <diagonal/>
    </border>
    <border>
      <left style="hair">
        <color indexed="32"/>
      </left>
      <right style="hair">
        <color indexed="32"/>
      </right>
      <top/>
      <bottom style="hair">
        <color indexed="32"/>
      </bottom>
      <diagonal/>
    </border>
    <border>
      <left style="hair">
        <color indexed="32"/>
      </left>
      <right style="double">
        <color indexed="32"/>
      </right>
      <top/>
      <bottom style="hair">
        <color indexed="32"/>
      </bottom>
      <diagonal/>
    </border>
    <border>
      <left/>
      <right style="double">
        <color indexed="32"/>
      </right>
      <top style="hair">
        <color indexed="32"/>
      </top>
      <bottom/>
      <diagonal/>
    </border>
    <border>
      <left/>
      <right/>
      <top style="medium">
        <color indexed="32"/>
      </top>
      <bottom/>
      <diagonal/>
    </border>
    <border>
      <left/>
      <right/>
      <top style="medium">
        <color indexed="31"/>
      </top>
      <bottom/>
      <diagonal/>
    </border>
    <border>
      <left/>
      <right/>
      <top/>
      <bottom style="dashed">
        <color indexed="32"/>
      </bottom>
      <diagonal/>
    </border>
    <border>
      <left style="hair">
        <color indexed="32"/>
      </left>
      <right/>
      <top/>
      <bottom style="thick">
        <color indexed="32"/>
      </bottom>
      <diagonal/>
    </border>
    <border>
      <left/>
      <right/>
      <top/>
      <bottom style="thick">
        <color indexed="32"/>
      </bottom>
      <diagonal/>
    </border>
    <border>
      <left/>
      <right style="double">
        <color indexed="32"/>
      </right>
      <top/>
      <bottom style="thick">
        <color indexed="3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32"/>
      </left>
      <right/>
      <top/>
      <bottom style="hair">
        <color indexed="32"/>
      </bottom>
      <diagonal/>
    </border>
    <border>
      <left style="hair">
        <color indexed="32"/>
      </left>
      <right style="hair">
        <color indexed="32"/>
      </right>
      <top style="hair">
        <color indexed="32"/>
      </top>
      <bottom style="medium">
        <color indexed="32"/>
      </bottom>
      <diagonal/>
    </border>
    <border>
      <left/>
      <right style="hair">
        <color indexed="32"/>
      </right>
      <top/>
      <bottom style="medium">
        <color indexed="32"/>
      </bottom>
      <diagonal/>
    </border>
    <border>
      <left style="hair">
        <color indexed="32"/>
      </left>
      <right style="hair">
        <color indexed="32"/>
      </right>
      <top/>
      <bottom style="medium">
        <color indexed="32"/>
      </bottom>
      <diagonal/>
    </border>
    <border>
      <left style="hair">
        <color indexed="32"/>
      </left>
      <right style="double">
        <color indexed="32"/>
      </right>
      <top/>
      <bottom style="medium">
        <color indexed="32"/>
      </bottom>
      <diagonal/>
    </border>
    <border>
      <left style="hair">
        <color indexed="32"/>
      </left>
      <right style="hair">
        <color indexed="32"/>
      </right>
      <top style="hair">
        <color indexed="32"/>
      </top>
      <bottom style="double">
        <color indexed="32"/>
      </bottom>
      <diagonal/>
    </border>
    <border>
      <left/>
      <right style="hair">
        <color indexed="62"/>
      </right>
      <top style="hair">
        <color indexed="62"/>
      </top>
      <bottom style="hair">
        <color indexed="62"/>
      </bottom>
      <diagonal/>
    </border>
    <border>
      <left style="hair">
        <color indexed="32"/>
      </left>
      <right/>
      <top style="hair">
        <color indexed="62"/>
      </top>
      <bottom style="thin">
        <color indexed="62"/>
      </bottom>
      <diagonal/>
    </border>
    <border>
      <left/>
      <right style="hair">
        <color indexed="62"/>
      </right>
      <top style="hair">
        <color indexed="62"/>
      </top>
      <bottom style="thin">
        <color indexed="62"/>
      </bottom>
      <diagonal/>
    </border>
    <border>
      <left style="hair">
        <color indexed="32"/>
      </left>
      <right/>
      <top style="thin">
        <color indexed="62"/>
      </top>
      <bottom style="double">
        <color indexed="62"/>
      </bottom>
      <diagonal/>
    </border>
    <border>
      <left style="hair">
        <color indexed="32"/>
      </left>
      <right/>
      <top style="hair">
        <color indexed="62"/>
      </top>
      <bottom style="hair">
        <color indexed="62"/>
      </bottom>
      <diagonal/>
    </border>
    <border>
      <left/>
      <right/>
      <top/>
      <bottom style="thin">
        <color indexed="12"/>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32"/>
      </left>
      <right style="thin">
        <color indexed="64"/>
      </right>
      <top style="hair">
        <color indexed="32"/>
      </top>
      <bottom style="hair">
        <color indexed="32"/>
      </bottom>
      <diagonal/>
    </border>
    <border>
      <left style="thin">
        <color indexed="64"/>
      </left>
      <right style="thin">
        <color indexed="64"/>
      </right>
      <top style="hair">
        <color indexed="32"/>
      </top>
      <bottom style="hair">
        <color indexed="32"/>
      </bottom>
      <diagonal/>
    </border>
    <border>
      <left style="thin">
        <color indexed="64"/>
      </left>
      <right/>
      <top style="hair">
        <color indexed="32"/>
      </top>
      <bottom style="hair">
        <color indexed="32"/>
      </bottom>
      <diagonal/>
    </border>
    <border>
      <left style="thin">
        <color indexed="64"/>
      </left>
      <right style="double">
        <color indexed="32"/>
      </right>
      <top style="hair">
        <color indexed="32"/>
      </top>
      <bottom style="hair">
        <color indexed="32"/>
      </bottom>
      <diagonal/>
    </border>
    <border>
      <left style="hair">
        <color indexed="32"/>
      </left>
      <right/>
      <top style="hair">
        <color indexed="32"/>
      </top>
      <bottom style="medium">
        <color indexed="64"/>
      </bottom>
      <diagonal/>
    </border>
    <border>
      <left/>
      <right/>
      <top style="hair">
        <color indexed="32"/>
      </top>
      <bottom style="medium">
        <color indexed="64"/>
      </bottom>
      <diagonal/>
    </border>
    <border>
      <left/>
      <right style="hair">
        <color indexed="32"/>
      </right>
      <top style="hair">
        <color indexed="32"/>
      </top>
      <bottom style="medium">
        <color indexed="64"/>
      </bottom>
      <diagonal/>
    </border>
    <border>
      <left/>
      <right/>
      <top style="medium">
        <color indexed="64"/>
      </top>
      <bottom style="medium">
        <color indexed="64"/>
      </bottom>
      <diagonal/>
    </border>
    <border>
      <left style="hair">
        <color indexed="32"/>
      </left>
      <right/>
      <top style="medium">
        <color indexed="64"/>
      </top>
      <bottom style="medium">
        <color indexed="64"/>
      </bottom>
      <diagonal/>
    </border>
    <border>
      <left/>
      <right style="hair">
        <color indexed="32"/>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3"/>
      </left>
      <right/>
      <top style="thin">
        <color theme="3"/>
      </top>
      <bottom style="medium">
        <color theme="3"/>
      </bottom>
      <diagonal/>
    </border>
    <border>
      <left/>
      <right/>
      <top style="thin">
        <color theme="3"/>
      </top>
      <bottom style="medium">
        <color theme="3"/>
      </bottom>
      <diagonal/>
    </border>
    <border>
      <left/>
      <right style="double">
        <color theme="3"/>
      </right>
      <top style="thin">
        <color theme="3"/>
      </top>
      <bottom style="medium">
        <color theme="3"/>
      </bottom>
      <diagonal/>
    </border>
  </borders>
  <cellStyleXfs count="5">
    <xf numFmtId="0" fontId="0" fillId="0" borderId="0"/>
    <xf numFmtId="166"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cellStyleXfs>
  <cellXfs count="1014">
    <xf numFmtId="0" fontId="0" fillId="0" borderId="0" xfId="0"/>
    <xf numFmtId="0" fontId="5" fillId="0" borderId="0" xfId="0" applyFont="1" applyAlignment="1"/>
    <xf numFmtId="0" fontId="5" fillId="0" borderId="0" xfId="0" applyFont="1"/>
    <xf numFmtId="0" fontId="5" fillId="0" borderId="0" xfId="0" applyFont="1" applyFill="1"/>
    <xf numFmtId="0" fontId="5" fillId="0" borderId="0" xfId="0" applyFont="1" applyAlignment="1">
      <alignment horizontal="right"/>
    </xf>
    <xf numFmtId="0" fontId="12" fillId="0" borderId="0" xfId="0" applyFont="1" applyAlignment="1"/>
    <xf numFmtId="0" fontId="3" fillId="2" borderId="1" xfId="0" applyFont="1" applyFill="1" applyBorder="1" applyAlignment="1"/>
    <xf numFmtId="0" fontId="15" fillId="0" borderId="0" xfId="0" applyFont="1"/>
    <xf numFmtId="0" fontId="1" fillId="0" borderId="0" xfId="0" applyFont="1"/>
    <xf numFmtId="0" fontId="16" fillId="0" borderId="0" xfId="0" applyFont="1"/>
    <xf numFmtId="168" fontId="16" fillId="0" borderId="0" xfId="0" applyNumberFormat="1" applyFont="1" applyAlignment="1">
      <alignment horizontal="left"/>
    </xf>
    <xf numFmtId="168" fontId="4" fillId="0" borderId="0" xfId="0" applyNumberFormat="1" applyFont="1" applyAlignment="1">
      <alignment horizontal="left"/>
    </xf>
    <xf numFmtId="0" fontId="8" fillId="0" borderId="0" xfId="0" applyFont="1"/>
    <xf numFmtId="0" fontId="5" fillId="0" borderId="0" xfId="0" applyFont="1" applyAlignment="1">
      <alignment vertical="center"/>
    </xf>
    <xf numFmtId="0" fontId="1" fillId="0" borderId="2" xfId="0" applyFont="1" applyBorder="1"/>
    <xf numFmtId="0" fontId="5" fillId="0" borderId="2" xfId="0" applyFont="1" applyBorder="1"/>
    <xf numFmtId="0" fontId="1" fillId="0" borderId="2" xfId="0" applyFont="1" applyBorder="1" applyAlignment="1">
      <alignment horizontal="center"/>
    </xf>
    <xf numFmtId="0" fontId="18" fillId="0" borderId="0" xfId="0" applyFont="1"/>
    <xf numFmtId="4" fontId="5" fillId="0" borderId="0" xfId="0" applyNumberFormat="1" applyFont="1" applyProtection="1">
      <protection locked="0"/>
    </xf>
    <xf numFmtId="4" fontId="5" fillId="0" borderId="0" xfId="0" applyNumberFormat="1" applyFont="1" applyAlignment="1" applyProtection="1">
      <alignment horizontal="justify"/>
      <protection locked="0"/>
    </xf>
    <xf numFmtId="172" fontId="3" fillId="0" borderId="0" xfId="0" applyNumberFormat="1" applyFont="1" applyAlignment="1">
      <alignment horizontal="left"/>
    </xf>
    <xf numFmtId="0" fontId="5" fillId="0" borderId="0" xfId="0" applyFont="1" applyFill="1" applyAlignment="1"/>
    <xf numFmtId="0" fontId="5" fillId="0" borderId="0" xfId="0" applyFont="1" applyAlignment="1">
      <alignment horizontal="center"/>
    </xf>
    <xf numFmtId="0" fontId="3" fillId="0" borderId="0" xfId="0" applyFont="1" applyAlignment="1">
      <alignment vertical="center"/>
    </xf>
    <xf numFmtId="0" fontId="5" fillId="0" borderId="0" xfId="0" applyFont="1" applyFill="1" applyAlignment="1">
      <alignment vertical="center"/>
    </xf>
    <xf numFmtId="0" fontId="3" fillId="0" borderId="0" xfId="0" applyFont="1" applyFill="1" applyAlignment="1">
      <alignment vertical="center"/>
    </xf>
    <xf numFmtId="0" fontId="22" fillId="0" borderId="0" xfId="0" applyFont="1" applyAlignment="1">
      <alignment horizontal="left"/>
    </xf>
    <xf numFmtId="0" fontId="16" fillId="0" borderId="2" xfId="0" applyFont="1" applyBorder="1"/>
    <xf numFmtId="0" fontId="16" fillId="0" borderId="2" xfId="0" applyFont="1" applyBorder="1" applyAlignment="1">
      <alignment horizontal="left"/>
    </xf>
    <xf numFmtId="0" fontId="5" fillId="0" borderId="0" xfId="0" applyFont="1" applyBorder="1"/>
    <xf numFmtId="0" fontId="5" fillId="0" borderId="0" xfId="0" applyFont="1" applyFill="1" applyBorder="1"/>
    <xf numFmtId="1" fontId="24" fillId="0" borderId="0" xfId="0" applyNumberFormat="1" applyFont="1" applyAlignment="1">
      <alignment horizontal="right" vertical="center"/>
    </xf>
    <xf numFmtId="1" fontId="25" fillId="0" borderId="0" xfId="0" applyNumberFormat="1" applyFont="1" applyAlignment="1">
      <alignment horizontal="right" vertical="center"/>
    </xf>
    <xf numFmtId="0" fontId="5" fillId="0" borderId="0" xfId="0" applyFont="1" applyFill="1" applyBorder="1" applyAlignment="1">
      <alignment horizontal="left"/>
    </xf>
    <xf numFmtId="2" fontId="5" fillId="0" borderId="0" xfId="0" applyNumberFormat="1" applyFont="1" applyFill="1" applyBorder="1" applyAlignment="1">
      <alignment horizontal="center"/>
    </xf>
    <xf numFmtId="0" fontId="5" fillId="0" borderId="0" xfId="0" quotePrefix="1" applyFont="1" applyFill="1" applyBorder="1" applyAlignment="1">
      <alignment horizontal="left"/>
    </xf>
    <xf numFmtId="0" fontId="26" fillId="0" borderId="0" xfId="0" applyFont="1" applyAlignment="1">
      <alignment horizontal="left"/>
    </xf>
    <xf numFmtId="0" fontId="3" fillId="0" borderId="0" xfId="0" applyFont="1" applyFill="1" applyAlignment="1">
      <alignment horizontal="left"/>
    </xf>
    <xf numFmtId="2" fontId="16" fillId="2" borderId="1" xfId="0" applyNumberFormat="1" applyFont="1" applyFill="1" applyBorder="1" applyAlignment="1"/>
    <xf numFmtId="0" fontId="3" fillId="2" borderId="1" xfId="0" applyFont="1" applyFill="1" applyBorder="1" applyAlignment="1">
      <alignment horizontal="left"/>
    </xf>
    <xf numFmtId="2" fontId="3" fillId="2" borderId="1" xfId="0" applyNumberFormat="1" applyFont="1" applyFill="1" applyBorder="1" applyAlignment="1">
      <alignment horizontal="center"/>
    </xf>
    <xf numFmtId="165" fontId="3" fillId="2" borderId="1" xfId="0" applyNumberFormat="1" applyFont="1" applyFill="1" applyBorder="1" applyAlignment="1">
      <alignment horizontal="right"/>
    </xf>
    <xf numFmtId="0" fontId="16" fillId="2" borderId="1" xfId="0" applyFont="1" applyFill="1" applyBorder="1" applyAlignment="1">
      <alignment horizontal="left"/>
    </xf>
    <xf numFmtId="0" fontId="3" fillId="2" borderId="1" xfId="0" quotePrefix="1" applyFont="1" applyFill="1" applyBorder="1" applyAlignment="1">
      <alignment horizontal="center"/>
    </xf>
    <xf numFmtId="0" fontId="5" fillId="0" borderId="0" xfId="0" applyFont="1" applyFill="1" applyAlignment="1">
      <alignment horizontal="left" vertical="center"/>
    </xf>
    <xf numFmtId="2" fontId="16"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left" vertical="center"/>
    </xf>
    <xf numFmtId="2" fontId="5" fillId="2" borderId="1" xfId="0" applyNumberFormat="1" applyFont="1" applyFill="1" applyBorder="1" applyAlignment="1">
      <alignment horizontal="center" vertical="center"/>
    </xf>
    <xf numFmtId="165" fontId="5" fillId="2" borderId="1" xfId="0" applyNumberFormat="1" applyFont="1" applyFill="1" applyBorder="1" applyAlignment="1">
      <alignment horizontal="right" vertical="center"/>
    </xf>
    <xf numFmtId="0" fontId="17" fillId="2" borderId="1" xfId="0" applyFont="1" applyFill="1" applyBorder="1" applyAlignment="1">
      <alignment horizontal="right" vertical="center"/>
    </xf>
    <xf numFmtId="0" fontId="5" fillId="2" borderId="1" xfId="0" quotePrefix="1" applyFont="1" applyFill="1" applyBorder="1" applyAlignment="1">
      <alignment horizontal="left" vertical="center"/>
    </xf>
    <xf numFmtId="0" fontId="5" fillId="2" borderId="1" xfId="0" quotePrefix="1" applyFont="1" applyFill="1" applyBorder="1" applyAlignment="1">
      <alignment horizontal="center" vertical="center"/>
    </xf>
    <xf numFmtId="0" fontId="13" fillId="0" borderId="0" xfId="0" applyFont="1"/>
    <xf numFmtId="0" fontId="29" fillId="0" borderId="0" xfId="0" applyFont="1" applyBorder="1"/>
    <xf numFmtId="0" fontId="29" fillId="0" borderId="0" xfId="0" applyFont="1"/>
    <xf numFmtId="0" fontId="17" fillId="0" borderId="0" xfId="0" applyFont="1" applyFill="1" applyAlignment="1">
      <alignment horizontal="left" vertical="center"/>
    </xf>
    <xf numFmtId="0" fontId="1" fillId="0" borderId="0" xfId="0" applyFont="1" applyFill="1" applyAlignment="1">
      <alignment horizontal="center" vertical="center"/>
    </xf>
    <xf numFmtId="0" fontId="16" fillId="0" borderId="0" xfId="0" applyFont="1" applyFill="1" applyAlignment="1">
      <alignment vertical="center"/>
    </xf>
    <xf numFmtId="0" fontId="30" fillId="0" borderId="0" xfId="0" applyFont="1" applyFill="1" applyAlignment="1">
      <alignment horizontal="center" vertical="center"/>
    </xf>
    <xf numFmtId="0" fontId="9" fillId="0" borderId="0" xfId="0" applyFont="1" applyFill="1" applyAlignment="1">
      <alignment vertical="center"/>
    </xf>
    <xf numFmtId="0" fontId="31" fillId="0" borderId="0" xfId="0" applyFont="1" applyFill="1" applyAlignment="1">
      <alignment horizontal="left" vertical="center"/>
    </xf>
    <xf numFmtId="0" fontId="10" fillId="0" borderId="0" xfId="0" applyFont="1" applyFill="1" applyAlignment="1">
      <alignment vertical="top"/>
    </xf>
    <xf numFmtId="0" fontId="9" fillId="0" borderId="0" xfId="0" applyFont="1" applyFill="1" applyAlignment="1">
      <alignment vertical="top"/>
    </xf>
    <xf numFmtId="0" fontId="9" fillId="0" borderId="0" xfId="0" applyFont="1" applyFill="1" applyBorder="1" applyAlignment="1">
      <alignment horizontal="justify" vertical="center"/>
    </xf>
    <xf numFmtId="0" fontId="17" fillId="0" borderId="0" xfId="0" applyFont="1" applyFill="1" applyBorder="1" applyAlignment="1">
      <alignment vertical="center"/>
    </xf>
    <xf numFmtId="0" fontId="16" fillId="0" borderId="0" xfId="0" applyFont="1" applyFill="1" applyAlignment="1">
      <alignment horizontal="left" vertical="center"/>
    </xf>
    <xf numFmtId="0" fontId="9" fillId="0" borderId="0" xfId="0" applyFont="1" applyFill="1" applyAlignment="1">
      <alignment horizontal="left" vertical="center"/>
    </xf>
    <xf numFmtId="0" fontId="14" fillId="0" borderId="0" xfId="0" applyFont="1" applyFill="1" applyAlignment="1">
      <alignment vertical="center"/>
    </xf>
    <xf numFmtId="0" fontId="30" fillId="0" borderId="0" xfId="0" applyFont="1" applyFill="1" applyAlignment="1">
      <alignment vertical="center"/>
    </xf>
    <xf numFmtId="0" fontId="13" fillId="0" borderId="0" xfId="0" applyFont="1" applyFill="1"/>
    <xf numFmtId="0" fontId="21" fillId="0" borderId="0" xfId="0" applyFont="1" applyFill="1"/>
    <xf numFmtId="0" fontId="11" fillId="0" borderId="0" xfId="0" applyFont="1" applyFill="1"/>
    <xf numFmtId="0" fontId="25" fillId="0" borderId="0" xfId="0" applyFont="1" applyFill="1" applyAlignment="1">
      <alignment horizontal="left"/>
    </xf>
    <xf numFmtId="0" fontId="11" fillId="0" borderId="0" xfId="0" quotePrefix="1" applyFont="1" applyFill="1" applyAlignment="1">
      <alignment horizontal="left"/>
    </xf>
    <xf numFmtId="0" fontId="11" fillId="0" borderId="0" xfId="0" applyFont="1" applyFill="1" applyAlignment="1">
      <alignment horizontal="center"/>
    </xf>
    <xf numFmtId="0" fontId="13" fillId="3" borderId="3" xfId="0" applyFont="1" applyFill="1" applyBorder="1" applyAlignment="1">
      <alignment vertical="center"/>
    </xf>
    <xf numFmtId="0" fontId="13" fillId="3" borderId="4" xfId="0" applyFont="1" applyFill="1" applyBorder="1" applyAlignment="1">
      <alignment vertical="center"/>
    </xf>
    <xf numFmtId="0" fontId="11" fillId="3" borderId="4" xfId="0" applyFont="1" applyFill="1" applyBorder="1" applyAlignment="1">
      <alignment vertical="center"/>
    </xf>
    <xf numFmtId="0" fontId="11" fillId="3" borderId="4" xfId="0" applyFont="1" applyFill="1" applyBorder="1" applyAlignment="1">
      <alignment horizontal="center" vertical="center"/>
    </xf>
    <xf numFmtId="0" fontId="11" fillId="3" borderId="5" xfId="0" applyFont="1" applyFill="1" applyBorder="1" applyAlignment="1">
      <alignment vertical="center"/>
    </xf>
    <xf numFmtId="0" fontId="11" fillId="0" borderId="0" xfId="0" applyFont="1" applyAlignment="1">
      <alignment vertical="center"/>
    </xf>
    <xf numFmtId="0" fontId="25" fillId="0" borderId="0" xfId="0" applyFont="1"/>
    <xf numFmtId="0" fontId="17" fillId="0" borderId="0" xfId="0" applyFont="1" applyAlignment="1">
      <alignment horizontal="left"/>
    </xf>
    <xf numFmtId="0" fontId="3" fillId="0" borderId="0" xfId="0" applyFont="1"/>
    <xf numFmtId="0" fontId="11" fillId="0" borderId="0" xfId="0" applyFont="1"/>
    <xf numFmtId="0" fontId="11" fillId="0" borderId="0" xfId="0" applyFont="1" applyAlignment="1">
      <alignment horizontal="center"/>
    </xf>
    <xf numFmtId="3" fontId="11" fillId="0" borderId="0" xfId="0" applyNumberFormat="1" applyFont="1"/>
    <xf numFmtId="0" fontId="13" fillId="0" borderId="0" xfId="0" applyFont="1" applyAlignment="1">
      <alignment vertical="center"/>
    </xf>
    <xf numFmtId="0" fontId="13" fillId="3" borderId="4" xfId="0" applyFont="1" applyFill="1" applyBorder="1" applyAlignment="1">
      <alignment horizontal="center" vertical="center"/>
    </xf>
    <xf numFmtId="3" fontId="13" fillId="3" borderId="4" xfId="0" applyNumberFormat="1" applyFont="1" applyFill="1" applyBorder="1" applyAlignment="1">
      <alignment vertical="center"/>
    </xf>
    <xf numFmtId="3" fontId="13" fillId="3" borderId="5" xfId="0" applyNumberFormat="1" applyFont="1" applyFill="1" applyBorder="1" applyAlignment="1">
      <alignment vertical="center"/>
    </xf>
    <xf numFmtId="0" fontId="13" fillId="0" borderId="2" xfId="0" applyFont="1" applyBorder="1"/>
    <xf numFmtId="0" fontId="5" fillId="0" borderId="0" xfId="0" applyFont="1" applyFill="1" applyBorder="1" applyAlignment="1">
      <alignment horizontal="center"/>
    </xf>
    <xf numFmtId="0" fontId="17" fillId="0" borderId="0" xfId="0" applyFont="1" applyBorder="1" applyAlignment="1">
      <alignment horizontal="left"/>
    </xf>
    <xf numFmtId="0" fontId="22" fillId="0" borderId="0" xfId="0" applyFont="1" applyFill="1" applyAlignment="1">
      <alignment horizontal="left"/>
    </xf>
    <xf numFmtId="0" fontId="5" fillId="0" borderId="0" xfId="0" applyFont="1" applyFill="1" applyBorder="1" applyAlignment="1">
      <alignment horizontal="center" vertical="center"/>
    </xf>
    <xf numFmtId="9" fontId="5" fillId="0" borderId="0" xfId="4" applyFont="1" applyFill="1" applyBorder="1" applyAlignment="1">
      <alignment horizontal="center" vertical="center"/>
    </xf>
    <xf numFmtId="0" fontId="3" fillId="0" borderId="0" xfId="0" quotePrefix="1" applyFont="1" applyFill="1" applyAlignment="1">
      <alignment horizontal="left"/>
    </xf>
    <xf numFmtId="0" fontId="5" fillId="0" borderId="0" xfId="0" applyFont="1" applyFill="1" applyAlignment="1">
      <alignment vertical="top"/>
    </xf>
    <xf numFmtId="0" fontId="5" fillId="0" borderId="0" xfId="0" applyFont="1" applyFill="1" applyAlignment="1">
      <alignment horizontal="justify" vertical="top"/>
    </xf>
    <xf numFmtId="0" fontId="5" fillId="0" borderId="0" xfId="0" applyFont="1" applyAlignment="1">
      <alignment vertical="top"/>
    </xf>
    <xf numFmtId="0" fontId="5" fillId="0" borderId="0" xfId="0" quotePrefix="1" applyFont="1" applyFill="1" applyAlignment="1">
      <alignment horizontal="justify" vertical="top"/>
    </xf>
    <xf numFmtId="2" fontId="5" fillId="0" borderId="0" xfId="0" applyNumberFormat="1" applyFont="1" applyFill="1" applyBorder="1" applyAlignment="1">
      <alignment horizontal="left"/>
    </xf>
    <xf numFmtId="4" fontId="5" fillId="0" borderId="0" xfId="0" applyNumberFormat="1" applyFont="1" applyFill="1" applyBorder="1" applyAlignment="1">
      <alignment horizontal="center"/>
    </xf>
    <xf numFmtId="0" fontId="11" fillId="0" borderId="0" xfId="0" applyFont="1" applyFill="1" applyAlignment="1"/>
    <xf numFmtId="0" fontId="13" fillId="0" borderId="0" xfId="0" applyFont="1" applyFill="1" applyAlignment="1">
      <alignment horizontal="left" vertical="center"/>
    </xf>
    <xf numFmtId="0" fontId="11" fillId="0" borderId="0" xfId="0" applyFont="1" applyAlignment="1"/>
    <xf numFmtId="0" fontId="37" fillId="0" borderId="0" xfId="0" applyFont="1" applyAlignment="1">
      <alignment horizontal="centerContinuous"/>
    </xf>
    <xf numFmtId="0" fontId="11" fillId="0" borderId="0" xfId="0" applyFont="1" applyAlignment="1">
      <alignment horizontal="centerContinuous"/>
    </xf>
    <xf numFmtId="169" fontId="13" fillId="0" borderId="0" xfId="0" applyNumberFormat="1" applyFont="1" applyAlignment="1">
      <alignment horizontal="left" indent="1"/>
    </xf>
    <xf numFmtId="0" fontId="13" fillId="0" borderId="0" xfId="0" applyFont="1" applyAlignment="1">
      <alignment horizontal="left"/>
    </xf>
    <xf numFmtId="0" fontId="24" fillId="3" borderId="6" xfId="0" applyFont="1" applyFill="1" applyBorder="1" applyAlignment="1">
      <alignment horizontal="left" vertical="center"/>
    </xf>
    <xf numFmtId="0" fontId="13" fillId="3" borderId="7" xfId="0" applyFont="1" applyFill="1" applyBorder="1" applyAlignment="1">
      <alignment horizontal="left" vertical="center"/>
    </xf>
    <xf numFmtId="4" fontId="24" fillId="3" borderId="7" xfId="0" applyNumberFormat="1" applyFont="1" applyFill="1" applyBorder="1" applyAlignment="1">
      <alignment horizontal="left" vertical="center"/>
    </xf>
    <xf numFmtId="0" fontId="25" fillId="3" borderId="7" xfId="0" quotePrefix="1" applyFont="1" applyFill="1" applyBorder="1" applyAlignment="1">
      <alignment horizontal="center" vertical="center"/>
    </xf>
    <xf numFmtId="0" fontId="11" fillId="3" borderId="7" xfId="0" quotePrefix="1" applyFont="1" applyFill="1" applyBorder="1" applyAlignment="1">
      <alignment horizontal="center" vertical="center"/>
    </xf>
    <xf numFmtId="3" fontId="13" fillId="3" borderId="8" xfId="0" applyNumberFormat="1" applyFont="1" applyFill="1" applyBorder="1" applyAlignment="1">
      <alignment vertical="center"/>
    </xf>
    <xf numFmtId="0" fontId="38" fillId="0" borderId="0" xfId="0" applyFont="1"/>
    <xf numFmtId="0" fontId="12" fillId="0" borderId="0" xfId="0" applyFont="1" applyFill="1" applyAlignment="1"/>
    <xf numFmtId="0" fontId="3" fillId="0" borderId="0" xfId="0" applyFont="1" applyAlignment="1">
      <alignment horizontal="center"/>
    </xf>
    <xf numFmtId="0" fontId="3" fillId="0" borderId="0" xfId="0" applyFont="1" applyFill="1"/>
    <xf numFmtId="0" fontId="17" fillId="0" borderId="0" xfId="0" applyFont="1" applyBorder="1" applyAlignment="1"/>
    <xf numFmtId="0" fontId="6" fillId="0" borderId="0" xfId="0" applyFont="1" applyAlignment="1">
      <alignment vertical="center"/>
    </xf>
    <xf numFmtId="0" fontId="11" fillId="0" borderId="0" xfId="0" applyFont="1" applyAlignment="1">
      <alignment vertical="top"/>
    </xf>
    <xf numFmtId="0" fontId="11" fillId="0" borderId="0" xfId="0" applyFont="1" applyFill="1" applyAlignment="1">
      <alignment horizontal="left" vertical="center"/>
    </xf>
    <xf numFmtId="0" fontId="11" fillId="0" borderId="0" xfId="0" applyFont="1" applyFill="1" applyBorder="1"/>
    <xf numFmtId="0" fontId="11" fillId="0" borderId="0" xfId="0" applyFont="1" applyBorder="1"/>
    <xf numFmtId="0" fontId="41" fillId="0" borderId="2" xfId="0" applyFont="1" applyBorder="1"/>
    <xf numFmtId="0" fontId="41" fillId="0" borderId="0" xfId="0" applyFont="1" applyBorder="1"/>
    <xf numFmtId="0" fontId="21" fillId="0" borderId="0" xfId="0" applyFont="1" applyBorder="1"/>
    <xf numFmtId="0" fontId="21" fillId="0" borderId="0" xfId="0" applyFont="1"/>
    <xf numFmtId="4" fontId="11" fillId="0" borderId="0" xfId="0" applyNumberFormat="1" applyFont="1" applyBorder="1"/>
    <xf numFmtId="4" fontId="13" fillId="0" borderId="0" xfId="0" applyNumberFormat="1" applyFont="1" applyBorder="1"/>
    <xf numFmtId="4" fontId="11" fillId="0" borderId="0" xfId="0" applyNumberFormat="1" applyFont="1"/>
    <xf numFmtId="4" fontId="11" fillId="0" borderId="0" xfId="0" applyNumberFormat="1" applyFont="1" applyAlignment="1">
      <alignment horizontal="right"/>
    </xf>
    <xf numFmtId="0" fontId="13" fillId="0" borderId="9" xfId="0" applyFont="1" applyBorder="1"/>
    <xf numFmtId="0" fontId="11" fillId="0" borderId="9" xfId="0" applyFont="1" applyBorder="1"/>
    <xf numFmtId="4" fontId="11" fillId="0" borderId="9" xfId="0" applyNumberFormat="1" applyFont="1" applyBorder="1" applyAlignment="1">
      <alignment horizontal="right"/>
    </xf>
    <xf numFmtId="4" fontId="11" fillId="0" borderId="9" xfId="0" applyNumberFormat="1" applyFont="1" applyBorder="1"/>
    <xf numFmtId="0" fontId="11" fillId="0" borderId="9" xfId="0" applyFont="1" applyFill="1" applyBorder="1"/>
    <xf numFmtId="0" fontId="13" fillId="3" borderId="6" xfId="0" applyFont="1" applyFill="1" applyBorder="1" applyAlignment="1">
      <alignment vertical="center"/>
    </xf>
    <xf numFmtId="0" fontId="13" fillId="3" borderId="7" xfId="0" applyFont="1" applyFill="1" applyBorder="1" applyAlignment="1">
      <alignment vertical="center"/>
    </xf>
    <xf numFmtId="0" fontId="13" fillId="3" borderId="7" xfId="0" applyFont="1" applyFill="1" applyBorder="1" applyAlignment="1">
      <alignment horizontal="center" vertical="center"/>
    </xf>
    <xf numFmtId="3" fontId="13" fillId="3" borderId="7" xfId="0" applyNumberFormat="1" applyFont="1" applyFill="1" applyBorder="1" applyAlignment="1">
      <alignment vertical="center"/>
    </xf>
    <xf numFmtId="3" fontId="13" fillId="3" borderId="7" xfId="0" quotePrefix="1" applyNumberFormat="1" applyFont="1" applyFill="1" applyBorder="1" applyAlignment="1">
      <alignment vertical="center"/>
    </xf>
    <xf numFmtId="0" fontId="24" fillId="0" borderId="0" xfId="0" applyFont="1" applyAlignment="1">
      <alignment vertical="top"/>
    </xf>
    <xf numFmtId="0" fontId="13" fillId="0" borderId="0" xfId="0" applyFont="1" applyAlignment="1">
      <alignment horizontal="center" vertical="top"/>
    </xf>
    <xf numFmtId="0" fontId="11" fillId="0" borderId="0" xfId="0" applyFont="1" applyFill="1" applyAlignment="1">
      <alignment vertical="top"/>
    </xf>
    <xf numFmtId="0" fontId="13" fillId="0" borderId="0" xfId="0" applyFont="1" applyFill="1" applyAlignment="1">
      <alignment horizontal="center" vertical="top"/>
    </xf>
    <xf numFmtId="0" fontId="24" fillId="0" borderId="0" xfId="0" applyFont="1" applyAlignment="1"/>
    <xf numFmtId="0" fontId="13" fillId="0" borderId="0" xfId="0" applyFont="1" applyAlignment="1">
      <alignment horizontal="center"/>
    </xf>
    <xf numFmtId="0" fontId="32" fillId="0" borderId="0" xfId="0" applyFont="1" applyAlignment="1">
      <alignment horizontal="left"/>
    </xf>
    <xf numFmtId="167" fontId="11" fillId="0" borderId="0" xfId="0" applyNumberFormat="1" applyFont="1" applyFill="1" applyAlignment="1">
      <alignment horizontal="left"/>
    </xf>
    <xf numFmtId="0" fontId="13" fillId="0" borderId="0" xfId="0" applyFont="1" applyFill="1" applyAlignment="1">
      <alignment horizontal="center"/>
    </xf>
    <xf numFmtId="167" fontId="11" fillId="0" borderId="0" xfId="0" quotePrefix="1" applyNumberFormat="1" applyFont="1" applyFill="1" applyAlignment="1">
      <alignment horizontal="left"/>
    </xf>
    <xf numFmtId="0" fontId="3" fillId="0" borderId="0" xfId="0" applyFont="1" applyFill="1" applyBorder="1" applyAlignment="1">
      <alignment vertical="center"/>
    </xf>
    <xf numFmtId="172" fontId="11" fillId="0" borderId="0" xfId="0" applyNumberFormat="1" applyFont="1" applyAlignment="1"/>
    <xf numFmtId="2" fontId="11" fillId="0" borderId="0" xfId="0" applyNumberFormat="1" applyFont="1"/>
    <xf numFmtId="4" fontId="11" fillId="0" borderId="0" xfId="0" applyNumberFormat="1" applyFont="1" applyFill="1" applyAlignment="1"/>
    <xf numFmtId="4" fontId="32" fillId="0" borderId="0" xfId="0" applyNumberFormat="1" applyFont="1" applyFill="1" applyAlignment="1"/>
    <xf numFmtId="0" fontId="11" fillId="0" borderId="0" xfId="0" applyFont="1" applyFill="1" applyAlignment="1">
      <alignment horizontal="left"/>
    </xf>
    <xf numFmtId="176" fontId="5" fillId="0" borderId="0" xfId="0" applyNumberFormat="1" applyFont="1" applyFill="1" applyBorder="1" applyAlignment="1">
      <alignment horizontal="left" indent="3"/>
    </xf>
    <xf numFmtId="0" fontId="20" fillId="0" borderId="0" xfId="0" applyFont="1" applyAlignment="1">
      <alignment horizontal="center" vertical="center"/>
    </xf>
    <xf numFmtId="0" fontId="40" fillId="0" borderId="0" xfId="0" applyFont="1" applyAlignment="1">
      <alignment vertical="center"/>
    </xf>
    <xf numFmtId="0" fontId="20" fillId="0" borderId="0" xfId="0" applyFont="1" applyAlignment="1">
      <alignment vertical="center"/>
    </xf>
    <xf numFmtId="0" fontId="20" fillId="3" borderId="10" xfId="0" applyFont="1" applyFill="1" applyBorder="1" applyAlignment="1">
      <alignment horizontal="left" vertical="center"/>
    </xf>
    <xf numFmtId="0" fontId="20" fillId="3" borderId="11" xfId="0" applyFont="1" applyFill="1" applyBorder="1" applyAlignment="1">
      <alignment horizontal="left" vertical="center"/>
    </xf>
    <xf numFmtId="0" fontId="20" fillId="3" borderId="11" xfId="0" applyFont="1" applyFill="1" applyBorder="1" applyAlignment="1">
      <alignment vertical="center"/>
    </xf>
    <xf numFmtId="4" fontId="11" fillId="0" borderId="0" xfId="0" applyNumberFormat="1" applyFont="1" applyBorder="1" applyAlignment="1">
      <alignment horizontal="right"/>
    </xf>
    <xf numFmtId="10" fontId="13" fillId="0" borderId="0" xfId="4" applyNumberFormat="1" applyFont="1" applyBorder="1" applyAlignment="1"/>
    <xf numFmtId="0" fontId="32" fillId="0" borderId="0" xfId="0" applyFont="1" applyBorder="1" applyAlignment="1"/>
    <xf numFmtId="0" fontId="12" fillId="0" borderId="0" xfId="0" applyFont="1" applyAlignment="1">
      <alignment vertical="top"/>
    </xf>
    <xf numFmtId="172" fontId="3" fillId="0" borderId="0" xfId="0" applyNumberFormat="1" applyFont="1" applyFill="1" applyAlignment="1">
      <alignment horizontal="left"/>
    </xf>
    <xf numFmtId="0" fontId="5" fillId="0" borderId="0" xfId="0" applyFont="1" applyFill="1" applyAlignment="1">
      <alignment horizontal="left"/>
    </xf>
    <xf numFmtId="0" fontId="5" fillId="0" borderId="0" xfId="0" applyFont="1" applyFill="1" applyAlignment="1">
      <alignment horizontal="justify"/>
    </xf>
    <xf numFmtId="0" fontId="36" fillId="0" borderId="0" xfId="0" applyFont="1" applyAlignment="1">
      <alignment vertical="top"/>
    </xf>
    <xf numFmtId="0" fontId="5" fillId="0" borderId="0" xfId="0" applyFont="1" applyFill="1" applyAlignment="1">
      <alignment horizontal="justify" vertical="top" wrapText="1"/>
    </xf>
    <xf numFmtId="0" fontId="2" fillId="0" borderId="0" xfId="0" applyFont="1" applyAlignment="1">
      <alignment horizontal="justify" wrapText="1"/>
    </xf>
    <xf numFmtId="0" fontId="44" fillId="0" borderId="0" xfId="0" applyFont="1" applyFill="1"/>
    <xf numFmtId="0" fontId="22" fillId="0" borderId="0" xfId="0" applyFont="1" applyFill="1" applyAlignment="1">
      <alignment horizontal="justify"/>
    </xf>
    <xf numFmtId="0" fontId="11" fillId="0" borderId="0" xfId="0" applyFont="1" applyAlignment="1">
      <alignment horizontal="right"/>
    </xf>
    <xf numFmtId="165" fontId="11" fillId="0" borderId="0" xfId="0" applyNumberFormat="1" applyFont="1" applyAlignment="1"/>
    <xf numFmtId="0" fontId="7" fillId="0" borderId="0" xfId="0" applyFont="1"/>
    <xf numFmtId="2" fontId="13" fillId="0" borderId="0" xfId="0" applyNumberFormat="1" applyFont="1"/>
    <xf numFmtId="0" fontId="24" fillId="0" borderId="0" xfId="0" applyFont="1" applyFill="1" applyAlignment="1">
      <alignment horizontal="left"/>
    </xf>
    <xf numFmtId="0" fontId="13" fillId="0" borderId="0" xfId="0" quotePrefix="1" applyFont="1" applyFill="1" applyAlignment="1">
      <alignment horizontal="left"/>
    </xf>
    <xf numFmtId="0" fontId="2" fillId="0" borderId="0" xfId="0" applyFont="1"/>
    <xf numFmtId="0" fontId="54" fillId="0" borderId="0" xfId="0" applyFont="1"/>
    <xf numFmtId="0" fontId="11" fillId="0" borderId="0" xfId="0" applyFont="1" applyBorder="1" applyAlignment="1"/>
    <xf numFmtId="9" fontId="11" fillId="0" borderId="0" xfId="4" applyFont="1" applyBorder="1" applyAlignment="1">
      <alignment horizontal="center"/>
    </xf>
    <xf numFmtId="2" fontId="11" fillId="0" borderId="0" xfId="0" applyNumberFormat="1" applyFont="1" applyFill="1"/>
    <xf numFmtId="0" fontId="11" fillId="0" borderId="0" xfId="0" applyFont="1" applyFill="1" applyBorder="1" applyAlignment="1"/>
    <xf numFmtId="0" fontId="2" fillId="0" borderId="0" xfId="0" applyFont="1" applyFill="1"/>
    <xf numFmtId="49" fontId="11" fillId="0" borderId="0" xfId="0" applyNumberFormat="1" applyFont="1" applyFill="1" applyBorder="1" applyAlignment="1"/>
    <xf numFmtId="0" fontId="2" fillId="2" borderId="1" xfId="0" applyFont="1" applyFill="1" applyBorder="1" applyAlignment="1">
      <alignment horizontal="left" vertical="center"/>
    </xf>
    <xf numFmtId="0" fontId="2" fillId="0" borderId="0" xfId="0" applyFont="1" applyAlignment="1"/>
    <xf numFmtId="0" fontId="33" fillId="0" borderId="12" xfId="2" applyFont="1" applyBorder="1" applyAlignment="1">
      <alignment horizontal="left" indent="1"/>
    </xf>
    <xf numFmtId="0" fontId="34" fillId="0" borderId="12" xfId="2" applyFont="1" applyBorder="1" applyAlignment="1"/>
    <xf numFmtId="0" fontId="34" fillId="0" borderId="12" xfId="2" applyFont="1" applyBorder="1" applyAlignment="1">
      <alignment horizontal="left" indent="1"/>
    </xf>
    <xf numFmtId="0" fontId="33" fillId="0" borderId="0" xfId="2" applyFont="1" applyFill="1" applyBorder="1"/>
    <xf numFmtId="173" fontId="33" fillId="0" borderId="0" xfId="2" quotePrefix="1" applyNumberFormat="1" applyFont="1" applyAlignment="1">
      <alignment horizontal="left" indent="1"/>
    </xf>
    <xf numFmtId="173" fontId="33" fillId="0" borderId="0" xfId="2" applyNumberFormat="1" applyFont="1" applyAlignment="1">
      <alignment horizontal="left" indent="1"/>
    </xf>
    <xf numFmtId="173" fontId="33" fillId="0" borderId="0" xfId="2" applyNumberFormat="1" applyFont="1" applyFill="1" applyBorder="1"/>
    <xf numFmtId="0" fontId="33" fillId="0" borderId="0" xfId="2" applyFont="1" applyAlignment="1">
      <alignment horizontal="left" indent="1"/>
    </xf>
    <xf numFmtId="0" fontId="33" fillId="0" borderId="13" xfId="2" applyFont="1" applyBorder="1" applyAlignment="1">
      <alignment horizontal="left" indent="1"/>
    </xf>
    <xf numFmtId="0" fontId="33" fillId="0" borderId="0" xfId="2" applyFont="1"/>
    <xf numFmtId="0" fontId="33" fillId="0" borderId="0" xfId="2" applyFont="1" applyBorder="1" applyAlignment="1">
      <alignment horizontal="center"/>
    </xf>
    <xf numFmtId="0" fontId="33" fillId="0" borderId="0" xfId="2" applyFont="1" applyFill="1" applyAlignment="1">
      <alignment horizontal="left" indent="1"/>
    </xf>
    <xf numFmtId="0" fontId="33" fillId="0" borderId="0" xfId="2" applyFont="1" applyFill="1" applyAlignment="1">
      <alignment horizontal="center"/>
    </xf>
    <xf numFmtId="0" fontId="33" fillId="0" borderId="0" xfId="2" applyFont="1" applyFill="1"/>
    <xf numFmtId="175" fontId="33" fillId="0" borderId="0" xfId="2" applyNumberFormat="1" applyFont="1" applyFill="1" applyBorder="1"/>
    <xf numFmtId="175" fontId="33" fillId="0" borderId="0" xfId="2" applyNumberFormat="1" applyFont="1" applyFill="1" applyAlignment="1">
      <alignment horizontal="left" indent="1"/>
    </xf>
    <xf numFmtId="175" fontId="33" fillId="0" borderId="0" xfId="2" applyNumberFormat="1" applyFont="1" applyFill="1"/>
    <xf numFmtId="0" fontId="35" fillId="0" borderId="0" xfId="2" applyFont="1" applyFill="1" applyAlignment="1">
      <alignment vertical="top"/>
    </xf>
    <xf numFmtId="0" fontId="33" fillId="0" borderId="0" xfId="2" applyFont="1" applyAlignment="1">
      <alignment horizontal="center"/>
    </xf>
    <xf numFmtId="175" fontId="33" fillId="0" borderId="0" xfId="2" applyNumberFormat="1" applyFont="1" applyFill="1" applyAlignment="1">
      <alignment vertical="top"/>
    </xf>
    <xf numFmtId="175" fontId="33" fillId="0" borderId="0" xfId="2" applyNumberFormat="1" applyFont="1" applyFill="1" applyAlignment="1">
      <alignment vertical="top" wrapText="1"/>
    </xf>
    <xf numFmtId="0" fontId="33" fillId="0" borderId="0" xfId="2" applyFont="1" applyFill="1" applyBorder="1" applyAlignment="1">
      <alignment horizontal="center"/>
    </xf>
    <xf numFmtId="175" fontId="33" fillId="0" borderId="0" xfId="2" applyNumberFormat="1" applyFont="1" applyAlignment="1">
      <alignment horizontal="left" indent="1"/>
    </xf>
    <xf numFmtId="0" fontId="2" fillId="0" borderId="0" xfId="0" applyFont="1" applyFill="1" applyAlignment="1">
      <alignment horizontal="justify"/>
    </xf>
    <xf numFmtId="0" fontId="2" fillId="0" borderId="0" xfId="0" applyFont="1" applyFill="1" applyAlignment="1"/>
    <xf numFmtId="4" fontId="21" fillId="0" borderId="0" xfId="0" applyNumberFormat="1" applyFont="1" applyFill="1" applyAlignment="1">
      <alignment horizontal="left"/>
    </xf>
    <xf numFmtId="4" fontId="45" fillId="0" borderId="0" xfId="0" applyNumberFormat="1" applyFont="1" applyFill="1" applyAlignment="1">
      <alignment horizontal="left"/>
    </xf>
    <xf numFmtId="4" fontId="2" fillId="0" borderId="0" xfId="0" applyNumberFormat="1" applyFont="1" applyFill="1" applyAlignment="1"/>
    <xf numFmtId="4" fontId="3" fillId="0" borderId="0" xfId="0" applyNumberFormat="1" applyFont="1" applyFill="1" applyAlignment="1"/>
    <xf numFmtId="4" fontId="2" fillId="0" borderId="0" xfId="0" applyNumberFormat="1" applyFont="1" applyFill="1" applyAlignment="1">
      <alignment horizontal="justify"/>
    </xf>
    <xf numFmtId="4" fontId="2" fillId="0" borderId="0" xfId="0" applyNumberFormat="1" applyFont="1" applyFill="1" applyAlignment="1">
      <alignment horizontal="left"/>
    </xf>
    <xf numFmtId="4" fontId="21" fillId="0" borderId="0" xfId="0" applyNumberFormat="1" applyFont="1" applyFill="1" applyBorder="1" applyAlignment="1">
      <alignment horizontal="left"/>
    </xf>
    <xf numFmtId="4" fontId="2" fillId="0" borderId="0" xfId="0" applyNumberFormat="1" applyFont="1" applyFill="1" applyBorder="1" applyAlignment="1">
      <alignment horizontal="left"/>
    </xf>
    <xf numFmtId="4" fontId="2" fillId="0" borderId="0" xfId="0" applyNumberFormat="1" applyFont="1" applyFill="1" applyBorder="1" applyAlignment="1"/>
    <xf numFmtId="4" fontId="3" fillId="0" borderId="14" xfId="0" applyNumberFormat="1" applyFont="1" applyFill="1" applyBorder="1"/>
    <xf numFmtId="4" fontId="2" fillId="0" borderId="14" xfId="0" applyNumberFormat="1" applyFont="1" applyFill="1" applyBorder="1"/>
    <xf numFmtId="4" fontId="2" fillId="0" borderId="14" xfId="0" applyNumberFormat="1" applyFont="1" applyFill="1" applyBorder="1" applyAlignment="1">
      <alignment horizontal="center"/>
    </xf>
    <xf numFmtId="0" fontId="2" fillId="0" borderId="0" xfId="0" applyFont="1" applyFill="1" applyBorder="1" applyAlignment="1">
      <alignment horizontal="left"/>
    </xf>
    <xf numFmtId="0" fontId="46" fillId="0" borderId="0" xfId="0" applyFont="1"/>
    <xf numFmtId="172" fontId="1" fillId="0" borderId="0" xfId="0" applyNumberFormat="1" applyFont="1" applyAlignment="1">
      <alignment horizontal="left"/>
    </xf>
    <xf numFmtId="0" fontId="46" fillId="0" borderId="0" xfId="0" applyFont="1" applyAlignment="1">
      <alignment horizontal="left"/>
    </xf>
    <xf numFmtId="0" fontId="46" fillId="0" borderId="0" xfId="0" applyFont="1" applyAlignment="1">
      <alignment horizontal="center"/>
    </xf>
    <xf numFmtId="0" fontId="46" fillId="0" borderId="0" xfId="0" applyFont="1" applyFill="1"/>
    <xf numFmtId="0" fontId="46" fillId="0" borderId="0" xfId="0" applyFont="1" applyFill="1" applyBorder="1" applyAlignment="1">
      <alignment vertical="center"/>
    </xf>
    <xf numFmtId="0" fontId="3" fillId="2" borderId="15" xfId="0" applyFont="1" applyFill="1" applyBorder="1" applyAlignment="1">
      <alignment vertical="center"/>
    </xf>
    <xf numFmtId="0" fontId="3" fillId="2" borderId="16" xfId="0" applyFont="1" applyFill="1" applyBorder="1" applyAlignment="1">
      <alignment vertical="center"/>
    </xf>
    <xf numFmtId="0" fontId="2" fillId="0" borderId="0" xfId="0" applyFont="1" applyAlignment="1">
      <alignment horizontal="left"/>
    </xf>
    <xf numFmtId="0" fontId="2" fillId="0" borderId="0" xfId="0" applyFont="1" applyAlignment="1">
      <alignment horizontal="center"/>
    </xf>
    <xf numFmtId="0" fontId="22" fillId="0" borderId="0" xfId="0" applyFont="1"/>
    <xf numFmtId="0" fontId="16" fillId="3" borderId="17" xfId="0" applyFont="1" applyFill="1" applyBorder="1" applyAlignment="1">
      <alignment vertical="center"/>
    </xf>
    <xf numFmtId="0" fontId="16" fillId="3" borderId="18" xfId="0" applyFont="1" applyFill="1" applyBorder="1" applyAlignment="1">
      <alignment vertical="center" wrapText="1"/>
    </xf>
    <xf numFmtId="0" fontId="2" fillId="0" borderId="0" xfId="0" applyFont="1" applyAlignment="1">
      <alignment horizontal="center" vertical="center"/>
    </xf>
    <xf numFmtId="0" fontId="7" fillId="0" borderId="0" xfId="0" applyFont="1" applyAlignment="1">
      <alignment horizontal="center" vertical="center"/>
    </xf>
    <xf numFmtId="0" fontId="39" fillId="0" borderId="0" xfId="0" applyFont="1"/>
    <xf numFmtId="0" fontId="7" fillId="0" borderId="19" xfId="0" applyFont="1" applyFill="1" applyBorder="1" applyAlignment="1">
      <alignment horizontal="center" vertical="center"/>
    </xf>
    <xf numFmtId="0" fontId="11" fillId="0" borderId="20" xfId="0" applyFont="1" applyBorder="1" applyAlignment="1">
      <alignment vertical="center"/>
    </xf>
    <xf numFmtId="0" fontId="11" fillId="0" borderId="21" xfId="0" applyFont="1" applyBorder="1" applyAlignment="1">
      <alignment vertical="center"/>
    </xf>
    <xf numFmtId="0" fontId="7" fillId="0" borderId="10" xfId="0" applyFont="1" applyFill="1" applyBorder="1" applyAlignment="1">
      <alignment horizontal="center" vertical="center"/>
    </xf>
    <xf numFmtId="0" fontId="11" fillId="0" borderId="11" xfId="0" applyFont="1" applyBorder="1" applyAlignment="1">
      <alignment vertical="center"/>
    </xf>
    <xf numFmtId="0" fontId="11" fillId="0" borderId="22" xfId="0" applyFont="1" applyBorder="1" applyAlignment="1">
      <alignment vertical="center"/>
    </xf>
    <xf numFmtId="172" fontId="2" fillId="0" borderId="0" xfId="0" applyNumberFormat="1" applyFont="1" applyAlignment="1">
      <alignment horizontal="left"/>
    </xf>
    <xf numFmtId="2" fontId="2" fillId="0" borderId="0" xfId="0" applyNumberFormat="1" applyFont="1" applyFill="1" applyBorder="1" applyAlignment="1">
      <alignment horizontal="center"/>
    </xf>
    <xf numFmtId="0" fontId="2" fillId="0" borderId="0" xfId="0" quotePrefix="1" applyFont="1" applyFill="1" applyBorder="1" applyAlignment="1">
      <alignment horizontal="left"/>
    </xf>
    <xf numFmtId="0" fontId="2" fillId="0" borderId="0" xfId="0" applyFont="1" applyFill="1" applyAlignment="1">
      <alignment horizontal="left" vertical="center"/>
    </xf>
    <xf numFmtId="0" fontId="46" fillId="6" borderId="0" xfId="0" applyFont="1" applyFill="1"/>
    <xf numFmtId="0" fontId="2" fillId="6" borderId="0" xfId="0" applyFont="1" applyFill="1"/>
    <xf numFmtId="0" fontId="2" fillId="0" borderId="0" xfId="0" applyFont="1" applyAlignment="1">
      <alignment vertical="center"/>
    </xf>
    <xf numFmtId="0" fontId="2" fillId="0" borderId="11" xfId="0" applyFont="1" applyBorder="1" applyAlignment="1"/>
    <xf numFmtId="1" fontId="25" fillId="0" borderId="0" xfId="0" applyNumberFormat="1" applyFont="1" applyFill="1" applyAlignment="1">
      <alignment horizontal="right" vertical="center"/>
    </xf>
    <xf numFmtId="0" fontId="7" fillId="0" borderId="0" xfId="0" applyFont="1" applyFill="1" applyBorder="1" applyAlignment="1"/>
    <xf numFmtId="0" fontId="2" fillId="0" borderId="23" xfId="0" applyFont="1" applyFill="1" applyBorder="1" applyAlignment="1"/>
    <xf numFmtId="0" fontId="2" fillId="0" borderId="0" xfId="0" applyFont="1" applyFill="1" applyBorder="1" applyAlignment="1"/>
    <xf numFmtId="0" fontId="7" fillId="0" borderId="0" xfId="0" applyFont="1" applyBorder="1" applyAlignment="1"/>
    <xf numFmtId="0" fontId="2" fillId="0" borderId="23" xfId="0" applyFont="1" applyBorder="1" applyAlignment="1"/>
    <xf numFmtId="0" fontId="2" fillId="0" borderId="0" xfId="0" applyFont="1" applyBorder="1" applyAlignment="1"/>
    <xf numFmtId="0" fontId="2" fillId="0" borderId="0" xfId="0" quotePrefix="1" applyFont="1" applyAlignment="1">
      <alignment horizontal="center"/>
    </xf>
    <xf numFmtId="0" fontId="16" fillId="0" borderId="24" xfId="0" applyFont="1" applyBorder="1" applyAlignment="1">
      <alignment horizontal="left"/>
    </xf>
    <xf numFmtId="0" fontId="5" fillId="0" borderId="24" xfId="0" applyFont="1" applyBorder="1"/>
    <xf numFmtId="0" fontId="5" fillId="0" borderId="24" xfId="0" applyFont="1" applyFill="1" applyBorder="1"/>
    <xf numFmtId="0" fontId="21" fillId="0" borderId="0" xfId="0" applyFont="1" applyFill="1" applyBorder="1" applyAlignment="1">
      <alignment horizontal="left" vertical="center"/>
    </xf>
    <xf numFmtId="0" fontId="13" fillId="0" borderId="0" xfId="0" applyFont="1" applyFill="1" applyBorder="1" applyAlignment="1">
      <alignment horizontal="center" vertical="center"/>
    </xf>
    <xf numFmtId="0" fontId="30" fillId="0" borderId="0" xfId="0" applyFont="1" applyFill="1" applyBorder="1" applyAlignment="1">
      <alignment horizontal="center" vertical="center"/>
    </xf>
    <xf numFmtId="0" fontId="10" fillId="0" borderId="0" xfId="0" applyFont="1" applyFill="1" applyBorder="1" applyAlignment="1">
      <alignment vertical="center"/>
    </xf>
    <xf numFmtId="0" fontId="9" fillId="0" borderId="0" xfId="0" applyFont="1" applyFill="1" applyBorder="1" applyAlignment="1">
      <alignment vertical="center"/>
    </xf>
    <xf numFmtId="4" fontId="2" fillId="0" borderId="0" xfId="0" applyNumberFormat="1" applyFont="1" applyAlignment="1"/>
    <xf numFmtId="165" fontId="2" fillId="0" borderId="0" xfId="0" applyNumberFormat="1" applyFont="1" applyFill="1" applyBorder="1" applyAlignment="1">
      <alignment horizontal="right"/>
    </xf>
    <xf numFmtId="0" fontId="2" fillId="0" borderId="0" xfId="0" applyFont="1" applyBorder="1" applyAlignment="1">
      <alignment horizontal="right"/>
    </xf>
    <xf numFmtId="4" fontId="2" fillId="0" borderId="0" xfId="0" applyNumberFormat="1" applyFont="1" applyFill="1" applyBorder="1" applyAlignment="1">
      <alignment horizontal="right"/>
    </xf>
    <xf numFmtId="168" fontId="3" fillId="0" borderId="0" xfId="0" applyNumberFormat="1" applyFont="1" applyAlignment="1">
      <alignment horizontal="left"/>
    </xf>
    <xf numFmtId="168" fontId="2" fillId="0" borderId="0" xfId="0" applyNumberFormat="1" applyFont="1" applyAlignment="1">
      <alignment horizontal="left"/>
    </xf>
    <xf numFmtId="4" fontId="2" fillId="0" borderId="0" xfId="0" applyNumberFormat="1" applyFont="1" applyBorder="1" applyAlignment="1"/>
    <xf numFmtId="165" fontId="2" fillId="0" borderId="0" xfId="0" applyNumberFormat="1" applyFont="1" applyFill="1" applyBorder="1" applyAlignment="1"/>
    <xf numFmtId="0" fontId="2" fillId="2" borderId="1" xfId="0" quotePrefix="1" applyFont="1" applyFill="1" applyBorder="1" applyAlignment="1">
      <alignment horizontal="center" vertical="center"/>
    </xf>
    <xf numFmtId="0" fontId="2" fillId="2" borderId="1" xfId="0" applyFont="1" applyFill="1" applyBorder="1" applyAlignment="1">
      <alignment vertical="center"/>
    </xf>
    <xf numFmtId="4" fontId="2" fillId="0" borderId="0" xfId="0" applyNumberFormat="1" applyFont="1"/>
    <xf numFmtId="2" fontId="3" fillId="2" borderId="25" xfId="0" applyNumberFormat="1" applyFont="1" applyFill="1" applyBorder="1" applyAlignment="1">
      <alignment vertical="center"/>
    </xf>
    <xf numFmtId="0" fontId="2" fillId="2" borderId="25" xfId="0" applyFont="1" applyFill="1" applyBorder="1" applyAlignment="1">
      <alignment vertical="center"/>
    </xf>
    <xf numFmtId="0" fontId="2" fillId="2" borderId="25" xfId="0" applyFont="1" applyFill="1" applyBorder="1" applyAlignment="1">
      <alignment horizontal="left" vertical="center"/>
    </xf>
    <xf numFmtId="2" fontId="2" fillId="2" borderId="25" xfId="0" applyNumberFormat="1" applyFont="1" applyFill="1" applyBorder="1" applyAlignment="1">
      <alignment horizontal="center" vertical="center"/>
    </xf>
    <xf numFmtId="165" fontId="2" fillId="2" borderId="25" xfId="0" applyNumberFormat="1" applyFont="1" applyFill="1" applyBorder="1" applyAlignment="1">
      <alignment horizontal="right" vertical="center"/>
    </xf>
    <xf numFmtId="0" fontId="2" fillId="2" borderId="25" xfId="0" applyFont="1" applyFill="1" applyBorder="1" applyAlignment="1">
      <alignment horizontal="right" vertical="center"/>
    </xf>
    <xf numFmtId="0" fontId="2" fillId="2" borderId="25" xfId="0" quotePrefix="1" applyFont="1" applyFill="1" applyBorder="1" applyAlignment="1">
      <alignment horizontal="left" vertical="center"/>
    </xf>
    <xf numFmtId="0" fontId="2" fillId="2" borderId="25" xfId="0" quotePrefix="1" applyFont="1" applyFill="1" applyBorder="1" applyAlignment="1">
      <alignment horizontal="center" vertical="center"/>
    </xf>
    <xf numFmtId="2" fontId="22" fillId="0" borderId="0" xfId="0" applyNumberFormat="1" applyFont="1" applyFill="1" applyBorder="1" applyAlignment="1"/>
    <xf numFmtId="0" fontId="2" fillId="0" borderId="0" xfId="0" applyFont="1" applyFill="1" applyBorder="1" applyAlignment="1">
      <alignment horizontal="right"/>
    </xf>
    <xf numFmtId="0" fontId="2" fillId="0" borderId="0" xfId="0" quotePrefix="1" applyFont="1" applyFill="1" applyBorder="1" applyAlignment="1">
      <alignment horizontal="center"/>
    </xf>
    <xf numFmtId="165" fontId="3" fillId="0" borderId="0" xfId="0" applyNumberFormat="1" applyFont="1" applyFill="1" applyBorder="1" applyAlignment="1">
      <alignment horizontal="right"/>
    </xf>
    <xf numFmtId="0" fontId="2" fillId="0" borderId="0" xfId="0" applyFont="1" applyFill="1" applyAlignment="1">
      <alignment horizontal="left"/>
    </xf>
    <xf numFmtId="0" fontId="47" fillId="0" borderId="0" xfId="0" applyFont="1" applyAlignment="1">
      <alignment vertical="center"/>
    </xf>
    <xf numFmtId="0" fontId="39" fillId="0" borderId="0" xfId="0" applyFont="1" applyAlignment="1">
      <alignment vertical="center"/>
    </xf>
    <xf numFmtId="0" fontId="20" fillId="3" borderId="26" xfId="0" applyFont="1" applyFill="1" applyBorder="1" applyAlignment="1">
      <alignment horizontal="left" vertical="center"/>
    </xf>
    <xf numFmtId="0" fontId="20" fillId="3" borderId="27" xfId="0" applyFont="1" applyFill="1" applyBorder="1" applyAlignment="1">
      <alignment horizontal="left" vertical="center"/>
    </xf>
    <xf numFmtId="0" fontId="20" fillId="3" borderId="27" xfId="0" applyFont="1" applyFill="1" applyBorder="1" applyAlignment="1">
      <alignment vertical="center"/>
    </xf>
    <xf numFmtId="0" fontId="20" fillId="3" borderId="28" xfId="0" applyFont="1" applyFill="1" applyBorder="1" applyAlignment="1">
      <alignment horizontal="left" vertical="center"/>
    </xf>
    <xf numFmtId="0" fontId="20" fillId="3" borderId="29" xfId="0" applyFont="1" applyFill="1" applyBorder="1" applyAlignment="1">
      <alignment horizontal="left" vertical="center"/>
    </xf>
    <xf numFmtId="0" fontId="20" fillId="3" borderId="29" xfId="0" applyFont="1" applyFill="1" applyBorder="1" applyAlignment="1">
      <alignment vertical="center"/>
    </xf>
    <xf numFmtId="2" fontId="3" fillId="2" borderId="25" xfId="0" applyNumberFormat="1" applyFont="1" applyFill="1" applyBorder="1" applyAlignment="1">
      <alignment horizontal="left" vertical="center"/>
    </xf>
    <xf numFmtId="0" fontId="48" fillId="2" borderId="25" xfId="0" applyFont="1" applyFill="1" applyBorder="1" applyAlignment="1">
      <alignment horizontal="left" vertical="center"/>
    </xf>
    <xf numFmtId="0" fontId="49" fillId="2" borderId="25" xfId="0" applyFont="1" applyFill="1" applyBorder="1" applyAlignment="1">
      <alignment horizontal="left" vertical="center"/>
    </xf>
    <xf numFmtId="0" fontId="39" fillId="2" borderId="25" xfId="0" applyFont="1" applyFill="1" applyBorder="1" applyAlignment="1">
      <alignment horizontal="left" vertical="center"/>
    </xf>
    <xf numFmtId="0" fontId="39" fillId="2" borderId="25" xfId="0" applyFont="1" applyFill="1" applyBorder="1" applyAlignment="1">
      <alignment vertical="center"/>
    </xf>
    <xf numFmtId="0" fontId="49" fillId="0" borderId="0" xfId="0" applyFont="1"/>
    <xf numFmtId="0" fontId="45" fillId="0" borderId="0" xfId="0" quotePrefix="1" applyFont="1"/>
    <xf numFmtId="0" fontId="13" fillId="0" borderId="0" xfId="0" applyFont="1" applyBorder="1" applyAlignment="1">
      <alignment horizontal="justify" vertical="center"/>
    </xf>
    <xf numFmtId="0" fontId="45" fillId="0" borderId="0" xfId="0" applyFont="1" applyBorder="1"/>
    <xf numFmtId="0" fontId="45" fillId="0" borderId="0" xfId="0" applyFont="1"/>
    <xf numFmtId="0" fontId="13" fillId="3" borderId="30" xfId="0" applyFont="1" applyFill="1" applyBorder="1" applyAlignment="1">
      <alignment vertical="center"/>
    </xf>
    <xf numFmtId="0" fontId="13" fillId="3" borderId="31" xfId="0" applyFont="1" applyFill="1" applyBorder="1" applyAlignment="1">
      <alignment vertical="center"/>
    </xf>
    <xf numFmtId="0" fontId="6" fillId="3" borderId="31" xfId="0" applyFont="1" applyFill="1" applyBorder="1" applyAlignment="1">
      <alignment vertical="center"/>
    </xf>
    <xf numFmtId="0" fontId="13" fillId="3" borderId="31" xfId="0" applyFont="1" applyFill="1" applyBorder="1" applyAlignment="1">
      <alignment horizontal="center" vertical="center"/>
    </xf>
    <xf numFmtId="3" fontId="13" fillId="3" borderId="31" xfId="0" applyNumberFormat="1" applyFont="1" applyFill="1" applyBorder="1" applyAlignment="1">
      <alignment vertical="center"/>
    </xf>
    <xf numFmtId="3" fontId="13" fillId="3" borderId="32" xfId="0" applyNumberFormat="1" applyFont="1" applyFill="1" applyBorder="1" applyAlignment="1">
      <alignment vertical="center"/>
    </xf>
    <xf numFmtId="2" fontId="3" fillId="2" borderId="1" xfId="0" applyNumberFormat="1" applyFont="1" applyFill="1" applyBorder="1" applyAlignment="1">
      <alignment vertical="center"/>
    </xf>
    <xf numFmtId="2"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2" fillId="2" borderId="1" xfId="0" quotePrefix="1" applyFont="1" applyFill="1" applyBorder="1" applyAlignment="1">
      <alignment horizontal="left" vertical="center"/>
    </xf>
    <xf numFmtId="0" fontId="24" fillId="7" borderId="127" xfId="0" applyFont="1" applyFill="1" applyBorder="1" applyAlignment="1">
      <alignment horizontal="left" vertical="center"/>
    </xf>
    <xf numFmtId="0" fontId="13" fillId="7" borderId="128" xfId="0" applyFont="1" applyFill="1" applyBorder="1" applyAlignment="1">
      <alignment horizontal="left" vertical="center"/>
    </xf>
    <xf numFmtId="9" fontId="24" fillId="7" borderId="128" xfId="0" applyNumberFormat="1" applyFont="1" applyFill="1" applyBorder="1" applyAlignment="1">
      <alignment vertical="center"/>
    </xf>
    <xf numFmtId="0" fontId="25" fillId="7" borderId="128" xfId="0" applyFont="1" applyFill="1" applyBorder="1" applyAlignment="1">
      <alignment vertical="center"/>
    </xf>
    <xf numFmtId="4" fontId="24" fillId="7" borderId="128" xfId="0" applyNumberFormat="1" applyFont="1" applyFill="1" applyBorder="1" applyAlignment="1">
      <alignment horizontal="left" vertical="center"/>
    </xf>
    <xf numFmtId="0" fontId="25" fillId="7" borderId="128" xfId="0" quotePrefix="1" applyFont="1" applyFill="1" applyBorder="1" applyAlignment="1">
      <alignment horizontal="center" vertical="center"/>
    </xf>
    <xf numFmtId="0" fontId="11" fillId="7" borderId="128" xfId="0" quotePrefix="1" applyFont="1" applyFill="1" applyBorder="1" applyAlignment="1">
      <alignment horizontal="center" vertical="center"/>
    </xf>
    <xf numFmtId="3" fontId="13" fillId="7" borderId="129" xfId="0" applyNumberFormat="1" applyFont="1" applyFill="1" applyBorder="1" applyAlignment="1">
      <alignment vertical="center"/>
    </xf>
    <xf numFmtId="0" fontId="13" fillId="0" borderId="0" xfId="0" applyFont="1" applyFill="1" applyBorder="1" applyAlignment="1">
      <alignment horizontal="left" vertical="center"/>
    </xf>
    <xf numFmtId="0" fontId="11" fillId="0" borderId="0" xfId="0" applyFont="1" applyFill="1" applyBorder="1" applyAlignment="1">
      <alignment vertical="top"/>
    </xf>
    <xf numFmtId="0" fontId="11" fillId="0" borderId="0" xfId="0" applyFont="1" applyFill="1" applyBorder="1" applyAlignment="1">
      <alignment vertical="center"/>
    </xf>
    <xf numFmtId="0" fontId="11" fillId="0" borderId="0" xfId="0" applyFont="1" applyFill="1" applyBorder="1" applyAlignment="1">
      <alignment horizontal="justify" vertical="center"/>
    </xf>
    <xf numFmtId="0" fontId="11" fillId="0" borderId="0" xfId="0" applyFont="1" applyBorder="1" applyAlignment="1">
      <alignment horizontal="justify" vertical="center"/>
    </xf>
    <xf numFmtId="177" fontId="2" fillId="0" borderId="0" xfId="0" applyNumberFormat="1" applyFont="1" applyFill="1" applyBorder="1" applyAlignment="1">
      <alignment horizontal="left" vertical="center"/>
    </xf>
    <xf numFmtId="177" fontId="40" fillId="0" borderId="0" xfId="0" applyNumberFormat="1" applyFont="1" applyFill="1" applyBorder="1" applyAlignment="1">
      <alignment vertical="center" wrapText="1"/>
    </xf>
    <xf numFmtId="178" fontId="55" fillId="0" borderId="0" xfId="0" applyNumberFormat="1" applyFont="1" applyFill="1" applyBorder="1" applyAlignment="1" applyProtection="1">
      <alignment vertical="center"/>
      <protection locked="0"/>
    </xf>
    <xf numFmtId="179" fontId="13" fillId="0" borderId="0" xfId="0" applyNumberFormat="1" applyFont="1" applyFill="1" applyBorder="1" applyAlignment="1">
      <alignment vertical="center"/>
    </xf>
    <xf numFmtId="179" fontId="11" fillId="0" borderId="0" xfId="0" applyNumberFormat="1" applyFont="1" applyFill="1" applyBorder="1" applyAlignment="1">
      <alignment vertical="center"/>
    </xf>
    <xf numFmtId="1" fontId="13" fillId="0" borderId="0" xfId="0" applyNumberFormat="1" applyFont="1" applyFill="1" applyBorder="1" applyAlignment="1">
      <alignment vertical="center"/>
    </xf>
    <xf numFmtId="172" fontId="56" fillId="0" borderId="0" xfId="0" applyNumberFormat="1" applyFont="1" applyAlignment="1">
      <alignment horizontal="left"/>
    </xf>
    <xf numFmtId="0" fontId="57" fillId="0" borderId="0" xfId="0" applyFont="1" applyAlignment="1">
      <alignment horizontal="left"/>
    </xf>
    <xf numFmtId="0" fontId="57" fillId="0" borderId="0" xfId="0" applyFont="1"/>
    <xf numFmtId="0" fontId="58" fillId="0" borderId="0" xfId="0" applyFont="1"/>
    <xf numFmtId="0" fontId="57" fillId="0" borderId="0" xfId="0" applyFont="1" applyAlignment="1">
      <alignment horizontal="center"/>
    </xf>
    <xf numFmtId="0" fontId="56" fillId="0" borderId="0" xfId="0" applyFont="1"/>
    <xf numFmtId="4" fontId="57" fillId="0" borderId="0" xfId="0" applyNumberFormat="1" applyFont="1" applyAlignment="1">
      <alignment vertical="center"/>
    </xf>
    <xf numFmtId="0" fontId="57" fillId="4" borderId="33" xfId="0" applyFont="1" applyFill="1" applyBorder="1" applyAlignment="1">
      <alignment vertical="center"/>
    </xf>
    <xf numFmtId="0" fontId="56" fillId="4" borderId="15" xfId="0" applyFont="1" applyFill="1" applyBorder="1" applyAlignment="1">
      <alignment vertical="center"/>
    </xf>
    <xf numFmtId="0" fontId="56" fillId="4" borderId="15" xfId="0" applyFont="1" applyFill="1" applyBorder="1" applyAlignment="1">
      <alignment horizontal="center" vertical="center"/>
    </xf>
    <xf numFmtId="0" fontId="56" fillId="4" borderId="16" xfId="0" applyFont="1" applyFill="1" applyBorder="1" applyAlignment="1">
      <alignment vertical="center"/>
    </xf>
    <xf numFmtId="0" fontId="56" fillId="0" borderId="0" xfId="0" applyFont="1" applyAlignment="1">
      <alignment vertical="center"/>
    </xf>
    <xf numFmtId="0" fontId="2" fillId="0" borderId="2" xfId="0" applyFont="1" applyBorder="1"/>
    <xf numFmtId="0" fontId="13" fillId="0" borderId="0" xfId="0" applyFont="1" applyFill="1" applyAlignment="1">
      <alignment vertical="center"/>
    </xf>
    <xf numFmtId="0" fontId="13" fillId="0" borderId="0" xfId="0" applyFont="1" applyBorder="1"/>
    <xf numFmtId="2" fontId="40" fillId="0" borderId="0" xfId="0" applyNumberFormat="1" applyFont="1"/>
    <xf numFmtId="0" fontId="2" fillId="0" borderId="0" xfId="0" applyFont="1" applyAlignment="1">
      <alignment horizontal="justify"/>
    </xf>
    <xf numFmtId="0" fontId="22" fillId="0" borderId="0" xfId="0" applyFont="1" applyAlignment="1">
      <alignment horizontal="justify" wrapText="1"/>
    </xf>
    <xf numFmtId="0" fontId="2" fillId="0" borderId="0" xfId="2"/>
    <xf numFmtId="0" fontId="2" fillId="0" borderId="0" xfId="2" applyAlignment="1">
      <alignment horizontal="justify" vertical="center" wrapText="1"/>
    </xf>
    <xf numFmtId="0" fontId="2" fillId="0" borderId="0" xfId="2" applyAlignment="1">
      <alignment horizontal="justify" vertical="center"/>
    </xf>
    <xf numFmtId="0" fontId="2" fillId="0" borderId="0" xfId="2" applyAlignment="1">
      <alignment vertical="center"/>
    </xf>
    <xf numFmtId="0" fontId="2" fillId="0" borderId="0" xfId="2" applyFont="1"/>
    <xf numFmtId="0" fontId="2" fillId="0" borderId="0" xfId="2" applyFont="1" applyAlignment="1">
      <alignment horizontal="justify" vertical="center"/>
    </xf>
    <xf numFmtId="0" fontId="2" fillId="0" borderId="0" xfId="2" applyFont="1" applyAlignment="1">
      <alignment vertical="center"/>
    </xf>
    <xf numFmtId="0" fontId="2" fillId="0" borderId="0" xfId="2" applyFont="1" applyBorder="1" applyAlignment="1">
      <alignment horizontal="center" vertical="center" wrapText="1"/>
    </xf>
    <xf numFmtId="0" fontId="2" fillId="0" borderId="0" xfId="2" applyFont="1" applyAlignment="1">
      <alignment vertical="center" wrapText="1"/>
    </xf>
    <xf numFmtId="0" fontId="51" fillId="0" borderId="0" xfId="2" applyFont="1"/>
    <xf numFmtId="0" fontId="2" fillId="6" borderId="33" xfId="0" applyFont="1" applyFill="1" applyBorder="1" applyAlignment="1">
      <alignment vertical="center"/>
    </xf>
    <xf numFmtId="0" fontId="3" fillId="6" borderId="15" xfId="0" applyFont="1" applyFill="1" applyBorder="1" applyAlignment="1">
      <alignment vertical="center"/>
    </xf>
    <xf numFmtId="0" fontId="3" fillId="6" borderId="15" xfId="0" applyFont="1" applyFill="1" applyBorder="1" applyAlignment="1">
      <alignment horizontal="center" vertical="center"/>
    </xf>
    <xf numFmtId="0" fontId="18" fillId="6" borderId="0" xfId="0" applyFont="1" applyFill="1"/>
    <xf numFmtId="0" fontId="5" fillId="6" borderId="0" xfId="0" applyFont="1" applyFill="1"/>
    <xf numFmtId="0" fontId="22" fillId="6" borderId="0" xfId="0" applyFont="1" applyFill="1"/>
    <xf numFmtId="0" fontId="11" fillId="6" borderId="0" xfId="0" applyFont="1" applyFill="1"/>
    <xf numFmtId="172" fontId="11" fillId="6" borderId="0" xfId="0" applyNumberFormat="1" applyFont="1" applyFill="1" applyAlignment="1"/>
    <xf numFmtId="0" fontId="11" fillId="6" borderId="0" xfId="0" applyFont="1" applyFill="1" applyAlignment="1"/>
    <xf numFmtId="2" fontId="11" fillId="6" borderId="0" xfId="0" applyNumberFormat="1" applyFont="1" applyFill="1"/>
    <xf numFmtId="0" fontId="11" fillId="6" borderId="0" xfId="0" applyFont="1" applyFill="1" applyAlignment="1">
      <alignment horizontal="center"/>
    </xf>
    <xf numFmtId="3" fontId="11" fillId="6" borderId="0" xfId="0" applyNumberFormat="1" applyFont="1" applyFill="1"/>
    <xf numFmtId="0" fontId="11" fillId="6" borderId="0" xfId="0" applyFont="1" applyFill="1" applyBorder="1"/>
    <xf numFmtId="4" fontId="11" fillId="6" borderId="0" xfId="0" applyNumberFormat="1" applyFont="1" applyFill="1" applyBorder="1" applyAlignment="1">
      <alignment horizontal="right"/>
    </xf>
    <xf numFmtId="9" fontId="11" fillId="6" borderId="0" xfId="4" applyFont="1" applyFill="1" applyBorder="1" applyAlignment="1">
      <alignment horizontal="center"/>
    </xf>
    <xf numFmtId="0" fontId="11" fillId="6" borderId="0" xfId="0" applyFont="1" applyFill="1" applyBorder="1" applyAlignment="1"/>
    <xf numFmtId="10" fontId="13" fillId="6" borderId="0" xfId="4" applyNumberFormat="1" applyFont="1" applyFill="1" applyBorder="1" applyAlignment="1"/>
    <xf numFmtId="0" fontId="32" fillId="6" borderId="0" xfId="0" applyFont="1" applyFill="1" applyBorder="1" applyAlignment="1"/>
    <xf numFmtId="0" fontId="8" fillId="6" borderId="0" xfId="0" applyFont="1" applyFill="1"/>
    <xf numFmtId="2" fontId="40" fillId="6" borderId="0" xfId="0" applyNumberFormat="1" applyFont="1" applyFill="1"/>
    <xf numFmtId="0" fontId="3" fillId="0" borderId="89" xfId="0" applyFont="1" applyBorder="1" applyAlignment="1">
      <alignment vertical="center"/>
    </xf>
    <xf numFmtId="1" fontId="2" fillId="0" borderId="89" xfId="0" applyNumberFormat="1" applyFont="1" applyBorder="1" applyAlignment="1">
      <alignment vertical="center" wrapText="1"/>
    </xf>
    <xf numFmtId="0" fontId="3" fillId="7" borderId="10" xfId="0" applyFont="1" applyFill="1" applyBorder="1" applyAlignment="1">
      <alignment vertical="center"/>
    </xf>
    <xf numFmtId="0" fontId="3" fillId="7" borderId="22" xfId="0" applyFont="1" applyFill="1" applyBorder="1" applyAlignment="1">
      <alignment vertical="center"/>
    </xf>
    <xf numFmtId="2" fontId="2" fillId="0" borderId="11" xfId="0" applyNumberFormat="1" applyFont="1" applyBorder="1"/>
    <xf numFmtId="2" fontId="2" fillId="0" borderId="47" xfId="0" applyNumberFormat="1" applyFont="1" applyBorder="1"/>
    <xf numFmtId="0" fontId="3" fillId="7" borderId="11" xfId="0" applyFont="1" applyFill="1" applyBorder="1" applyAlignment="1">
      <alignment vertical="center"/>
    </xf>
    <xf numFmtId="2" fontId="2" fillId="7" borderId="11" xfId="0" applyNumberFormat="1" applyFont="1" applyFill="1" applyBorder="1"/>
    <xf numFmtId="2" fontId="3" fillId="7" borderId="11" xfId="0" applyNumberFormat="1" applyFont="1" applyFill="1" applyBorder="1" applyAlignment="1">
      <alignment vertical="center"/>
    </xf>
    <xf numFmtId="0" fontId="3" fillId="7" borderId="47" xfId="0" applyFont="1" applyFill="1" applyBorder="1" applyAlignment="1">
      <alignment vertical="center"/>
    </xf>
    <xf numFmtId="0" fontId="3" fillId="7" borderId="53" xfId="0" applyFont="1" applyFill="1" applyBorder="1" applyAlignment="1">
      <alignment vertical="center"/>
    </xf>
    <xf numFmtId="0" fontId="3" fillId="7" borderId="97" xfId="0" applyFont="1" applyFill="1" applyBorder="1" applyAlignment="1">
      <alignment vertical="center"/>
    </xf>
    <xf numFmtId="2" fontId="3" fillId="7" borderId="97" xfId="0" applyNumberFormat="1" applyFont="1" applyFill="1" applyBorder="1" applyAlignment="1">
      <alignment vertical="center"/>
    </xf>
    <xf numFmtId="0" fontId="3" fillId="7" borderId="54" xfId="0" applyFont="1" applyFill="1" applyBorder="1" applyAlignment="1">
      <alignment vertical="center"/>
    </xf>
    <xf numFmtId="0" fontId="40" fillId="0" borderId="0" xfId="2" applyFont="1" applyAlignment="1">
      <alignment vertical="center"/>
    </xf>
    <xf numFmtId="4" fontId="40" fillId="0" borderId="0" xfId="2" applyNumberFormat="1" applyFont="1" applyAlignment="1">
      <alignment vertical="center"/>
    </xf>
    <xf numFmtId="180" fontId="40" fillId="0" borderId="0" xfId="2" applyNumberFormat="1" applyFont="1" applyAlignment="1">
      <alignment vertical="center"/>
    </xf>
    <xf numFmtId="0" fontId="20" fillId="0" borderId="0" xfId="2" applyFont="1" applyAlignment="1">
      <alignment horizontal="left" vertical="center"/>
    </xf>
    <xf numFmtId="4" fontId="20" fillId="0" borderId="0" xfId="2" applyNumberFormat="1" applyFont="1" applyAlignment="1">
      <alignment vertical="center"/>
    </xf>
    <xf numFmtId="4" fontId="20" fillId="0" borderId="0" xfId="2" applyNumberFormat="1" applyFont="1" applyAlignment="1">
      <alignment horizontal="center" vertical="center"/>
    </xf>
    <xf numFmtId="0" fontId="52" fillId="7" borderId="100" xfId="2" applyFont="1" applyFill="1" applyBorder="1" applyAlignment="1">
      <alignment vertical="center"/>
    </xf>
    <xf numFmtId="0" fontId="53" fillId="7" borderId="53" xfId="2" applyFont="1" applyFill="1" applyBorder="1" applyAlignment="1">
      <alignment horizontal="center" vertical="center"/>
    </xf>
    <xf numFmtId="0" fontId="52" fillId="0" borderId="0" xfId="2" applyFont="1" applyAlignment="1">
      <alignment vertical="center"/>
    </xf>
    <xf numFmtId="4" fontId="20" fillId="7" borderId="102" xfId="2" applyNumberFormat="1" applyFont="1" applyFill="1" applyBorder="1" applyAlignment="1">
      <alignment horizontal="center" vertical="center"/>
    </xf>
    <xf numFmtId="4" fontId="20" fillId="7" borderId="103" xfId="2" applyNumberFormat="1" applyFont="1" applyFill="1" applyBorder="1" applyAlignment="1">
      <alignment horizontal="center" vertical="center"/>
    </xf>
    <xf numFmtId="3" fontId="20" fillId="7" borderId="101" xfId="0" applyNumberFormat="1" applyFont="1" applyFill="1" applyBorder="1" applyAlignment="1">
      <alignment horizontal="center" vertical="center"/>
    </xf>
    <xf numFmtId="4" fontId="20" fillId="7" borderId="104" xfId="2" applyNumberFormat="1" applyFont="1" applyFill="1" applyBorder="1" applyAlignment="1">
      <alignment horizontal="center" vertical="center"/>
    </xf>
    <xf numFmtId="4" fontId="20" fillId="7" borderId="105" xfId="2" applyNumberFormat="1" applyFont="1" applyFill="1" applyBorder="1" applyAlignment="1">
      <alignment horizontal="center" vertical="center"/>
    </xf>
    <xf numFmtId="4" fontId="20" fillId="7" borderId="101" xfId="2" applyNumberFormat="1" applyFont="1" applyFill="1" applyBorder="1" applyAlignment="1">
      <alignment horizontal="center" vertical="center"/>
    </xf>
    <xf numFmtId="4" fontId="20" fillId="9" borderId="108" xfId="2" applyNumberFormat="1" applyFont="1" applyFill="1" applyBorder="1" applyAlignment="1">
      <alignment horizontal="center" vertical="center" wrapText="1"/>
    </xf>
    <xf numFmtId="4" fontId="20" fillId="7" borderId="110" xfId="2" applyNumberFormat="1" applyFont="1" applyFill="1" applyBorder="1" applyAlignment="1">
      <alignment horizontal="center" vertical="center"/>
    </xf>
    <xf numFmtId="4" fontId="20" fillId="7" borderId="111" xfId="2" applyNumberFormat="1" applyFont="1" applyFill="1" applyBorder="1" applyAlignment="1">
      <alignment horizontal="center" vertical="center"/>
    </xf>
    <xf numFmtId="3" fontId="20" fillId="7" borderId="109" xfId="0" applyNumberFormat="1" applyFont="1" applyFill="1" applyBorder="1" applyAlignment="1">
      <alignment horizontal="center" vertical="center"/>
    </xf>
    <xf numFmtId="4" fontId="20" fillId="7" borderId="110" xfId="2" applyNumberFormat="1" applyFont="1" applyFill="1" applyBorder="1" applyAlignment="1">
      <alignment vertical="center"/>
    </xf>
    <xf numFmtId="4" fontId="20" fillId="7" borderId="111" xfId="2" applyNumberFormat="1" applyFont="1" applyFill="1" applyBorder="1" applyAlignment="1">
      <alignment vertical="center"/>
    </xf>
    <xf numFmtId="4" fontId="20" fillId="7" borderId="70" xfId="2" applyNumberFormat="1" applyFont="1" applyFill="1" applyBorder="1" applyAlignment="1">
      <alignment horizontal="center" vertical="center"/>
    </xf>
    <xf numFmtId="4" fontId="20" fillId="7" borderId="109" xfId="2" applyNumberFormat="1" applyFont="1" applyFill="1" applyBorder="1" applyAlignment="1">
      <alignment horizontal="center" vertical="center"/>
    </xf>
    <xf numFmtId="4" fontId="20" fillId="9" borderId="113" xfId="2" applyNumberFormat="1" applyFont="1" applyFill="1" applyBorder="1" applyAlignment="1">
      <alignment horizontal="center" vertical="center" wrapText="1"/>
    </xf>
    <xf numFmtId="3" fontId="61" fillId="7" borderId="109" xfId="0" applyNumberFormat="1" applyFont="1" applyFill="1" applyBorder="1" applyAlignment="1">
      <alignment horizontal="center" vertical="center"/>
    </xf>
    <xf numFmtId="4" fontId="20" fillId="7" borderId="114" xfId="2" applyNumberFormat="1" applyFont="1" applyFill="1" applyBorder="1" applyAlignment="1">
      <alignment horizontal="center" vertical="center"/>
    </xf>
    <xf numFmtId="180" fontId="20" fillId="7" borderId="111" xfId="2" applyNumberFormat="1" applyFont="1" applyFill="1" applyBorder="1" applyAlignment="1">
      <alignment horizontal="center" vertical="center"/>
    </xf>
    <xf numFmtId="0" fontId="20" fillId="0" borderId="104" xfId="2" applyFont="1" applyBorder="1" applyAlignment="1">
      <alignment vertical="center"/>
    </xf>
    <xf numFmtId="0" fontId="20" fillId="0" borderId="116" xfId="2" applyFont="1" applyBorder="1" applyAlignment="1">
      <alignment vertical="center"/>
    </xf>
    <xf numFmtId="0" fontId="20" fillId="0" borderId="103" xfId="2" applyFont="1" applyBorder="1" applyAlignment="1">
      <alignment vertical="center"/>
    </xf>
    <xf numFmtId="0" fontId="20" fillId="0" borderId="101" xfId="2" applyFont="1" applyBorder="1" applyAlignment="1">
      <alignment vertical="center"/>
    </xf>
    <xf numFmtId="0" fontId="40" fillId="0" borderId="117" xfId="2" applyFont="1" applyBorder="1" applyAlignment="1">
      <alignment horizontal="center" vertical="center"/>
    </xf>
    <xf numFmtId="0" fontId="40" fillId="0" borderId="118" xfId="2" applyFont="1" applyBorder="1" applyAlignment="1">
      <alignment horizontal="left" vertical="center"/>
    </xf>
    <xf numFmtId="4" fontId="40" fillId="0" borderId="117" xfId="2" applyNumberFormat="1" applyFont="1" applyBorder="1" applyAlignment="1">
      <alignment horizontal="center" vertical="center"/>
    </xf>
    <xf numFmtId="4" fontId="40" fillId="0" borderId="118" xfId="2" applyNumberFormat="1" applyFont="1" applyBorder="1" applyAlignment="1">
      <alignment vertical="center"/>
    </xf>
    <xf numFmtId="4" fontId="40" fillId="0" borderId="118" xfId="2" applyNumberFormat="1" applyFont="1" applyBorder="1" applyAlignment="1">
      <alignment horizontal="right" vertical="center"/>
    </xf>
    <xf numFmtId="4" fontId="40" fillId="6" borderId="118" xfId="2" applyNumberFormat="1" applyFont="1" applyFill="1" applyBorder="1" applyAlignment="1">
      <alignment horizontal="right" vertical="center"/>
    </xf>
    <xf numFmtId="181" fontId="40" fillId="0" borderId="118" xfId="4" applyNumberFormat="1" applyFont="1" applyBorder="1" applyAlignment="1">
      <alignment vertical="center"/>
    </xf>
    <xf numFmtId="4" fontId="40" fillId="0" borderId="117" xfId="2" applyNumberFormat="1" applyFont="1" applyBorder="1" applyAlignment="1">
      <alignment vertical="center"/>
    </xf>
    <xf numFmtId="4" fontId="40" fillId="6" borderId="119" xfId="3" applyNumberFormat="1" applyFont="1" applyFill="1" applyBorder="1" applyAlignment="1">
      <alignment horizontal="center" vertical="center"/>
    </xf>
    <xf numFmtId="4" fontId="40" fillId="0" borderId="120" xfId="2" applyNumberFormat="1" applyFont="1" applyBorder="1" applyAlignment="1">
      <alignment vertical="center"/>
    </xf>
    <xf numFmtId="4" fontId="40" fillId="0" borderId="117" xfId="2" applyNumberFormat="1" applyFont="1" applyBorder="1" applyAlignment="1">
      <alignment horizontal="right" vertical="center"/>
    </xf>
    <xf numFmtId="4" fontId="40" fillId="0" borderId="121" xfId="2" applyNumberFormat="1" applyFont="1" applyBorder="1" applyAlignment="1">
      <alignment horizontal="right" vertical="center"/>
    </xf>
    <xf numFmtId="4" fontId="40" fillId="0" borderId="122" xfId="2" applyNumberFormat="1" applyFont="1" applyBorder="1" applyAlignment="1">
      <alignment horizontal="right" vertical="center"/>
    </xf>
    <xf numFmtId="4" fontId="40" fillId="0" borderId="123" xfId="2" applyNumberFormat="1" applyFont="1" applyBorder="1" applyAlignment="1">
      <alignment vertical="center"/>
    </xf>
    <xf numFmtId="4" fontId="40" fillId="0" borderId="71" xfId="2" applyNumberFormat="1" applyFont="1" applyBorder="1" applyAlignment="1">
      <alignment vertical="center"/>
    </xf>
    <xf numFmtId="4" fontId="40" fillId="0" borderId="120" xfId="2" applyNumberFormat="1" applyFont="1" applyBorder="1" applyAlignment="1">
      <alignment horizontal="right" vertical="center"/>
    </xf>
    <xf numFmtId="4" fontId="20" fillId="7" borderId="124" xfId="2" applyNumberFormat="1" applyFont="1" applyFill="1" applyBorder="1" applyAlignment="1">
      <alignment horizontal="center" vertical="center"/>
    </xf>
    <xf numFmtId="4" fontId="20" fillId="7" borderId="125" xfId="2" applyNumberFormat="1" applyFont="1" applyFill="1" applyBorder="1" applyAlignment="1">
      <alignment horizontal="right" vertical="center"/>
    </xf>
    <xf numFmtId="4" fontId="20" fillId="9" borderId="125" xfId="2" applyNumberFormat="1" applyFont="1" applyFill="1" applyBorder="1" applyAlignment="1">
      <alignment horizontal="right" vertical="center"/>
    </xf>
    <xf numFmtId="4" fontId="40" fillId="6" borderId="118" xfId="2" applyNumberFormat="1" applyFont="1" applyFill="1" applyBorder="1" applyAlignment="1">
      <alignment vertical="center"/>
    </xf>
    <xf numFmtId="4" fontId="20" fillId="7" borderId="126" xfId="2" applyNumberFormat="1" applyFont="1" applyFill="1" applyBorder="1" applyAlignment="1">
      <alignment horizontal="right" vertical="center"/>
    </xf>
    <xf numFmtId="4" fontId="20" fillId="9" borderId="126" xfId="2" applyNumberFormat="1" applyFont="1" applyFill="1" applyBorder="1" applyAlignment="1">
      <alignment horizontal="right" vertical="center"/>
    </xf>
    <xf numFmtId="4" fontId="20" fillId="7" borderId="100" xfId="2" applyNumberFormat="1" applyFont="1" applyFill="1" applyBorder="1" applyAlignment="1">
      <alignment horizontal="center" vertical="center"/>
    </xf>
    <xf numFmtId="4" fontId="20" fillId="7" borderId="100" xfId="2" applyNumberFormat="1" applyFont="1" applyFill="1" applyBorder="1" applyAlignment="1">
      <alignment horizontal="right" vertical="center"/>
    </xf>
    <xf numFmtId="4" fontId="20" fillId="9" borderId="100" xfId="2" applyNumberFormat="1" applyFont="1" applyFill="1" applyBorder="1" applyAlignment="1">
      <alignment horizontal="right" vertical="center"/>
    </xf>
    <xf numFmtId="0" fontId="40" fillId="0" borderId="0" xfId="2" applyFont="1" applyAlignment="1">
      <alignment horizontal="center" vertical="center"/>
    </xf>
    <xf numFmtId="4" fontId="24" fillId="0" borderId="0" xfId="2" applyNumberFormat="1" applyFont="1" applyAlignment="1">
      <alignment horizontal="center" vertical="center"/>
    </xf>
    <xf numFmtId="4" fontId="20" fillId="0" borderId="0" xfId="2" applyNumberFormat="1" applyFont="1" applyAlignment="1">
      <alignment horizontal="right" vertical="center"/>
    </xf>
    <xf numFmtId="180" fontId="20" fillId="0" borderId="0" xfId="2" applyNumberFormat="1" applyFont="1" applyAlignment="1">
      <alignment horizontal="right" vertical="center"/>
    </xf>
    <xf numFmtId="4" fontId="25" fillId="0" borderId="0" xfId="2" applyNumberFormat="1" applyFont="1" applyAlignment="1">
      <alignment vertical="center"/>
    </xf>
    <xf numFmtId="2" fontId="2" fillId="0" borderId="34" xfId="0" applyNumberFormat="1" applyFont="1" applyBorder="1"/>
    <xf numFmtId="2" fontId="2" fillId="0" borderId="37" xfId="0" applyNumberFormat="1" applyFont="1" applyBorder="1"/>
    <xf numFmtId="0" fontId="40" fillId="7" borderId="0" xfId="2" applyFont="1" applyFill="1" applyAlignment="1">
      <alignment horizontal="center"/>
    </xf>
    <xf numFmtId="0" fontId="2" fillId="7" borderId="10" xfId="0" applyFont="1" applyFill="1" applyBorder="1" applyAlignment="1"/>
    <xf numFmtId="0" fontId="2" fillId="7" borderId="11" xfId="0" applyFont="1" applyFill="1" applyBorder="1" applyAlignment="1"/>
    <xf numFmtId="2" fontId="3" fillId="7" borderId="34" xfId="2" applyNumberFormat="1" applyFont="1" applyFill="1" applyBorder="1" applyAlignment="1">
      <alignment horizontal="center"/>
    </xf>
    <xf numFmtId="0" fontId="3" fillId="7" borderId="11" xfId="0" quotePrefix="1" applyFont="1" applyFill="1" applyBorder="1" applyAlignment="1">
      <alignment horizontal="justify"/>
    </xf>
    <xf numFmtId="0" fontId="2" fillId="7" borderId="11" xfId="0" applyFont="1" applyFill="1" applyBorder="1" applyAlignment="1">
      <alignment horizontal="justify"/>
    </xf>
    <xf numFmtId="0" fontId="2" fillId="7" borderId="22" xfId="0" applyFont="1" applyFill="1" applyBorder="1" applyAlignment="1">
      <alignment horizontal="justify"/>
    </xf>
    <xf numFmtId="0" fontId="25" fillId="0" borderId="35" xfId="1" applyNumberFormat="1" applyFont="1" applyFill="1" applyBorder="1" applyAlignment="1">
      <alignment horizontal="right" vertical="center" wrapText="1"/>
    </xf>
    <xf numFmtId="2" fontId="25" fillId="0" borderId="35" xfId="1" applyNumberFormat="1" applyFont="1" applyFill="1" applyBorder="1" applyAlignment="1">
      <alignment horizontal="right" vertical="center"/>
    </xf>
    <xf numFmtId="2" fontId="11" fillId="0" borderId="35" xfId="1" applyNumberFormat="1" applyFont="1" applyFill="1" applyBorder="1" applyAlignment="1">
      <alignment horizontal="right" vertical="center"/>
    </xf>
    <xf numFmtId="164" fontId="25" fillId="0" borderId="35" xfId="0" applyNumberFormat="1" applyFont="1" applyFill="1" applyBorder="1" applyAlignment="1">
      <alignment horizontal="right" vertical="center"/>
    </xf>
    <xf numFmtId="164" fontId="11" fillId="0" borderId="35" xfId="0" applyNumberFormat="1" applyFont="1" applyFill="1" applyBorder="1" applyAlignment="1">
      <alignment horizontal="right" vertical="center"/>
    </xf>
    <xf numFmtId="164" fontId="25" fillId="0" borderId="36" xfId="0" applyNumberFormat="1" applyFont="1" applyFill="1" applyBorder="1" applyAlignment="1">
      <alignment vertical="center"/>
    </xf>
    <xf numFmtId="164" fontId="25" fillId="0" borderId="37" xfId="0" applyNumberFormat="1" applyFont="1" applyFill="1" applyBorder="1" applyAlignment="1">
      <alignment vertical="center"/>
    </xf>
    <xf numFmtId="164" fontId="25" fillId="0" borderId="38" xfId="0" applyNumberFormat="1" applyFont="1" applyFill="1" applyBorder="1" applyAlignment="1">
      <alignment vertical="center"/>
    </xf>
    <xf numFmtId="49" fontId="2" fillId="0" borderId="34" xfId="0" quotePrefix="1" applyNumberFormat="1" applyFont="1" applyBorder="1" applyAlignment="1">
      <alignment horizontal="justify" vertical="center"/>
    </xf>
    <xf numFmtId="164" fontId="25" fillId="0" borderId="10" xfId="0" applyNumberFormat="1" applyFont="1" applyFill="1" applyBorder="1" applyAlignment="1">
      <alignment horizontal="justify" vertical="center" wrapText="1"/>
    </xf>
    <xf numFmtId="164" fontId="25" fillId="0" borderId="11" xfId="0" applyNumberFormat="1" applyFont="1" applyFill="1" applyBorder="1" applyAlignment="1">
      <alignment horizontal="justify" vertical="center" wrapText="1"/>
    </xf>
    <xf numFmtId="1" fontId="24" fillId="2" borderId="39" xfId="0" applyNumberFormat="1" applyFont="1" applyFill="1" applyBorder="1" applyAlignment="1">
      <alignment horizontal="center" vertical="center" wrapText="1"/>
    </xf>
    <xf numFmtId="1" fontId="24" fillId="2" borderId="39" xfId="0" applyNumberFormat="1" applyFont="1" applyFill="1" applyBorder="1" applyAlignment="1">
      <alignment horizontal="center" vertical="center"/>
    </xf>
    <xf numFmtId="0" fontId="2" fillId="2" borderId="39" xfId="0" applyFont="1" applyFill="1" applyBorder="1" applyAlignment="1">
      <alignment vertical="center"/>
    </xf>
    <xf numFmtId="164" fontId="25" fillId="0" borderId="39" xfId="0" applyNumberFormat="1" applyFont="1" applyFill="1" applyBorder="1" applyAlignment="1">
      <alignment horizontal="right" vertical="center"/>
    </xf>
    <xf numFmtId="164" fontId="11" fillId="0" borderId="39" xfId="0" applyNumberFormat="1" applyFont="1" applyFill="1" applyBorder="1" applyAlignment="1">
      <alignment horizontal="right" vertical="center"/>
    </xf>
    <xf numFmtId="1" fontId="24" fillId="5" borderId="10" xfId="0" applyNumberFormat="1" applyFont="1" applyFill="1" applyBorder="1" applyAlignment="1">
      <alignment horizontal="center" vertical="center" textRotation="90"/>
    </xf>
    <xf numFmtId="1" fontId="24" fillId="5" borderId="11" xfId="0" applyNumberFormat="1" applyFont="1" applyFill="1" applyBorder="1" applyAlignment="1">
      <alignment horizontal="center" vertical="center" textRotation="90"/>
    </xf>
    <xf numFmtId="1" fontId="24" fillId="5" borderId="22" xfId="0" applyNumberFormat="1" applyFont="1" applyFill="1" applyBorder="1" applyAlignment="1">
      <alignment horizontal="center" vertical="center" textRotation="90"/>
    </xf>
    <xf numFmtId="0" fontId="40" fillId="0" borderId="0" xfId="0" applyFont="1" applyBorder="1" applyAlignment="1">
      <alignment horizontal="justify" wrapText="1"/>
    </xf>
    <xf numFmtId="0" fontId="40" fillId="0" borderId="0" xfId="0" applyFont="1" applyBorder="1" applyAlignment="1"/>
    <xf numFmtId="0" fontId="25" fillId="0" borderId="39" xfId="1" applyNumberFormat="1" applyFont="1" applyFill="1" applyBorder="1" applyAlignment="1">
      <alignment horizontal="right" vertical="center" wrapText="1"/>
    </xf>
    <xf numFmtId="1" fontId="25" fillId="0" borderId="39" xfId="1" applyNumberFormat="1" applyFont="1" applyFill="1" applyBorder="1" applyAlignment="1">
      <alignment horizontal="right" vertical="center"/>
    </xf>
    <xf numFmtId="1" fontId="11" fillId="0" borderId="39" xfId="1" applyNumberFormat="1" applyFont="1" applyFill="1" applyBorder="1" applyAlignment="1">
      <alignment horizontal="right" vertical="center"/>
    </xf>
    <xf numFmtId="164" fontId="25" fillId="0" borderId="36" xfId="0" applyNumberFormat="1" applyFont="1" applyFill="1" applyBorder="1" applyAlignment="1">
      <alignment horizontal="justify" vertical="center" wrapText="1"/>
    </xf>
    <xf numFmtId="164" fontId="25" fillId="0" borderId="37" xfId="0" applyNumberFormat="1" applyFont="1" applyFill="1" applyBorder="1" applyAlignment="1">
      <alignment horizontal="justify" vertical="center" wrapText="1"/>
    </xf>
    <xf numFmtId="164" fontId="25" fillId="0" borderId="10" xfId="0" applyNumberFormat="1" applyFont="1" applyFill="1" applyBorder="1" applyAlignment="1">
      <alignment vertical="center"/>
    </xf>
    <xf numFmtId="164" fontId="25" fillId="0" borderId="11" xfId="0" applyNumberFormat="1" applyFont="1" applyFill="1" applyBorder="1" applyAlignment="1">
      <alignment vertical="center"/>
    </xf>
    <xf numFmtId="164" fontId="25" fillId="0" borderId="22" xfId="0" applyNumberFormat="1" applyFont="1" applyFill="1" applyBorder="1" applyAlignment="1">
      <alignment vertical="center"/>
    </xf>
    <xf numFmtId="0" fontId="2" fillId="0" borderId="40" xfId="0" applyFont="1" applyFill="1" applyBorder="1" applyAlignment="1">
      <alignment horizontal="center"/>
    </xf>
    <xf numFmtId="0" fontId="2" fillId="0" borderId="41" xfId="0" applyFont="1" applyFill="1" applyBorder="1" applyAlignment="1">
      <alignment horizontal="center"/>
    </xf>
    <xf numFmtId="0" fontId="2" fillId="0" borderId="42" xfId="0" applyFont="1" applyFill="1" applyBorder="1" applyAlignment="1">
      <alignment horizontal="center"/>
    </xf>
    <xf numFmtId="0" fontId="2" fillId="0" borderId="43" xfId="0" applyFont="1" applyFill="1" applyBorder="1" applyAlignment="1">
      <alignment horizontal="center"/>
    </xf>
    <xf numFmtId="0" fontId="2" fillId="0" borderId="0" xfId="0" applyFont="1" applyFill="1" applyBorder="1" applyAlignment="1">
      <alignment horizontal="center"/>
    </xf>
    <xf numFmtId="0" fontId="2" fillId="0" borderId="23"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46" xfId="0" applyFont="1" applyFill="1" applyBorder="1" applyAlignment="1">
      <alignment horizontal="center"/>
    </xf>
    <xf numFmtId="172" fontId="20" fillId="0" borderId="0" xfId="0" applyNumberFormat="1" applyFont="1" applyBorder="1" applyAlignment="1">
      <alignment horizontal="left"/>
    </xf>
    <xf numFmtId="172" fontId="23" fillId="0" borderId="0" xfId="0" applyNumberFormat="1" applyFont="1" applyAlignment="1">
      <alignment horizontal="left"/>
    </xf>
    <xf numFmtId="172" fontId="3" fillId="6" borderId="0" xfId="0" applyNumberFormat="1" applyFont="1" applyFill="1" applyAlignment="1">
      <alignment horizontal="left"/>
    </xf>
    <xf numFmtId="172" fontId="17" fillId="6" borderId="0" xfId="0" applyNumberFormat="1" applyFont="1" applyFill="1" applyAlignment="1">
      <alignment horizontal="left"/>
    </xf>
    <xf numFmtId="170" fontId="2" fillId="0" borderId="39" xfId="0" applyNumberFormat="1" applyFont="1" applyBorder="1" applyAlignment="1">
      <alignment horizontal="center" vertical="center"/>
    </xf>
    <xf numFmtId="0" fontId="2" fillId="0" borderId="39" xfId="0" applyFont="1" applyBorder="1" applyAlignment="1">
      <alignment vertical="center"/>
    </xf>
    <xf numFmtId="0" fontId="20" fillId="2" borderId="10"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47" xfId="0" applyFont="1" applyFill="1" applyBorder="1" applyAlignment="1">
      <alignment horizontal="center" vertical="center" wrapText="1"/>
    </xf>
    <xf numFmtId="165" fontId="5" fillId="0" borderId="0" xfId="0" applyNumberFormat="1" applyFont="1" applyFill="1" applyBorder="1" applyAlignment="1">
      <alignment horizontal="center"/>
    </xf>
    <xf numFmtId="165" fontId="5" fillId="0" borderId="0" xfId="0" applyNumberFormat="1" applyFont="1" applyFill="1" applyBorder="1" applyAlignment="1">
      <alignment horizontal="right"/>
    </xf>
    <xf numFmtId="0" fontId="17" fillId="0" borderId="0" xfId="0" applyFont="1" applyBorder="1" applyAlignment="1"/>
    <xf numFmtId="165" fontId="3" fillId="2" borderId="1" xfId="0" applyNumberFormat="1" applyFont="1" applyFill="1" applyBorder="1" applyAlignment="1">
      <alignment horizontal="right" vertical="center"/>
    </xf>
    <xf numFmtId="0" fontId="17" fillId="2" borderId="1" xfId="0" applyFont="1" applyFill="1" applyBorder="1" applyAlignment="1">
      <alignment vertical="center"/>
    </xf>
    <xf numFmtId="4" fontId="40" fillId="0" borderId="10" xfId="0" applyNumberFormat="1" applyFont="1" applyFill="1" applyBorder="1" applyAlignment="1">
      <alignment horizontal="center" vertical="center"/>
    </xf>
    <xf numFmtId="0" fontId="40" fillId="0" borderId="11" xfId="0" applyFont="1" applyBorder="1" applyAlignment="1">
      <alignment horizontal="center" vertical="center"/>
    </xf>
    <xf numFmtId="0" fontId="40" fillId="0" borderId="22" xfId="0" applyFont="1" applyBorder="1" applyAlignment="1">
      <alignment horizontal="center" vertical="center"/>
    </xf>
    <xf numFmtId="0" fontId="36" fillId="0" borderId="0" xfId="0" applyFont="1" applyAlignment="1">
      <alignment vertical="top"/>
    </xf>
    <xf numFmtId="0" fontId="2" fillId="0" borderId="0" xfId="0" applyFont="1" applyFill="1" applyAlignment="1">
      <alignment horizontal="justify" vertical="top" wrapText="1"/>
    </xf>
    <xf numFmtId="0" fontId="17" fillId="0" borderId="0" xfId="0" applyFont="1" applyAlignment="1">
      <alignment horizontal="justify" wrapText="1"/>
    </xf>
    <xf numFmtId="170" fontId="20" fillId="0" borderId="52" xfId="0" applyNumberFormat="1" applyFont="1" applyFill="1" applyBorder="1" applyAlignment="1">
      <alignment vertical="center"/>
    </xf>
    <xf numFmtId="0" fontId="40" fillId="0" borderId="0" xfId="0" applyFont="1" applyFill="1" applyBorder="1" applyAlignment="1">
      <alignment vertical="center"/>
    </xf>
    <xf numFmtId="10" fontId="20" fillId="3" borderId="11" xfId="0" applyNumberFormat="1" applyFont="1" applyFill="1" applyBorder="1" applyAlignment="1">
      <alignment vertical="center"/>
    </xf>
    <xf numFmtId="10" fontId="40" fillId="0" borderId="11" xfId="0" applyNumberFormat="1" applyFont="1" applyBorder="1" applyAlignment="1">
      <alignment vertical="center"/>
    </xf>
    <xf numFmtId="10" fontId="40" fillId="0" borderId="22" xfId="0" applyNumberFormat="1" applyFont="1" applyBorder="1" applyAlignment="1">
      <alignment vertical="center"/>
    </xf>
    <xf numFmtId="170" fontId="40" fillId="0" borderId="11" xfId="0" applyNumberFormat="1" applyFont="1" applyFill="1" applyBorder="1" applyAlignment="1">
      <alignment vertical="center"/>
    </xf>
    <xf numFmtId="170" fontId="40" fillId="0" borderId="11" xfId="0" applyNumberFormat="1" applyFont="1" applyBorder="1" applyAlignment="1">
      <alignment vertical="center"/>
    </xf>
    <xf numFmtId="170" fontId="40" fillId="0" borderId="22" xfId="0" applyNumberFormat="1" applyFont="1" applyBorder="1" applyAlignment="1">
      <alignment vertical="center"/>
    </xf>
    <xf numFmtId="165" fontId="2" fillId="0" borderId="0" xfId="0" applyNumberFormat="1" applyFont="1" applyFill="1" applyBorder="1" applyAlignment="1">
      <alignment horizontal="right"/>
    </xf>
    <xf numFmtId="0" fontId="2" fillId="0" borderId="0" xfId="0" applyFont="1" applyAlignment="1"/>
    <xf numFmtId="0" fontId="20" fillId="3" borderId="11" xfId="0" applyFont="1" applyFill="1" applyBorder="1" applyAlignment="1">
      <alignment horizontal="center" vertical="center"/>
    </xf>
    <xf numFmtId="0" fontId="20" fillId="3" borderId="22" xfId="0" applyFont="1" applyFill="1" applyBorder="1" applyAlignment="1">
      <alignment horizontal="center" vertical="center"/>
    </xf>
    <xf numFmtId="0" fontId="2" fillId="0" borderId="0" xfId="0" applyFont="1" applyFill="1" applyAlignment="1">
      <alignment horizontal="justify" vertical="center" wrapText="1"/>
    </xf>
    <xf numFmtId="0" fontId="2" fillId="0" borderId="0" xfId="0" applyFont="1" applyFill="1" applyAlignment="1">
      <alignment horizontal="justify" vertical="center"/>
    </xf>
    <xf numFmtId="0" fontId="40" fillId="0" borderId="10" xfId="0" applyFont="1" applyBorder="1" applyAlignment="1">
      <alignment horizontal="justify" vertical="center"/>
    </xf>
    <xf numFmtId="0" fontId="40" fillId="0" borderId="11" xfId="0" applyFont="1" applyBorder="1" applyAlignment="1">
      <alignment horizontal="justify" vertical="center"/>
    </xf>
    <xf numFmtId="0" fontId="40" fillId="0" borderId="22" xfId="0" applyFont="1" applyBorder="1" applyAlignment="1">
      <alignment horizontal="justify" vertical="center"/>
    </xf>
    <xf numFmtId="0" fontId="17" fillId="0" borderId="0" xfId="0" applyFont="1" applyBorder="1" applyAlignment="1">
      <alignment horizontal="right"/>
    </xf>
    <xf numFmtId="0" fontId="2" fillId="6" borderId="0" xfId="0" applyFont="1" applyFill="1" applyAlignment="1">
      <alignment horizontal="justify" vertical="center" wrapText="1"/>
    </xf>
    <xf numFmtId="0" fontId="2" fillId="6" borderId="0" xfId="0" applyFont="1" applyFill="1" applyAlignment="1">
      <alignment horizontal="justify" vertical="center"/>
    </xf>
    <xf numFmtId="4" fontId="40" fillId="0" borderId="10" xfId="0" applyNumberFormat="1" applyFont="1" applyBorder="1" applyAlignment="1">
      <alignment horizontal="right" vertical="center"/>
    </xf>
    <xf numFmtId="4" fontId="40" fillId="0" borderId="11" xfId="0" applyNumberFormat="1" applyFont="1" applyBorder="1" applyAlignment="1">
      <alignment horizontal="right" vertical="center"/>
    </xf>
    <xf numFmtId="4" fontId="40" fillId="0" borderId="22" xfId="0" applyNumberFormat="1" applyFont="1" applyBorder="1" applyAlignment="1">
      <alignment horizontal="right" vertical="center"/>
    </xf>
    <xf numFmtId="165" fontId="3" fillId="2" borderId="1" xfId="0" applyNumberFormat="1" applyFont="1" applyFill="1" applyBorder="1" applyAlignment="1">
      <alignment horizontal="right"/>
    </xf>
    <xf numFmtId="0" fontId="3" fillId="2" borderId="1" xfId="0" applyFont="1" applyFill="1" applyBorder="1" applyAlignment="1"/>
    <xf numFmtId="164" fontId="59" fillId="0" borderId="39" xfId="0" applyNumberFormat="1" applyFont="1" applyBorder="1" applyAlignment="1">
      <alignment horizontal="left" vertical="center" wrapText="1"/>
    </xf>
    <xf numFmtId="0" fontId="2" fillId="0" borderId="53" xfId="2" applyFont="1" applyBorder="1" applyAlignment="1">
      <alignment horizontal="center" vertical="center" wrapText="1"/>
    </xf>
    <xf numFmtId="0" fontId="2" fillId="0" borderId="54" xfId="2" applyFont="1" applyBorder="1" applyAlignment="1">
      <alignment horizontal="center" vertical="center" wrapText="1"/>
    </xf>
    <xf numFmtId="4" fontId="2" fillId="0" borderId="0" xfId="0" applyNumberFormat="1" applyFont="1" applyFill="1" applyBorder="1" applyAlignment="1"/>
    <xf numFmtId="4" fontId="2" fillId="0" borderId="0" xfId="0" applyNumberFormat="1" applyFont="1" applyAlignment="1"/>
    <xf numFmtId="0" fontId="2" fillId="0" borderId="0" xfId="0" applyFont="1" applyBorder="1" applyAlignment="1">
      <alignment horizontal="right"/>
    </xf>
    <xf numFmtId="172" fontId="3" fillId="0" borderId="0" xfId="0" applyNumberFormat="1" applyFont="1" applyAlignment="1">
      <alignment horizontal="left"/>
    </xf>
    <xf numFmtId="0" fontId="17" fillId="0" borderId="0" xfId="0" applyFont="1" applyAlignment="1">
      <alignment horizontal="left"/>
    </xf>
    <xf numFmtId="170" fontId="2" fillId="0" borderId="38" xfId="0" applyNumberFormat="1" applyFont="1" applyBorder="1" applyAlignment="1">
      <alignment horizontal="center" vertical="center"/>
    </xf>
    <xf numFmtId="170" fontId="2" fillId="0" borderId="48" xfId="0" applyNumberFormat="1" applyFont="1" applyBorder="1" applyAlignment="1">
      <alignment horizontal="center" vertical="center"/>
    </xf>
    <xf numFmtId="0" fontId="2" fillId="0" borderId="48" xfId="0" applyFont="1" applyBorder="1" applyAlignment="1">
      <alignment vertical="center"/>
    </xf>
    <xf numFmtId="0" fontId="2" fillId="0" borderId="49" xfId="0" applyFont="1" applyBorder="1" applyAlignment="1">
      <alignment vertical="center"/>
    </xf>
    <xf numFmtId="170" fontId="2" fillId="0" borderId="50" xfId="0" applyNumberFormat="1" applyFont="1" applyBorder="1" applyAlignment="1">
      <alignment horizontal="center" vertical="center"/>
    </xf>
    <xf numFmtId="170" fontId="2" fillId="0" borderId="35" xfId="0" applyNumberFormat="1" applyFont="1" applyBorder="1" applyAlignment="1">
      <alignment horizontal="center" vertical="center"/>
    </xf>
    <xf numFmtId="0" fontId="2" fillId="0" borderId="35" xfId="0" applyFont="1" applyBorder="1" applyAlignment="1">
      <alignment vertical="center"/>
    </xf>
    <xf numFmtId="0" fontId="2" fillId="0" borderId="51" xfId="0" applyFont="1" applyBorder="1" applyAlignment="1">
      <alignment vertical="center"/>
    </xf>
    <xf numFmtId="0" fontId="40" fillId="0" borderId="11" xfId="0" applyFont="1" applyBorder="1" applyAlignment="1">
      <alignment horizontal="left" vertical="center"/>
    </xf>
    <xf numFmtId="0" fontId="40" fillId="0" borderId="22" xfId="0" applyFont="1" applyBorder="1" applyAlignment="1">
      <alignment horizontal="left" vertical="center"/>
    </xf>
    <xf numFmtId="4" fontId="2" fillId="0" borderId="0" xfId="0" applyNumberFormat="1" applyFont="1" applyFill="1" applyBorder="1" applyAlignment="1">
      <alignment horizontal="right"/>
    </xf>
    <xf numFmtId="0" fontId="11" fillId="0" borderId="19" xfId="0" applyFont="1" applyFill="1" applyBorder="1" applyAlignment="1">
      <alignment horizontal="center" vertical="center" wrapText="1"/>
    </xf>
    <xf numFmtId="0" fontId="11" fillId="0" borderId="20" xfId="0" applyFont="1" applyBorder="1" applyAlignment="1">
      <alignment horizontal="center" vertical="center"/>
    </xf>
    <xf numFmtId="0" fontId="11" fillId="0" borderId="19" xfId="0" applyFont="1" applyFill="1" applyBorder="1" applyAlignment="1">
      <alignment horizontal="center" vertical="center"/>
    </xf>
    <xf numFmtId="0" fontId="11" fillId="0" borderId="20" xfId="0" applyFont="1" applyFill="1" applyBorder="1" applyAlignment="1">
      <alignment horizontal="center" vertical="center"/>
    </xf>
    <xf numFmtId="0" fontId="11" fillId="0" borderId="21" xfId="0" applyFont="1" applyFill="1" applyBorder="1" applyAlignment="1">
      <alignment horizontal="center" vertical="center"/>
    </xf>
    <xf numFmtId="10" fontId="11" fillId="0" borderId="20" xfId="0" applyNumberFormat="1" applyFont="1" applyFill="1" applyBorder="1" applyAlignment="1">
      <alignment horizontal="center" vertical="center"/>
    </xf>
    <xf numFmtId="10" fontId="11" fillId="0" borderId="55" xfId="0" applyNumberFormat="1" applyFont="1" applyFill="1" applyBorder="1" applyAlignment="1">
      <alignment horizontal="center" vertical="center"/>
    </xf>
    <xf numFmtId="0" fontId="5" fillId="3" borderId="10" xfId="0" applyFont="1" applyFill="1" applyBorder="1" applyAlignment="1"/>
    <xf numFmtId="0" fontId="17" fillId="3" borderId="11" xfId="0" applyFont="1" applyFill="1" applyBorder="1" applyAlignment="1"/>
    <xf numFmtId="0" fontId="2" fillId="0" borderId="0" xfId="0" applyFont="1" applyBorder="1" applyAlignment="1">
      <alignment horizontal="justify" vertical="center" wrapText="1"/>
    </xf>
    <xf numFmtId="0" fontId="2" fillId="0" borderId="0" xfId="0" applyFont="1" applyBorder="1" applyAlignment="1">
      <alignment vertical="center"/>
    </xf>
    <xf numFmtId="170" fontId="2" fillId="0" borderId="56" xfId="0" applyNumberFormat="1" applyFont="1" applyBorder="1" applyAlignment="1">
      <alignment horizontal="center" vertical="center"/>
    </xf>
    <xf numFmtId="170" fontId="2" fillId="0" borderId="57" xfId="0" applyNumberFormat="1" applyFont="1" applyBorder="1" applyAlignment="1">
      <alignment horizontal="center" vertical="center"/>
    </xf>
    <xf numFmtId="0" fontId="2" fillId="0" borderId="57" xfId="0" applyFont="1" applyBorder="1" applyAlignment="1">
      <alignment vertical="center"/>
    </xf>
    <xf numFmtId="0" fontId="2" fillId="0" borderId="58" xfId="0" applyFont="1" applyBorder="1" applyAlignment="1">
      <alignment vertical="center"/>
    </xf>
    <xf numFmtId="172" fontId="17" fillId="0" borderId="0" xfId="0" applyNumberFormat="1" applyFont="1" applyAlignment="1">
      <alignment horizontal="left"/>
    </xf>
    <xf numFmtId="0" fontId="2" fillId="0" borderId="0" xfId="2" applyFont="1" applyAlignment="1">
      <alignment horizontal="justify"/>
    </xf>
    <xf numFmtId="0" fontId="2" fillId="0" borderId="0" xfId="2" applyFont="1" applyAlignment="1"/>
    <xf numFmtId="165" fontId="3" fillId="3" borderId="11" xfId="0" applyNumberFormat="1" applyFont="1" applyFill="1" applyBorder="1" applyAlignment="1">
      <alignment horizontal="justify"/>
    </xf>
    <xf numFmtId="0" fontId="17" fillId="3" borderId="11" xfId="0" applyFont="1" applyFill="1" applyBorder="1" applyAlignment="1">
      <alignment horizontal="justify"/>
    </xf>
    <xf numFmtId="4" fontId="5" fillId="0" borderId="0" xfId="0" applyNumberFormat="1" applyFont="1" applyFill="1" applyBorder="1" applyAlignment="1">
      <alignment horizontal="center"/>
    </xf>
    <xf numFmtId="0" fontId="11" fillId="0" borderId="20" xfId="0" applyFont="1" applyBorder="1" applyAlignment="1">
      <alignment vertical="center" wrapText="1"/>
    </xf>
    <xf numFmtId="0" fontId="11" fillId="0" borderId="20" xfId="0" applyFont="1" applyBorder="1" applyAlignment="1">
      <alignment vertical="center"/>
    </xf>
    <xf numFmtId="0" fontId="11" fillId="0" borderId="21" xfId="0" applyFont="1" applyBorder="1" applyAlignment="1">
      <alignment vertical="center"/>
    </xf>
    <xf numFmtId="4" fontId="46" fillId="8" borderId="0" xfId="0" applyNumberFormat="1" applyFont="1" applyFill="1" applyBorder="1" applyAlignment="1">
      <alignment vertical="center"/>
    </xf>
    <xf numFmtId="0" fontId="46" fillId="8" borderId="0" xfId="0" applyFont="1" applyFill="1" applyBorder="1" applyAlignment="1">
      <alignment vertical="center"/>
    </xf>
    <xf numFmtId="4" fontId="3" fillId="2" borderId="15" xfId="0" applyNumberFormat="1" applyFont="1" applyFill="1" applyBorder="1" applyAlignment="1">
      <alignment vertical="center"/>
    </xf>
    <xf numFmtId="0" fontId="3" fillId="2" borderId="15" xfId="0" applyFont="1" applyFill="1" applyBorder="1" applyAlignment="1">
      <alignment vertical="center"/>
    </xf>
    <xf numFmtId="0" fontId="2" fillId="2" borderId="15" xfId="0" applyFont="1" applyFill="1" applyBorder="1" applyAlignment="1">
      <alignment vertical="center"/>
    </xf>
    <xf numFmtId="0" fontId="57" fillId="0" borderId="0" xfId="0" applyFont="1" applyFill="1" applyAlignment="1">
      <alignment horizontal="justify" vertical="center" wrapText="1"/>
    </xf>
    <xf numFmtId="0" fontId="57" fillId="0" borderId="0" xfId="0" applyFont="1" applyFill="1" applyAlignment="1">
      <alignment horizontal="justify" vertical="center"/>
    </xf>
    <xf numFmtId="0" fontId="57" fillId="0" borderId="0" xfId="0" applyFont="1" applyFill="1" applyAlignment="1">
      <alignment vertical="center"/>
    </xf>
    <xf numFmtId="0" fontId="2" fillId="0" borderId="0" xfId="0" applyFont="1" applyFill="1" applyAlignment="1">
      <alignment vertical="center"/>
    </xf>
    <xf numFmtId="0" fontId="5" fillId="3" borderId="11" xfId="0" applyFont="1" applyFill="1" applyBorder="1" applyAlignment="1">
      <alignment horizontal="justify"/>
    </xf>
    <xf numFmtId="0" fontId="17" fillId="3" borderId="22" xfId="0" applyFont="1" applyFill="1" applyBorder="1" applyAlignment="1"/>
    <xf numFmtId="171" fontId="13" fillId="3" borderId="7" xfId="0" applyNumberFormat="1" applyFont="1" applyFill="1" applyBorder="1" applyAlignment="1">
      <alignment vertical="center"/>
    </xf>
    <xf numFmtId="0" fontId="11" fillId="0" borderId="0" xfId="0" applyFont="1" applyAlignment="1">
      <alignment horizontal="justify" vertical="top"/>
    </xf>
    <xf numFmtId="0" fontId="11" fillId="0" borderId="0" xfId="0" applyFont="1" applyAlignment="1">
      <alignment vertical="top"/>
    </xf>
    <xf numFmtId="10" fontId="2" fillId="0" borderId="2" xfId="4" applyNumberFormat="1" applyFont="1" applyBorder="1" applyAlignment="1">
      <alignment horizontal="center"/>
    </xf>
    <xf numFmtId="167" fontId="11" fillId="0" borderId="0" xfId="0" applyNumberFormat="1" applyFont="1" applyAlignment="1">
      <alignment horizontal="left"/>
    </xf>
    <xf numFmtId="0" fontId="32" fillId="0" borderId="0" xfId="0" applyFont="1" applyAlignment="1">
      <alignment horizontal="left"/>
    </xf>
    <xf numFmtId="0" fontId="3" fillId="0"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justify" vertical="center" wrapText="1"/>
    </xf>
    <xf numFmtId="4" fontId="2" fillId="6" borderId="0" xfId="0" applyNumberFormat="1" applyFont="1" applyFill="1" applyAlignment="1" applyProtection="1">
      <alignment horizontal="justify" vertical="center" wrapText="1"/>
      <protection locked="0"/>
    </xf>
    <xf numFmtId="0" fontId="39" fillId="0" borderId="0" xfId="0" applyFont="1" applyAlignment="1">
      <alignment horizontal="justify" wrapText="1"/>
    </xf>
    <xf numFmtId="0" fontId="5" fillId="0" borderId="0" xfId="0" applyFont="1" applyAlignment="1">
      <alignment horizontal="justify"/>
    </xf>
    <xf numFmtId="0" fontId="5" fillId="0" borderId="0" xfId="0" applyFont="1" applyAlignment="1"/>
    <xf numFmtId="0" fontId="2" fillId="0" borderId="0" xfId="0" applyFont="1" applyAlignment="1">
      <alignment horizontal="justify"/>
    </xf>
    <xf numFmtId="0" fontId="39" fillId="0" borderId="0" xfId="0" applyFont="1" applyFill="1" applyAlignment="1">
      <alignment horizontal="justify"/>
    </xf>
    <xf numFmtId="0" fontId="39" fillId="0" borderId="0" xfId="0" applyFont="1" applyFill="1" applyAlignment="1"/>
    <xf numFmtId="0" fontId="2" fillId="0" borderId="0" xfId="0" applyFont="1" applyAlignment="1">
      <alignment horizontal="justify" vertical="center"/>
    </xf>
    <xf numFmtId="0" fontId="0" fillId="0" borderId="0" xfId="0" applyFont="1" applyAlignment="1">
      <alignment vertical="center"/>
    </xf>
    <xf numFmtId="4" fontId="2" fillId="0" borderId="0" xfId="0" applyNumberFormat="1" applyFont="1" applyFill="1" applyAlignment="1">
      <alignment horizontal="right"/>
    </xf>
    <xf numFmtId="0" fontId="2" fillId="0" borderId="0" xfId="0" applyFont="1" applyFill="1" applyAlignment="1"/>
    <xf numFmtId="4" fontId="2" fillId="0" borderId="0" xfId="0" applyNumberFormat="1" applyFont="1" applyAlignment="1" applyProtection="1">
      <alignment horizontal="justify" vertical="center" wrapText="1"/>
      <protection locked="0"/>
    </xf>
    <xf numFmtId="0" fontId="5" fillId="0" borderId="0" xfId="0" applyFont="1" applyAlignment="1">
      <alignment horizontal="justify" vertical="center"/>
    </xf>
    <xf numFmtId="0" fontId="18" fillId="0" borderId="0" xfId="0" applyFont="1" applyAlignment="1">
      <alignment horizontal="left"/>
    </xf>
    <xf numFmtId="0" fontId="3" fillId="0" borderId="0" xfId="0" applyFont="1" applyFill="1" applyAlignment="1">
      <alignment horizontal="justify" wrapText="1"/>
    </xf>
    <xf numFmtId="0" fontId="2" fillId="0" borderId="0" xfId="0" applyFont="1" applyFill="1" applyAlignment="1">
      <alignment horizontal="justify"/>
    </xf>
    <xf numFmtId="4" fontId="3" fillId="0" borderId="14" xfId="0" applyNumberFormat="1" applyFont="1" applyFill="1" applyBorder="1" applyAlignment="1">
      <alignment horizontal="right"/>
    </xf>
    <xf numFmtId="174" fontId="13" fillId="0" borderId="0" xfId="0" applyNumberFormat="1" applyFont="1" applyFill="1" applyAlignment="1">
      <alignment horizontal="left"/>
    </xf>
    <xf numFmtId="174" fontId="32" fillId="0" borderId="0" xfId="0" applyNumberFormat="1" applyFont="1" applyAlignment="1"/>
    <xf numFmtId="0" fontId="25" fillId="0" borderId="0" xfId="0" applyFont="1" applyFill="1" applyBorder="1" applyAlignment="1">
      <alignment horizontal="justify" vertical="center"/>
    </xf>
    <xf numFmtId="0" fontId="25" fillId="0" borderId="0" xfId="0" applyFont="1" applyFill="1" applyBorder="1" applyAlignment="1">
      <alignment vertical="center"/>
    </xf>
    <xf numFmtId="0" fontId="18" fillId="0" borderId="0" xfId="0" applyFont="1" applyAlignment="1">
      <alignment horizontal="center"/>
    </xf>
    <xf numFmtId="0" fontId="19" fillId="0" borderId="0" xfId="0" applyFont="1" applyAlignment="1"/>
    <xf numFmtId="174" fontId="16" fillId="0" borderId="0" xfId="0" applyNumberFormat="1" applyFont="1" applyAlignment="1">
      <alignment horizontal="left"/>
    </xf>
    <xf numFmtId="174" fontId="17" fillId="0" borderId="0" xfId="0" applyNumberFormat="1" applyFont="1" applyAlignment="1">
      <alignment horizontal="left"/>
    </xf>
    <xf numFmtId="0" fontId="22" fillId="0" borderId="0" xfId="0" applyFont="1" applyAlignment="1">
      <alignment horizontal="center" vertical="top"/>
    </xf>
    <xf numFmtId="0" fontId="5" fillId="0" borderId="0" xfId="0" applyFont="1" applyAlignment="1">
      <alignment vertical="top"/>
    </xf>
    <xf numFmtId="0" fontId="7" fillId="0" borderId="36" xfId="0" applyFont="1" applyFill="1" applyBorder="1" applyAlignment="1">
      <alignment horizontal="center"/>
    </xf>
    <xf numFmtId="0" fontId="7" fillId="0" borderId="37" xfId="0" applyFont="1" applyFill="1" applyBorder="1" applyAlignment="1">
      <alignment horizontal="center"/>
    </xf>
    <xf numFmtId="0" fontId="7" fillId="0" borderId="59" xfId="0" applyFont="1" applyFill="1" applyBorder="1" applyAlignment="1">
      <alignment horizontal="center"/>
    </xf>
    <xf numFmtId="0" fontId="7" fillId="0" borderId="52" xfId="0" applyFont="1" applyFill="1" applyBorder="1" applyAlignment="1">
      <alignment horizontal="center"/>
    </xf>
    <xf numFmtId="0" fontId="7" fillId="0" borderId="0" xfId="0" applyFont="1" applyFill="1" applyBorder="1" applyAlignment="1">
      <alignment horizontal="center"/>
    </xf>
    <xf numFmtId="0" fontId="7" fillId="0" borderId="23" xfId="0" applyFont="1" applyFill="1" applyBorder="1" applyAlignment="1">
      <alignment horizontal="center"/>
    </xf>
    <xf numFmtId="0" fontId="3" fillId="0" borderId="0" xfId="0" applyFont="1" applyFill="1" applyAlignment="1">
      <alignment horizontal="justify" vertical="center" wrapText="1"/>
    </xf>
    <xf numFmtId="0" fontId="13" fillId="0" borderId="0" xfId="0" applyFont="1" applyFill="1" applyBorder="1" applyAlignment="1">
      <alignment horizontal="justify" vertical="center" wrapText="1"/>
    </xf>
    <xf numFmtId="171" fontId="11" fillId="0" borderId="24" xfId="0" applyNumberFormat="1" applyFont="1" applyFill="1" applyBorder="1" applyAlignment="1"/>
    <xf numFmtId="0" fontId="32" fillId="0" borderId="24" xfId="0" applyFont="1" applyFill="1" applyBorder="1" applyAlignment="1"/>
    <xf numFmtId="2" fontId="5" fillId="0" borderId="0" xfId="4" applyNumberFormat="1" applyFont="1" applyFill="1" applyBorder="1" applyAlignment="1"/>
    <xf numFmtId="2" fontId="17" fillId="0" borderId="0" xfId="4" applyNumberFormat="1" applyFont="1" applyBorder="1" applyAlignment="1"/>
    <xf numFmtId="0" fontId="40" fillId="0" borderId="10" xfId="0" applyFont="1" applyBorder="1" applyAlignment="1">
      <alignment horizontal="right" vertical="center"/>
    </xf>
    <xf numFmtId="0" fontId="40" fillId="0" borderId="11" xfId="0" applyFont="1" applyBorder="1" applyAlignment="1">
      <alignment horizontal="right" vertical="center"/>
    </xf>
    <xf numFmtId="0" fontId="60" fillId="0" borderId="0" xfId="0" applyFont="1" applyAlignment="1">
      <alignment vertical="top"/>
    </xf>
    <xf numFmtId="174" fontId="17" fillId="0" borderId="0" xfId="0" applyNumberFormat="1" applyFont="1" applyAlignment="1"/>
    <xf numFmtId="0" fontId="5" fillId="0" borderId="0" xfId="0" applyFont="1" applyAlignment="1">
      <alignment horizontal="center"/>
    </xf>
    <xf numFmtId="2" fontId="11" fillId="0" borderId="0" xfId="0" applyNumberFormat="1" applyFont="1" applyAlignment="1">
      <alignment horizontal="justify" wrapText="1"/>
    </xf>
    <xf numFmtId="172" fontId="13" fillId="0" borderId="0" xfId="0" applyNumberFormat="1" applyFont="1" applyAlignment="1">
      <alignment horizontal="left"/>
    </xf>
    <xf numFmtId="0" fontId="11" fillId="0" borderId="0" xfId="0" applyFont="1" applyAlignment="1">
      <alignment horizontal="left"/>
    </xf>
    <xf numFmtId="0" fontId="5" fillId="0" borderId="0" xfId="0" quotePrefix="1" applyFont="1" applyFill="1" applyAlignment="1">
      <alignment horizontal="center" vertical="center"/>
    </xf>
    <xf numFmtId="0" fontId="17" fillId="0" borderId="0" xfId="0" applyFont="1" applyAlignment="1">
      <alignment horizontal="center" vertical="center"/>
    </xf>
    <xf numFmtId="9" fontId="5" fillId="6" borderId="0" xfId="4" applyFont="1" applyFill="1" applyBorder="1" applyAlignment="1"/>
    <xf numFmtId="9" fontId="17" fillId="6" borderId="0" xfId="4" applyFont="1" applyFill="1" applyBorder="1" applyAlignment="1"/>
    <xf numFmtId="4" fontId="5" fillId="0" borderId="0" xfId="0" applyNumberFormat="1" applyFont="1" applyFill="1" applyBorder="1" applyAlignment="1">
      <alignment horizontal="right"/>
    </xf>
    <xf numFmtId="9" fontId="11" fillId="6" borderId="0" xfId="4" applyFont="1" applyFill="1" applyBorder="1" applyAlignment="1">
      <alignment horizontal="center"/>
    </xf>
    <xf numFmtId="0" fontId="11" fillId="6" borderId="0" xfId="0" applyFont="1" applyFill="1" applyBorder="1" applyAlignment="1"/>
    <xf numFmtId="171" fontId="11" fillId="6" borderId="0" xfId="0" applyNumberFormat="1" applyFont="1" applyFill="1" applyBorder="1" applyAlignment="1"/>
    <xf numFmtId="0" fontId="42" fillId="0" borderId="0" xfId="0" applyFont="1" applyAlignment="1"/>
    <xf numFmtId="0" fontId="13" fillId="0" borderId="60" xfId="0" applyFont="1" applyBorder="1" applyAlignment="1">
      <alignment horizontal="justify" vertical="center"/>
    </xf>
    <xf numFmtId="0" fontId="11" fillId="0" borderId="60" xfId="0" applyFont="1" applyBorder="1" applyAlignment="1"/>
    <xf numFmtId="0" fontId="27" fillId="0" borderId="0" xfId="0" applyFont="1" applyAlignment="1">
      <alignment horizontal="center"/>
    </xf>
    <xf numFmtId="0" fontId="28" fillId="0" borderId="0" xfId="0" applyFont="1" applyAlignment="1">
      <alignment horizontal="center"/>
    </xf>
    <xf numFmtId="0" fontId="28" fillId="0" borderId="0" xfId="0" applyFont="1" applyAlignment="1"/>
    <xf numFmtId="172" fontId="11" fillId="0" borderId="0" xfId="0" applyNumberFormat="1" applyFont="1" applyAlignment="1"/>
    <xf numFmtId="0" fontId="11" fillId="0" borderId="0" xfId="0" applyFont="1" applyAlignment="1"/>
    <xf numFmtId="0" fontId="11" fillId="0" borderId="0" xfId="0" applyFont="1" applyAlignment="1">
      <alignment horizontal="right"/>
    </xf>
    <xf numFmtId="10" fontId="11" fillId="0" borderId="0" xfId="4" applyNumberFormat="1" applyFont="1" applyAlignment="1"/>
    <xf numFmtId="0" fontId="32" fillId="0" borderId="0" xfId="0" applyFont="1" applyAlignment="1"/>
    <xf numFmtId="167" fontId="5" fillId="0" borderId="0" xfId="0" applyNumberFormat="1" applyFont="1" applyBorder="1" applyAlignment="1">
      <alignment horizontal="left"/>
    </xf>
    <xf numFmtId="0" fontId="5" fillId="0" borderId="0" xfId="0" applyFont="1" applyBorder="1" applyAlignment="1">
      <alignment horizontal="left"/>
    </xf>
    <xf numFmtId="0" fontId="13" fillId="0" borderId="61" xfId="0" applyFont="1" applyBorder="1" applyAlignment="1">
      <alignment horizontal="justify" vertical="center"/>
    </xf>
    <xf numFmtId="0" fontId="11" fillId="0" borderId="61" xfId="0" applyFont="1" applyBorder="1" applyAlignment="1"/>
    <xf numFmtId="0" fontId="13" fillId="3" borderId="7" xfId="0" applyFont="1" applyFill="1" applyBorder="1" applyAlignment="1">
      <alignment horizontal="right" vertical="center"/>
    </xf>
    <xf numFmtId="0" fontId="32" fillId="3" borderId="7" xfId="0" applyFont="1" applyFill="1" applyBorder="1" applyAlignment="1">
      <alignment horizontal="right" vertical="center"/>
    </xf>
    <xf numFmtId="165" fontId="13" fillId="3" borderId="7" xfId="0" applyNumberFormat="1" applyFont="1" applyFill="1" applyBorder="1" applyAlignment="1">
      <alignment vertical="center"/>
    </xf>
    <xf numFmtId="0" fontId="11" fillId="3" borderId="7" xfId="0" applyFont="1" applyFill="1" applyBorder="1" applyAlignment="1">
      <alignment vertical="center"/>
    </xf>
    <xf numFmtId="171" fontId="11" fillId="0" borderId="0" xfId="0" applyNumberFormat="1" applyFont="1" applyBorder="1" applyAlignment="1"/>
    <xf numFmtId="0" fontId="11" fillId="0" borderId="0" xfId="0" applyFont="1" applyBorder="1" applyAlignment="1"/>
    <xf numFmtId="165" fontId="11" fillId="0" borderId="0" xfId="0" applyNumberFormat="1" applyFont="1" applyBorder="1" applyAlignment="1"/>
    <xf numFmtId="9" fontId="11" fillId="0" borderId="0" xfId="4" applyFont="1" applyBorder="1" applyAlignment="1">
      <alignment horizontal="center"/>
    </xf>
    <xf numFmtId="165" fontId="11" fillId="6" borderId="24" xfId="0" applyNumberFormat="1" applyFont="1" applyFill="1" applyBorder="1" applyAlignment="1"/>
    <xf numFmtId="0" fontId="11" fillId="6" borderId="24" xfId="0" applyFont="1" applyFill="1" applyBorder="1" applyAlignment="1"/>
    <xf numFmtId="0" fontId="13" fillId="3" borderId="4" xfId="0" applyFont="1" applyFill="1" applyBorder="1" applyAlignment="1">
      <alignment horizontal="right" vertical="center"/>
    </xf>
    <xf numFmtId="10" fontId="13" fillId="0" borderId="9" xfId="4" applyNumberFormat="1" applyFont="1" applyBorder="1" applyAlignment="1"/>
    <xf numFmtId="0" fontId="32" fillId="0" borderId="9" xfId="0" applyFont="1" applyBorder="1" applyAlignment="1"/>
    <xf numFmtId="10" fontId="11" fillId="0" borderId="0" xfId="4" applyNumberFormat="1" applyFont="1" applyBorder="1" applyAlignment="1"/>
    <xf numFmtId="0" fontId="5" fillId="0" borderId="0" xfId="0" applyFont="1" applyFill="1" applyAlignment="1">
      <alignment horizontal="justify" vertical="top" wrapText="1"/>
    </xf>
    <xf numFmtId="0" fontId="2" fillId="0" borderId="0" xfId="0" applyFont="1" applyAlignment="1">
      <alignment horizontal="justify" wrapText="1"/>
    </xf>
    <xf numFmtId="0" fontId="2" fillId="0" borderId="62" xfId="0" applyFont="1" applyFill="1" applyBorder="1" applyAlignment="1"/>
    <xf numFmtId="165" fontId="11" fillId="6" borderId="0" xfId="0" applyNumberFormat="1" applyFont="1" applyFill="1" applyBorder="1" applyAlignment="1"/>
    <xf numFmtId="0" fontId="11" fillId="6" borderId="0" xfId="0" applyFont="1" applyFill="1" applyAlignment="1">
      <alignment horizontal="right"/>
    </xf>
    <xf numFmtId="171" fontId="11" fillId="0" borderId="0" xfId="0" applyNumberFormat="1" applyFont="1" applyFill="1" applyAlignment="1"/>
    <xf numFmtId="0" fontId="32" fillId="0" borderId="0" xfId="0" applyFont="1" applyFill="1" applyAlignment="1"/>
    <xf numFmtId="4" fontId="11" fillId="0" borderId="0" xfId="0" applyNumberFormat="1" applyFont="1" applyFill="1" applyAlignment="1"/>
    <xf numFmtId="4" fontId="32" fillId="0" borderId="0" xfId="0" applyNumberFormat="1" applyFont="1" applyFill="1" applyAlignment="1"/>
    <xf numFmtId="171" fontId="11" fillId="0" borderId="0" xfId="0" applyNumberFormat="1" applyFont="1" applyFill="1" applyBorder="1" applyAlignment="1"/>
    <xf numFmtId="0" fontId="32" fillId="0" borderId="0" xfId="0" applyFont="1" applyFill="1" applyBorder="1" applyAlignment="1"/>
    <xf numFmtId="165" fontId="13" fillId="3" borderId="4" xfId="0" applyNumberFormat="1" applyFont="1" applyFill="1" applyBorder="1" applyAlignment="1">
      <alignment vertical="center"/>
    </xf>
    <xf numFmtId="0" fontId="11" fillId="3" borderId="4" xfId="0" applyFont="1" applyFill="1" applyBorder="1" applyAlignment="1">
      <alignment vertical="center"/>
    </xf>
    <xf numFmtId="170" fontId="20" fillId="3" borderId="11" xfId="0" applyNumberFormat="1" applyFont="1" applyFill="1" applyBorder="1" applyAlignment="1">
      <alignment vertical="center"/>
    </xf>
    <xf numFmtId="0" fontId="40" fillId="0" borderId="11" xfId="0" applyFont="1" applyBorder="1" applyAlignment="1">
      <alignment vertical="center"/>
    </xf>
    <xf numFmtId="0" fontId="40" fillId="0" borderId="22" xfId="0" applyFont="1" applyBorder="1" applyAlignment="1">
      <alignment vertical="center"/>
    </xf>
    <xf numFmtId="4" fontId="0" fillId="6" borderId="0" xfId="0" applyNumberFormat="1" applyFont="1" applyFill="1" applyAlignment="1" applyProtection="1">
      <alignment horizontal="justify" vertical="center" wrapText="1"/>
      <protection locked="0"/>
    </xf>
    <xf numFmtId="171" fontId="13" fillId="7" borderId="128" xfId="0" applyNumberFormat="1" applyFont="1" applyFill="1" applyBorder="1" applyAlignment="1">
      <alignment vertical="center"/>
    </xf>
    <xf numFmtId="0" fontId="11" fillId="0" borderId="0" xfId="0" applyFont="1" applyFill="1" applyAlignment="1">
      <alignment horizontal="justify" vertical="top"/>
    </xf>
    <xf numFmtId="49" fontId="11" fillId="0" borderId="0" xfId="0" applyNumberFormat="1" applyFont="1" applyFill="1" applyBorder="1" applyAlignment="1">
      <alignment horizontal="center"/>
    </xf>
    <xf numFmtId="0" fontId="11" fillId="0" borderId="0" xfId="0" applyFont="1" applyFill="1" applyBorder="1" applyAlignment="1">
      <alignment horizontal="justify" vertical="center" wrapText="1"/>
    </xf>
    <xf numFmtId="171" fontId="13" fillId="3" borderId="4" xfId="0" applyNumberFormat="1" applyFont="1" applyFill="1" applyBorder="1" applyAlignment="1">
      <alignment vertical="center"/>
    </xf>
    <xf numFmtId="0" fontId="32" fillId="3" borderId="4" xfId="0" applyFont="1" applyFill="1" applyBorder="1" applyAlignment="1">
      <alignment vertical="center"/>
    </xf>
    <xf numFmtId="0" fontId="8" fillId="0" borderId="52" xfId="0" applyFont="1" applyBorder="1" applyAlignment="1"/>
    <xf numFmtId="0" fontId="17" fillId="0" borderId="0" xfId="0" applyFont="1" applyAlignment="1"/>
    <xf numFmtId="0" fontId="17" fillId="0" borderId="23" xfId="0" applyFont="1" applyBorder="1" applyAlignment="1"/>
    <xf numFmtId="0" fontId="17" fillId="0" borderId="63" xfId="0" applyFont="1" applyBorder="1" applyAlignment="1"/>
    <xf numFmtId="0" fontId="17" fillId="0" borderId="64" xfId="0" applyFont="1" applyBorder="1" applyAlignment="1"/>
    <xf numFmtId="0" fontId="17" fillId="0" borderId="65" xfId="0" applyFont="1" applyBorder="1" applyAlignment="1"/>
    <xf numFmtId="0" fontId="17" fillId="0" borderId="52" xfId="0" applyFont="1" applyFill="1" applyBorder="1" applyAlignment="1"/>
    <xf numFmtId="0" fontId="17" fillId="0" borderId="0" xfId="0" applyFont="1" applyFill="1" applyAlignment="1"/>
    <xf numFmtId="0" fontId="17" fillId="0" borderId="23" xfId="0" applyFont="1" applyFill="1" applyBorder="1" applyAlignment="1"/>
    <xf numFmtId="0" fontId="8" fillId="0" borderId="52" xfId="0" applyFont="1" applyFill="1" applyBorder="1" applyAlignment="1"/>
    <xf numFmtId="0" fontId="17" fillId="0" borderId="52" xfId="0" applyFont="1" applyBorder="1" applyAlignment="1"/>
    <xf numFmtId="2" fontId="13" fillId="0" borderId="24" xfId="0" applyNumberFormat="1" applyFont="1" applyFill="1" applyBorder="1" applyAlignment="1"/>
    <xf numFmtId="167" fontId="2" fillId="0" borderId="0" xfId="0" applyNumberFormat="1" applyFont="1" applyFill="1" applyAlignment="1">
      <alignment horizontal="left" vertical="center"/>
    </xf>
    <xf numFmtId="0" fontId="17" fillId="0" borderId="0" xfId="0" applyFont="1" applyFill="1" applyAlignment="1">
      <alignment vertical="center"/>
    </xf>
    <xf numFmtId="10" fontId="57" fillId="0" borderId="2" xfId="4" applyNumberFormat="1" applyFont="1" applyBorder="1" applyAlignment="1">
      <alignment horizontal="center" vertical="center"/>
    </xf>
    <xf numFmtId="4" fontId="56" fillId="4" borderId="15" xfId="0" applyNumberFormat="1" applyFont="1" applyFill="1" applyBorder="1" applyAlignment="1">
      <alignment vertical="center"/>
    </xf>
    <xf numFmtId="0" fontId="56" fillId="4" borderId="15" xfId="0" applyFont="1" applyFill="1" applyBorder="1" applyAlignment="1">
      <alignment vertical="center"/>
    </xf>
    <xf numFmtId="0" fontId="57" fillId="4" borderId="15" xfId="0" applyFont="1" applyFill="1" applyBorder="1" applyAlignment="1">
      <alignment vertical="center"/>
    </xf>
    <xf numFmtId="0" fontId="2" fillId="0" borderId="66" xfId="2" applyBorder="1" applyAlignment="1">
      <alignment horizontal="center" vertical="top" wrapText="1"/>
    </xf>
    <xf numFmtId="0" fontId="2" fillId="0" borderId="67" xfId="2" applyBorder="1" applyAlignment="1">
      <alignment horizontal="center" vertical="top" wrapText="1"/>
    </xf>
    <xf numFmtId="0" fontId="2" fillId="0" borderId="68" xfId="2" applyBorder="1" applyAlignment="1">
      <alignment horizontal="center" vertical="top" wrapText="1"/>
    </xf>
    <xf numFmtId="0" fontId="2" fillId="0" borderId="69" xfId="2" applyBorder="1" applyAlignment="1">
      <alignment horizontal="center" vertical="top" wrapText="1"/>
    </xf>
    <xf numFmtId="0" fontId="2" fillId="0" borderId="0" xfId="2" applyAlignment="1">
      <alignment horizontal="center" vertical="top" wrapText="1"/>
    </xf>
    <xf numFmtId="0" fontId="2" fillId="0" borderId="70" xfId="2" applyBorder="1" applyAlignment="1">
      <alignment horizontal="center" vertical="top" wrapText="1"/>
    </xf>
    <xf numFmtId="0" fontId="2" fillId="0" borderId="71" xfId="2" applyBorder="1" applyAlignment="1">
      <alignment horizontal="center" vertical="top" wrapText="1"/>
    </xf>
    <xf numFmtId="0" fontId="2" fillId="0" borderId="24" xfId="2" applyBorder="1" applyAlignment="1">
      <alignment horizontal="center" vertical="top" wrapText="1"/>
    </xf>
    <xf numFmtId="0" fontId="2" fillId="0" borderId="72" xfId="2" applyBorder="1" applyAlignment="1">
      <alignment horizontal="center" vertical="top" wrapText="1"/>
    </xf>
    <xf numFmtId="0" fontId="22" fillId="0" borderId="0" xfId="0" applyFont="1" applyAlignment="1">
      <alignment horizontal="justify" wrapText="1"/>
    </xf>
    <xf numFmtId="9" fontId="24" fillId="3" borderId="7" xfId="0" applyNumberFormat="1" applyFont="1" applyFill="1" applyBorder="1" applyAlignment="1">
      <alignment horizontal="center" vertical="center"/>
    </xf>
    <xf numFmtId="0" fontId="25" fillId="3" borderId="7" xfId="0" applyFont="1" applyFill="1" applyBorder="1" applyAlignment="1">
      <alignment horizontal="center" vertical="center"/>
    </xf>
    <xf numFmtId="165" fontId="11" fillId="0" borderId="0" xfId="0" applyNumberFormat="1" applyFont="1" applyAlignment="1"/>
    <xf numFmtId="2" fontId="13" fillId="0" borderId="0" xfId="0" applyNumberFormat="1" applyFont="1" applyBorder="1" applyAlignment="1">
      <alignment horizontal="center"/>
    </xf>
    <xf numFmtId="165" fontId="11" fillId="0" borderId="24" xfId="0" applyNumberFormat="1" applyFont="1" applyBorder="1" applyAlignment="1"/>
    <xf numFmtId="0" fontId="11" fillId="0" borderId="24" xfId="0" applyFont="1" applyBorder="1" applyAlignment="1"/>
    <xf numFmtId="0" fontId="20" fillId="3" borderId="10" xfId="0" applyFont="1" applyFill="1" applyBorder="1" applyAlignment="1">
      <alignment horizontal="center" vertical="center"/>
    </xf>
    <xf numFmtId="1" fontId="24" fillId="5" borderId="10" xfId="0" applyNumberFormat="1" applyFont="1" applyFill="1" applyBorder="1" applyAlignment="1">
      <alignment horizontal="center" vertical="center" textRotation="90" wrapText="1"/>
    </xf>
    <xf numFmtId="1" fontId="24" fillId="5" borderId="11" xfId="0" applyNumberFormat="1" applyFont="1" applyFill="1" applyBorder="1" applyAlignment="1">
      <alignment horizontal="center" vertical="center" textRotation="90" wrapText="1"/>
    </xf>
    <xf numFmtId="1" fontId="24" fillId="5" borderId="22" xfId="0" applyNumberFormat="1" applyFont="1" applyFill="1" applyBorder="1" applyAlignment="1">
      <alignment horizontal="center" vertical="center" textRotation="90" wrapText="1"/>
    </xf>
    <xf numFmtId="1" fontId="24" fillId="5" borderId="39" xfId="0" applyNumberFormat="1" applyFont="1" applyFill="1" applyBorder="1" applyAlignment="1">
      <alignment horizontal="center" vertical="center" wrapText="1"/>
    </xf>
    <xf numFmtId="1" fontId="24" fillId="5" borderId="39" xfId="0" applyNumberFormat="1" applyFont="1" applyFill="1" applyBorder="1" applyAlignment="1">
      <alignment horizontal="center" vertical="center"/>
    </xf>
    <xf numFmtId="0" fontId="2" fillId="5" borderId="39" xfId="0" applyFont="1" applyFill="1" applyBorder="1" applyAlignment="1">
      <alignment vertical="center"/>
    </xf>
    <xf numFmtId="0" fontId="2" fillId="5" borderId="39" xfId="0" applyFont="1" applyFill="1" applyBorder="1" applyAlignment="1">
      <alignment horizontal="center" vertical="center"/>
    </xf>
    <xf numFmtId="0" fontId="20" fillId="3" borderId="10" xfId="0" applyFont="1" applyFill="1" applyBorder="1" applyAlignment="1">
      <alignment horizontal="center" vertical="center" wrapText="1"/>
    </xf>
    <xf numFmtId="0" fontId="11" fillId="0" borderId="10"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22"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0" xfId="0" applyFont="1" applyFill="1" applyBorder="1" applyAlignment="1">
      <alignment horizontal="center" vertical="center" wrapText="1"/>
    </xf>
    <xf numFmtId="0" fontId="13" fillId="3" borderId="22" xfId="0" applyFont="1" applyFill="1" applyBorder="1" applyAlignment="1">
      <alignment horizontal="center" vertical="center"/>
    </xf>
    <xf numFmtId="0" fontId="13" fillId="3" borderId="11" xfId="0" applyFont="1" applyFill="1" applyBorder="1" applyAlignment="1">
      <alignment horizontal="center" vertical="center" wrapText="1"/>
    </xf>
    <xf numFmtId="0" fontId="13" fillId="3" borderId="47" xfId="0" applyFont="1" applyFill="1" applyBorder="1" applyAlignment="1">
      <alignment horizontal="center" vertical="center"/>
    </xf>
    <xf numFmtId="0" fontId="2" fillId="0" borderId="0" xfId="0" applyFont="1" applyAlignment="1">
      <alignment horizontal="left"/>
    </xf>
    <xf numFmtId="0" fontId="2" fillId="0" borderId="73" xfId="0" applyFont="1" applyBorder="1" applyAlignment="1">
      <alignment horizontal="justify" vertical="center" wrapText="1"/>
    </xf>
    <xf numFmtId="0" fontId="2" fillId="0" borderId="34" xfId="0" applyFont="1" applyBorder="1" applyAlignment="1">
      <alignment horizontal="justify" vertical="center" wrapText="1"/>
    </xf>
    <xf numFmtId="0" fontId="2" fillId="0" borderId="56" xfId="0" applyFont="1" applyBorder="1" applyAlignment="1">
      <alignment horizontal="justify" vertical="center" wrapText="1"/>
    </xf>
    <xf numFmtId="0" fontId="47" fillId="0" borderId="36" xfId="0" applyFont="1" applyBorder="1" applyAlignment="1">
      <alignment horizontal="left" vertical="center" wrapText="1"/>
    </xf>
    <xf numFmtId="0" fontId="47" fillId="0" borderId="37" xfId="0" applyFont="1" applyBorder="1" applyAlignment="1">
      <alignment horizontal="left" vertical="center" wrapText="1"/>
    </xf>
    <xf numFmtId="0" fontId="47" fillId="0" borderId="38" xfId="0" applyFont="1" applyBorder="1" applyAlignment="1">
      <alignment horizontal="left" vertical="center" wrapText="1"/>
    </xf>
    <xf numFmtId="0" fontId="3" fillId="0" borderId="0" xfId="0" applyFont="1" applyAlignment="1"/>
    <xf numFmtId="172" fontId="3" fillId="0" borderId="0" xfId="0" applyNumberFormat="1" applyFont="1" applyFill="1" applyAlignment="1">
      <alignment horizontal="left"/>
    </xf>
    <xf numFmtId="0" fontId="5" fillId="0" borderId="0" xfId="0" applyFont="1" applyFill="1" applyAlignment="1">
      <alignment horizontal="left"/>
    </xf>
    <xf numFmtId="164" fontId="25" fillId="0" borderId="39" xfId="0" applyNumberFormat="1" applyFont="1" applyBorder="1" applyAlignment="1">
      <alignment vertical="center"/>
    </xf>
    <xf numFmtId="0" fontId="11" fillId="0" borderId="10" xfId="0" applyFont="1" applyFill="1" applyBorder="1" applyAlignment="1">
      <alignment horizontal="center" vertical="center" wrapText="1"/>
    </xf>
    <xf numFmtId="0" fontId="11" fillId="0" borderId="11" xfId="0" applyFont="1" applyBorder="1" applyAlignment="1">
      <alignment horizontal="center" vertical="center"/>
    </xf>
    <xf numFmtId="170" fontId="2" fillId="0" borderId="74" xfId="0" applyNumberFormat="1" applyFont="1" applyBorder="1" applyAlignment="1">
      <alignment horizontal="center" vertical="center"/>
    </xf>
    <xf numFmtId="0" fontId="2" fillId="0" borderId="74" xfId="0" applyFont="1" applyBorder="1" applyAlignment="1">
      <alignment vertical="center"/>
    </xf>
    <xf numFmtId="170" fontId="2" fillId="0" borderId="75" xfId="0" applyNumberFormat="1" applyFont="1" applyBorder="1" applyAlignment="1">
      <alignment horizontal="center" vertical="center"/>
    </xf>
    <xf numFmtId="170" fontId="2" fillId="0" borderId="76" xfId="0" applyNumberFormat="1" applyFont="1" applyBorder="1" applyAlignment="1">
      <alignment horizontal="center" vertical="center"/>
    </xf>
    <xf numFmtId="0" fontId="2" fillId="0" borderId="76" xfId="0" applyFont="1" applyBorder="1" applyAlignment="1">
      <alignment vertical="center"/>
    </xf>
    <xf numFmtId="0" fontId="2" fillId="0" borderId="77" xfId="0" applyFont="1" applyBorder="1" applyAlignment="1">
      <alignment vertical="center"/>
    </xf>
    <xf numFmtId="170" fontId="3" fillId="2" borderId="76" xfId="0" applyNumberFormat="1" applyFont="1" applyFill="1" applyBorder="1" applyAlignment="1">
      <alignment vertical="center"/>
    </xf>
    <xf numFmtId="170" fontId="2" fillId="2" borderId="76" xfId="0" applyNumberFormat="1" applyFont="1" applyFill="1" applyBorder="1" applyAlignment="1">
      <alignment vertical="center"/>
    </xf>
    <xf numFmtId="0" fontId="2" fillId="2" borderId="76" xfId="0" applyFont="1" applyFill="1" applyBorder="1" applyAlignment="1">
      <alignment vertical="center"/>
    </xf>
    <xf numFmtId="0" fontId="16" fillId="2" borderId="10" xfId="0" applyFont="1" applyFill="1" applyBorder="1" applyAlignment="1">
      <alignment horizontal="center"/>
    </xf>
    <xf numFmtId="0" fontId="2" fillId="2" borderId="11" xfId="0" applyFont="1" applyFill="1" applyBorder="1" applyAlignment="1"/>
    <xf numFmtId="0" fontId="2" fillId="2" borderId="22" xfId="0" applyFont="1" applyFill="1" applyBorder="1" applyAlignment="1"/>
    <xf numFmtId="164" fontId="25" fillId="0" borderId="36" xfId="0" applyNumberFormat="1" applyFont="1" applyBorder="1" applyAlignment="1">
      <alignment vertical="center"/>
    </xf>
    <xf numFmtId="164" fontId="25" fillId="0" borderId="37" xfId="0" applyNumberFormat="1" applyFont="1" applyBorder="1" applyAlignment="1">
      <alignment vertical="center"/>
    </xf>
    <xf numFmtId="164" fontId="25" fillId="0" borderId="38" xfId="0" applyNumberFormat="1" applyFont="1" applyBorder="1" applyAlignment="1">
      <alignment vertical="center"/>
    </xf>
    <xf numFmtId="10" fontId="11" fillId="0" borderId="11" xfId="0" applyNumberFormat="1" applyFont="1" applyFill="1" applyBorder="1" applyAlignment="1">
      <alignment horizontal="center" vertical="center"/>
    </xf>
    <xf numFmtId="10" fontId="11" fillId="0" borderId="47" xfId="0" applyNumberFormat="1" applyFont="1" applyFill="1" applyBorder="1" applyAlignment="1">
      <alignment horizontal="center" vertical="center"/>
    </xf>
    <xf numFmtId="1" fontId="24" fillId="2" borderId="10" xfId="0" applyNumberFormat="1" applyFont="1" applyFill="1" applyBorder="1" applyAlignment="1">
      <alignment horizontal="center" vertical="center"/>
    </xf>
    <xf numFmtId="1" fontId="24" fillId="2" borderId="11" xfId="0" applyNumberFormat="1" applyFont="1" applyFill="1" applyBorder="1" applyAlignment="1">
      <alignment horizontal="center" vertical="center"/>
    </xf>
    <xf numFmtId="170" fontId="3" fillId="2" borderId="75" xfId="0" applyNumberFormat="1" applyFont="1" applyFill="1" applyBorder="1" applyAlignment="1">
      <alignment vertical="center"/>
    </xf>
    <xf numFmtId="0" fontId="2" fillId="2" borderId="77" xfId="0" applyFont="1" applyFill="1" applyBorder="1" applyAlignment="1">
      <alignment vertical="center"/>
    </xf>
    <xf numFmtId="0" fontId="11" fillId="0" borderId="11" xfId="0" applyFont="1" applyBorder="1" applyAlignment="1">
      <alignment vertical="center" wrapText="1"/>
    </xf>
    <xf numFmtId="0" fontId="11" fillId="0" borderId="11" xfId="0" applyFont="1" applyBorder="1" applyAlignment="1">
      <alignment vertical="center"/>
    </xf>
    <xf numFmtId="0" fontId="11" fillId="0" borderId="22" xfId="0" applyFont="1" applyBorder="1" applyAlignment="1">
      <alignment vertical="center"/>
    </xf>
    <xf numFmtId="10" fontId="3" fillId="0" borderId="0" xfId="0" applyNumberFormat="1" applyFont="1" applyAlignment="1">
      <alignment horizontal="center"/>
    </xf>
    <xf numFmtId="164" fontId="25" fillId="0" borderId="39" xfId="0" applyNumberFormat="1" applyFont="1" applyBorder="1" applyAlignment="1">
      <alignment horizontal="right" vertical="center"/>
    </xf>
    <xf numFmtId="164" fontId="25" fillId="0" borderId="48" xfId="0" applyNumberFormat="1" applyFont="1" applyBorder="1" applyAlignment="1">
      <alignment horizontal="right" vertical="center"/>
    </xf>
    <xf numFmtId="164" fontId="11" fillId="0" borderId="48" xfId="0" applyNumberFormat="1" applyFont="1" applyBorder="1" applyAlignment="1">
      <alignment horizontal="right" vertical="center"/>
    </xf>
    <xf numFmtId="1" fontId="25" fillId="0" borderId="48" xfId="1" applyNumberFormat="1" applyFont="1" applyFill="1" applyBorder="1" applyAlignment="1">
      <alignment horizontal="right" vertical="center" wrapText="1"/>
    </xf>
    <xf numFmtId="1" fontId="25" fillId="0" borderId="48" xfId="1" applyNumberFormat="1" applyFont="1" applyFill="1" applyBorder="1" applyAlignment="1">
      <alignment horizontal="right" vertical="center"/>
    </xf>
    <xf numFmtId="1" fontId="11" fillId="0" borderId="48" xfId="1" applyNumberFormat="1" applyFont="1" applyFill="1" applyBorder="1" applyAlignment="1">
      <alignment horizontal="right" vertical="center"/>
    </xf>
    <xf numFmtId="1" fontId="25" fillId="0" borderId="78" xfId="1" applyNumberFormat="1" applyFont="1" applyFill="1" applyBorder="1" applyAlignment="1">
      <alignment horizontal="right" vertical="center" wrapText="1"/>
    </xf>
    <xf numFmtId="1" fontId="25" fillId="0" borderId="78" xfId="1" applyNumberFormat="1" applyFont="1" applyFill="1" applyBorder="1" applyAlignment="1">
      <alignment horizontal="right" vertical="center"/>
    </xf>
    <xf numFmtId="1" fontId="11" fillId="0" borderId="78" xfId="1" applyNumberFormat="1" applyFont="1" applyFill="1" applyBorder="1" applyAlignment="1">
      <alignment horizontal="right" vertical="center"/>
    </xf>
    <xf numFmtId="164" fontId="25" fillId="0" borderId="78" xfId="0" applyNumberFormat="1" applyFont="1" applyFill="1" applyBorder="1" applyAlignment="1">
      <alignment horizontal="right" vertical="center"/>
    </xf>
    <xf numFmtId="164" fontId="11" fillId="0" borderId="78" xfId="0" applyNumberFormat="1" applyFont="1" applyFill="1" applyBorder="1" applyAlignment="1">
      <alignment horizontal="right" vertical="center"/>
    </xf>
    <xf numFmtId="164" fontId="25" fillId="0" borderId="78" xfId="0" applyNumberFormat="1" applyFont="1" applyBorder="1" applyAlignment="1">
      <alignment horizontal="right" vertical="center"/>
    </xf>
    <xf numFmtId="164" fontId="59" fillId="0" borderId="39" xfId="0" applyNumberFormat="1" applyFont="1" applyBorder="1" applyAlignment="1">
      <alignment vertical="center"/>
    </xf>
    <xf numFmtId="174" fontId="3" fillId="0" borderId="0" xfId="0" applyNumberFormat="1" applyFont="1" applyAlignment="1">
      <alignment horizontal="left"/>
    </xf>
    <xf numFmtId="174" fontId="2" fillId="0" borderId="0" xfId="0" applyNumberFormat="1" applyFont="1" applyAlignment="1">
      <alignment horizontal="left"/>
    </xf>
    <xf numFmtId="172" fontId="2" fillId="0" borderId="0" xfId="0" applyNumberFormat="1" applyFont="1" applyAlignment="1">
      <alignment horizontal="left"/>
    </xf>
    <xf numFmtId="0" fontId="22" fillId="0" borderId="0" xfId="0" applyFont="1" applyAlignment="1">
      <alignment horizontal="center"/>
    </xf>
    <xf numFmtId="0" fontId="45" fillId="0" borderId="0" xfId="0" applyFont="1" applyAlignment="1">
      <alignment horizontal="center"/>
    </xf>
    <xf numFmtId="0" fontId="45" fillId="0" borderId="0" xfId="0" applyFont="1" applyAlignment="1"/>
    <xf numFmtId="0" fontId="2" fillId="2" borderId="1" xfId="0" applyFont="1" applyFill="1" applyBorder="1" applyAlignment="1">
      <alignment vertical="center"/>
    </xf>
    <xf numFmtId="165" fontId="3" fillId="2" borderId="25" xfId="0" applyNumberFormat="1" applyFont="1" applyFill="1" applyBorder="1" applyAlignment="1">
      <alignment horizontal="right" vertical="center"/>
    </xf>
    <xf numFmtId="0" fontId="2" fillId="2" borderId="25" xfId="0" applyFont="1" applyFill="1" applyBorder="1" applyAlignment="1">
      <alignment vertical="center"/>
    </xf>
    <xf numFmtId="4" fontId="25" fillId="0" borderId="27" xfId="0" applyNumberFormat="1" applyFont="1" applyFill="1" applyBorder="1" applyAlignment="1">
      <alignment horizontal="center" vertical="center"/>
    </xf>
    <xf numFmtId="0" fontId="25" fillId="0" borderId="27" xfId="0" applyFont="1" applyBorder="1" applyAlignment="1">
      <alignment horizontal="center" vertical="center"/>
    </xf>
    <xf numFmtId="0" fontId="25" fillId="0" borderId="79" xfId="0" applyFont="1" applyBorder="1" applyAlignment="1">
      <alignment horizontal="center" vertical="center"/>
    </xf>
    <xf numFmtId="4" fontId="25" fillId="0" borderId="26" xfId="0" applyNumberFormat="1" applyFont="1" applyBorder="1" applyAlignment="1">
      <alignment vertical="center"/>
    </xf>
    <xf numFmtId="4" fontId="25" fillId="0" borderId="27" xfId="0" applyNumberFormat="1" applyFont="1" applyBorder="1" applyAlignment="1">
      <alignment vertical="center"/>
    </xf>
    <xf numFmtId="4" fontId="25" fillId="0" borderId="79" xfId="0" applyNumberFormat="1" applyFont="1" applyBorder="1" applyAlignment="1">
      <alignment vertical="center"/>
    </xf>
    <xf numFmtId="0" fontId="20" fillId="3" borderId="27" xfId="0" applyFont="1" applyFill="1" applyBorder="1" applyAlignment="1">
      <alignment horizontal="center" vertical="center"/>
    </xf>
    <xf numFmtId="0" fontId="20" fillId="3" borderId="79" xfId="0" applyFont="1" applyFill="1" applyBorder="1" applyAlignment="1">
      <alignment horizontal="center" vertical="center"/>
    </xf>
    <xf numFmtId="10" fontId="2" fillId="0" borderId="0" xfId="0" applyNumberFormat="1" applyFont="1" applyAlignment="1">
      <alignment horizontal="center"/>
    </xf>
    <xf numFmtId="170" fontId="25" fillId="0" borderId="27" xfId="0" applyNumberFormat="1" applyFont="1" applyFill="1" applyBorder="1" applyAlignment="1">
      <alignment vertical="center"/>
    </xf>
    <xf numFmtId="170" fontId="25" fillId="0" borderId="27" xfId="0" applyNumberFormat="1" applyFont="1" applyBorder="1" applyAlignment="1">
      <alignment vertical="center"/>
    </xf>
    <xf numFmtId="170" fontId="25" fillId="0" borderId="79" xfId="0" applyNumberFormat="1" applyFont="1" applyBorder="1" applyAlignment="1">
      <alignment vertical="center"/>
    </xf>
    <xf numFmtId="0" fontId="25" fillId="0" borderId="27" xfId="0" applyFont="1" applyBorder="1" applyAlignment="1">
      <alignment vertical="center"/>
    </xf>
    <xf numFmtId="165" fontId="2" fillId="0" borderId="0" xfId="0" applyNumberFormat="1" applyFont="1" applyFill="1" applyBorder="1" applyAlignment="1">
      <alignment horizontal="center"/>
    </xf>
    <xf numFmtId="10" fontId="20" fillId="3" borderId="80" xfId="0" applyNumberFormat="1" applyFont="1" applyFill="1" applyBorder="1" applyAlignment="1">
      <alignment vertical="center"/>
    </xf>
    <xf numFmtId="10" fontId="40" fillId="0" borderId="29" xfId="0" applyNumberFormat="1" applyFont="1" applyBorder="1" applyAlignment="1">
      <alignment vertical="center"/>
    </xf>
    <xf numFmtId="10" fontId="40" fillId="0" borderId="81" xfId="0" applyNumberFormat="1" applyFont="1" applyBorder="1" applyAlignment="1">
      <alignment vertical="center"/>
    </xf>
    <xf numFmtId="165" fontId="20" fillId="2" borderId="82" xfId="0" applyNumberFormat="1" applyFont="1" applyFill="1" applyBorder="1" applyAlignment="1">
      <alignment horizontal="right" vertical="center"/>
    </xf>
    <xf numFmtId="0" fontId="40" fillId="0" borderId="25" xfId="0" applyFont="1" applyBorder="1" applyAlignment="1">
      <alignment vertical="center"/>
    </xf>
    <xf numFmtId="170" fontId="24" fillId="3" borderId="83" xfId="0" applyNumberFormat="1" applyFont="1" applyFill="1" applyBorder="1" applyAlignment="1">
      <alignment vertical="center"/>
    </xf>
    <xf numFmtId="0" fontId="25" fillId="0" borderId="79" xfId="0" applyFont="1" applyBorder="1" applyAlignment="1">
      <alignment vertical="center"/>
    </xf>
    <xf numFmtId="0" fontId="2" fillId="6" borderId="0" xfId="0" applyFont="1" applyFill="1" applyAlignment="1">
      <alignment horizontal="left"/>
    </xf>
    <xf numFmtId="165" fontId="2" fillId="6" borderId="0" xfId="0" applyNumberFormat="1" applyFont="1" applyFill="1" applyBorder="1" applyAlignment="1">
      <alignment horizontal="right"/>
    </xf>
    <xf numFmtId="0" fontId="2" fillId="6" borderId="0" xfId="0" applyFont="1" applyFill="1" applyBorder="1" applyAlignment="1">
      <alignment horizontal="right"/>
    </xf>
    <xf numFmtId="0" fontId="2" fillId="6" borderId="0" xfId="0" applyFont="1" applyFill="1" applyAlignment="1"/>
    <xf numFmtId="165" fontId="2" fillId="0" borderId="24" xfId="0" applyNumberFormat="1" applyFont="1" applyFill="1" applyBorder="1" applyAlignment="1">
      <alignment horizontal="center"/>
    </xf>
    <xf numFmtId="10" fontId="2" fillId="0" borderId="0" xfId="4" applyNumberFormat="1" applyFont="1" applyFill="1" applyBorder="1" applyAlignment="1"/>
    <xf numFmtId="10" fontId="2" fillId="0" borderId="0" xfId="4" applyNumberFormat="1" applyFont="1" applyAlignment="1"/>
    <xf numFmtId="165" fontId="2" fillId="0" borderId="84" xfId="0" applyNumberFormat="1" applyFont="1" applyFill="1" applyBorder="1" applyAlignment="1">
      <alignment horizontal="center"/>
    </xf>
    <xf numFmtId="172" fontId="11" fillId="6" borderId="0" xfId="0" applyNumberFormat="1" applyFont="1" applyFill="1" applyAlignment="1"/>
    <xf numFmtId="0" fontId="11" fillId="6" borderId="0" xfId="0" applyFont="1" applyFill="1" applyAlignment="1"/>
    <xf numFmtId="165" fontId="11" fillId="6" borderId="0" xfId="0" applyNumberFormat="1" applyFont="1" applyFill="1" applyAlignment="1"/>
    <xf numFmtId="0" fontId="13" fillId="0" borderId="0" xfId="0" applyFont="1" applyBorder="1" applyAlignment="1">
      <alignment horizontal="justify" vertical="center"/>
    </xf>
    <xf numFmtId="0" fontId="2" fillId="0" borderId="0" xfId="0" quotePrefix="1" applyFont="1" applyAlignment="1">
      <alignment horizontal="center"/>
    </xf>
    <xf numFmtId="0" fontId="2" fillId="0" borderId="0" xfId="0" applyFont="1" applyAlignment="1">
      <alignment horizontal="center"/>
    </xf>
    <xf numFmtId="0" fontId="13" fillId="3" borderId="31" xfId="0" applyFont="1" applyFill="1" applyBorder="1" applyAlignment="1">
      <alignment horizontal="right" vertical="center"/>
    </xf>
    <xf numFmtId="165" fontId="13" fillId="3" borderId="31" xfId="0" applyNumberFormat="1" applyFont="1" applyFill="1" applyBorder="1" applyAlignment="1">
      <alignment vertical="center"/>
    </xf>
    <xf numFmtId="0" fontId="11" fillId="3" borderId="31" xfId="0" applyFont="1" applyFill="1" applyBorder="1" applyAlignment="1">
      <alignment vertical="center"/>
    </xf>
    <xf numFmtId="0" fontId="25" fillId="0" borderId="26" xfId="0" applyFont="1" applyBorder="1" applyAlignment="1">
      <alignment horizontal="justify" vertical="center"/>
    </xf>
    <xf numFmtId="0" fontId="25" fillId="0" borderId="27" xfId="0" applyFont="1" applyBorder="1" applyAlignment="1">
      <alignment horizontal="justify" vertical="center"/>
    </xf>
    <xf numFmtId="1" fontId="24" fillId="7" borderId="10" xfId="0" applyNumberFormat="1" applyFont="1" applyFill="1" applyBorder="1" applyAlignment="1">
      <alignment horizontal="center" vertical="center" wrapText="1"/>
    </xf>
    <xf numFmtId="1" fontId="24" fillId="7" borderId="11" xfId="0" applyNumberFormat="1" applyFont="1" applyFill="1" applyBorder="1" applyAlignment="1">
      <alignment horizontal="center" vertical="center"/>
    </xf>
    <xf numFmtId="1" fontId="24" fillId="7" borderId="22" xfId="0" applyNumberFormat="1" applyFont="1" applyFill="1" applyBorder="1" applyAlignment="1">
      <alignment horizontal="center" vertical="center"/>
    </xf>
    <xf numFmtId="0" fontId="20" fillId="2" borderId="22" xfId="0" applyFont="1" applyFill="1" applyBorder="1" applyAlignment="1">
      <alignment horizontal="center" vertical="center" wrapText="1"/>
    </xf>
    <xf numFmtId="164" fontId="25" fillId="0" borderId="78" xfId="0" applyNumberFormat="1" applyFont="1" applyBorder="1" applyAlignment="1">
      <alignment vertical="center"/>
    </xf>
    <xf numFmtId="0" fontId="11" fillId="0" borderId="26" xfId="0" applyFont="1" applyBorder="1" applyAlignment="1">
      <alignment horizontal="justify" vertical="center"/>
    </xf>
    <xf numFmtId="0" fontId="11" fillId="0" borderId="27" xfId="0" applyFont="1" applyBorder="1" applyAlignment="1">
      <alignment horizontal="justify" vertical="center"/>
    </xf>
    <xf numFmtId="0" fontId="25" fillId="0" borderId="26" xfId="0" applyFont="1" applyBorder="1" applyAlignment="1">
      <alignment vertical="center"/>
    </xf>
    <xf numFmtId="164" fontId="59" fillId="0" borderId="78" xfId="0" applyNumberFormat="1" applyFont="1" applyBorder="1" applyAlignment="1">
      <alignment horizontal="left" vertical="center" wrapText="1"/>
    </xf>
    <xf numFmtId="164" fontId="59" fillId="0" borderId="78" xfId="0" applyNumberFormat="1" applyFont="1" applyBorder="1" applyAlignment="1">
      <alignment vertical="center"/>
    </xf>
    <xf numFmtId="0" fontId="20" fillId="3" borderId="26" xfId="0" applyFont="1" applyFill="1" applyBorder="1" applyAlignment="1">
      <alignment horizontal="center" vertical="center"/>
    </xf>
    <xf numFmtId="0" fontId="20" fillId="3" borderId="26" xfId="0" applyFont="1" applyFill="1" applyBorder="1" applyAlignment="1">
      <alignment horizontal="center" vertical="center" wrapText="1"/>
    </xf>
    <xf numFmtId="0" fontId="20" fillId="3" borderId="11" xfId="0" applyFont="1" applyFill="1" applyBorder="1" applyAlignment="1">
      <alignment horizontal="center" vertical="center" wrapText="1"/>
    </xf>
    <xf numFmtId="164" fontId="25" fillId="0" borderId="36" xfId="0" applyNumberFormat="1" applyFont="1" applyBorder="1" applyAlignment="1">
      <alignment horizontal="left" vertical="center" wrapText="1"/>
    </xf>
    <xf numFmtId="164" fontId="25" fillId="0" borderId="37" xfId="0" applyNumberFormat="1" applyFont="1" applyBorder="1" applyAlignment="1">
      <alignment horizontal="left" vertical="center" wrapText="1"/>
    </xf>
    <xf numFmtId="164" fontId="25" fillId="0" borderId="38" xfId="0" applyNumberFormat="1" applyFont="1" applyBorder="1" applyAlignment="1">
      <alignment horizontal="left" vertical="center" wrapText="1"/>
    </xf>
    <xf numFmtId="164" fontId="25" fillId="0" borderId="36" xfId="0" applyNumberFormat="1" applyFont="1" applyBorder="1" applyAlignment="1">
      <alignment vertical="center" wrapText="1"/>
    </xf>
    <xf numFmtId="164" fontId="25" fillId="0" borderId="37" xfId="0" applyNumberFormat="1" applyFont="1" applyBorder="1" applyAlignment="1">
      <alignment vertical="center" wrapText="1"/>
    </xf>
    <xf numFmtId="164" fontId="25" fillId="0" borderId="38" xfId="0" applyNumberFormat="1" applyFont="1" applyBorder="1" applyAlignment="1">
      <alignment vertical="center" wrapText="1"/>
    </xf>
    <xf numFmtId="0" fontId="16" fillId="3" borderId="36" xfId="0" applyFont="1" applyFill="1" applyBorder="1" applyAlignment="1">
      <alignment horizontal="center" vertical="center"/>
    </xf>
    <xf numFmtId="0" fontId="16" fillId="3" borderId="37" xfId="0" applyFont="1" applyFill="1" applyBorder="1" applyAlignment="1">
      <alignment horizontal="center" vertical="center"/>
    </xf>
    <xf numFmtId="0" fontId="16" fillId="3" borderId="38" xfId="0" applyFont="1" applyFill="1" applyBorder="1" applyAlignment="1">
      <alignment horizontal="center" vertical="center"/>
    </xf>
    <xf numFmtId="0" fontId="16" fillId="3" borderId="73" xfId="0" applyFont="1" applyFill="1" applyBorder="1" applyAlignment="1">
      <alignment horizontal="center" vertical="center"/>
    </xf>
    <xf numFmtId="0" fontId="16" fillId="3" borderId="34" xfId="0" applyFont="1" applyFill="1" applyBorder="1" applyAlignment="1">
      <alignment horizontal="center" vertical="center"/>
    </xf>
    <xf numFmtId="0" fontId="16" fillId="3" borderId="56" xfId="0" applyFont="1" applyFill="1" applyBorder="1" applyAlignment="1">
      <alignment horizontal="center" vertical="center"/>
    </xf>
    <xf numFmtId="1" fontId="24" fillId="7" borderId="10" xfId="0" applyNumberFormat="1" applyFont="1" applyFill="1" applyBorder="1" applyAlignment="1">
      <alignment horizontal="center" vertical="center"/>
    </xf>
    <xf numFmtId="0" fontId="18" fillId="0" borderId="0" xfId="0" applyFont="1" applyFill="1" applyAlignment="1">
      <alignment horizontal="justify"/>
    </xf>
    <xf numFmtId="0" fontId="5" fillId="0" borderId="0" xfId="0" applyFont="1" applyFill="1" applyAlignment="1">
      <alignment horizontal="justify"/>
    </xf>
    <xf numFmtId="1" fontId="2" fillId="6" borderId="13" xfId="0" applyNumberFormat="1" applyFont="1" applyFill="1" applyBorder="1" applyAlignment="1">
      <alignment horizontal="center" vertical="center" wrapText="1"/>
    </xf>
    <xf numFmtId="1" fontId="2" fillId="6" borderId="86" xfId="0" applyNumberFormat="1" applyFont="1" applyFill="1" applyBorder="1" applyAlignment="1">
      <alignment horizontal="center" vertical="center" wrapText="1"/>
    </xf>
    <xf numFmtId="1" fontId="2" fillId="6" borderId="87" xfId="0" applyNumberFormat="1" applyFont="1" applyFill="1" applyBorder="1" applyAlignment="1">
      <alignment horizontal="center" vertical="center" wrapText="1"/>
    </xf>
    <xf numFmtId="0" fontId="2" fillId="0" borderId="88" xfId="0" applyFont="1" applyBorder="1" applyAlignment="1">
      <alignment horizontal="center" vertical="center" wrapText="1"/>
    </xf>
    <xf numFmtId="0" fontId="2" fillId="6" borderId="0" xfId="2" applyFill="1" applyAlignment="1">
      <alignment horizontal="justify" wrapText="1"/>
    </xf>
    <xf numFmtId="0" fontId="2" fillId="6" borderId="13" xfId="0" applyFont="1" applyFill="1" applyBorder="1" applyAlignment="1">
      <alignment horizontal="left" vertical="center" wrapText="1"/>
    </xf>
    <xf numFmtId="0" fontId="2" fillId="6" borderId="86" xfId="0" applyFont="1" applyFill="1" applyBorder="1" applyAlignment="1">
      <alignment horizontal="left" vertical="center" wrapText="1"/>
    </xf>
    <xf numFmtId="0" fontId="2" fillId="6" borderId="87" xfId="0" applyFont="1" applyFill="1" applyBorder="1" applyAlignment="1">
      <alignment horizontal="left" vertical="center" wrapText="1"/>
    </xf>
    <xf numFmtId="0" fontId="3" fillId="0" borderId="88" xfId="0" applyFont="1" applyBorder="1" applyAlignment="1">
      <alignment horizontal="center" vertical="center"/>
    </xf>
    <xf numFmtId="0" fontId="3" fillId="0" borderId="13" xfId="0" applyFont="1" applyBorder="1" applyAlignment="1">
      <alignment horizontal="center" vertical="center"/>
    </xf>
    <xf numFmtId="0" fontId="3" fillId="0" borderId="86" xfId="0" applyFont="1" applyBorder="1" applyAlignment="1">
      <alignment horizontal="center" vertical="center"/>
    </xf>
    <xf numFmtId="0" fontId="3" fillId="0" borderId="87" xfId="0" applyFont="1" applyBorder="1" applyAlignment="1">
      <alignment horizontal="center" vertical="center"/>
    </xf>
    <xf numFmtId="9" fontId="2" fillId="0" borderId="10" xfId="4" applyFont="1" applyBorder="1" applyAlignment="1">
      <alignment horizontal="right"/>
    </xf>
    <xf numFmtId="9" fontId="2" fillId="0" borderId="11" xfId="4" applyFont="1" applyBorder="1" applyAlignment="1">
      <alignment horizontal="right"/>
    </xf>
    <xf numFmtId="9" fontId="2" fillId="0" borderId="22" xfId="4" applyFont="1" applyBorder="1" applyAlignment="1">
      <alignment horizontal="right"/>
    </xf>
    <xf numFmtId="2" fontId="2" fillId="0" borderId="10" xfId="0" applyNumberFormat="1" applyFont="1" applyBorder="1" applyAlignment="1">
      <alignment horizontal="right"/>
    </xf>
    <xf numFmtId="2" fontId="2" fillId="0" borderId="11" xfId="0" applyNumberFormat="1" applyFont="1" applyBorder="1" applyAlignment="1">
      <alignment horizontal="right"/>
    </xf>
    <xf numFmtId="9" fontId="3" fillId="7" borderId="98" xfId="4" applyFont="1" applyFill="1" applyBorder="1" applyAlignment="1">
      <alignment horizontal="center" vertical="center"/>
    </xf>
    <xf numFmtId="9" fontId="3" fillId="7" borderId="97" xfId="4" applyFont="1" applyFill="1" applyBorder="1" applyAlignment="1">
      <alignment horizontal="center" vertical="center"/>
    </xf>
    <xf numFmtId="9" fontId="3" fillId="7" borderId="99" xfId="4" applyFont="1" applyFill="1" applyBorder="1" applyAlignment="1">
      <alignment horizontal="center" vertical="center"/>
    </xf>
    <xf numFmtId="0" fontId="2" fillId="0" borderId="73" xfId="0" applyFont="1" applyBorder="1" applyAlignment="1">
      <alignment horizontal="center"/>
    </xf>
    <xf numFmtId="0" fontId="2" fillId="0" borderId="56" xfId="0" applyFont="1" applyBorder="1" applyAlignment="1">
      <alignment horizontal="center"/>
    </xf>
    <xf numFmtId="0" fontId="2" fillId="0" borderId="52" xfId="0" applyFont="1" applyBorder="1"/>
    <xf numFmtId="0" fontId="2" fillId="0" borderId="0" xfId="0" applyFont="1"/>
    <xf numFmtId="0" fontId="2" fillId="0" borderId="50" xfId="0" applyFont="1" applyBorder="1"/>
    <xf numFmtId="9" fontId="2" fillId="0" borderId="73" xfId="4" applyFont="1" applyBorder="1" applyAlignment="1">
      <alignment horizontal="right"/>
    </xf>
    <xf numFmtId="9" fontId="2" fillId="0" borderId="34" xfId="4" applyFont="1" applyBorder="1" applyAlignment="1">
      <alignment horizontal="right"/>
    </xf>
    <xf numFmtId="9" fontId="2" fillId="0" borderId="56" xfId="4" applyFont="1" applyBorder="1" applyAlignment="1">
      <alignment horizontal="right"/>
    </xf>
    <xf numFmtId="2" fontId="2" fillId="0" borderId="73" xfId="0" applyNumberFormat="1" applyFont="1" applyBorder="1" applyAlignment="1">
      <alignment horizontal="right"/>
    </xf>
    <xf numFmtId="2" fontId="2" fillId="0" borderId="34" xfId="0" applyNumberFormat="1" applyFont="1" applyBorder="1" applyAlignment="1">
      <alignment horizontal="right"/>
    </xf>
    <xf numFmtId="0" fontId="3" fillId="7" borderId="11" xfId="0" applyFont="1" applyFill="1" applyBorder="1" applyAlignment="1">
      <alignment horizontal="center" vertical="center"/>
    </xf>
    <xf numFmtId="0" fontId="3" fillId="7" borderId="22" xfId="0" applyFont="1" applyFill="1" applyBorder="1" applyAlignment="1">
      <alignment horizontal="center" vertical="center"/>
    </xf>
    <xf numFmtId="0" fontId="3" fillId="7" borderId="90" xfId="0" applyFont="1" applyFill="1" applyBorder="1" applyAlignment="1">
      <alignment horizontal="center" vertical="center" wrapText="1"/>
    </xf>
    <xf numFmtId="0" fontId="3" fillId="7" borderId="91" xfId="0" applyFont="1" applyFill="1" applyBorder="1" applyAlignment="1">
      <alignment horizontal="center" vertical="center"/>
    </xf>
    <xf numFmtId="0" fontId="3" fillId="7" borderId="92" xfId="0" applyFont="1" applyFill="1" applyBorder="1" applyAlignment="1">
      <alignment horizontal="center" vertical="center"/>
    </xf>
    <xf numFmtId="0" fontId="3" fillId="7" borderId="93" xfId="0" applyFont="1" applyFill="1" applyBorder="1" applyAlignment="1">
      <alignment horizontal="center" vertical="center"/>
    </xf>
    <xf numFmtId="0" fontId="2" fillId="0" borderId="36" xfId="0" applyFont="1" applyBorder="1" applyAlignment="1">
      <alignment horizontal="center"/>
    </xf>
    <xf numFmtId="0" fontId="2" fillId="0" borderId="38" xfId="0" applyFont="1" applyBorder="1" applyAlignment="1">
      <alignment horizontal="center"/>
    </xf>
    <xf numFmtId="0" fontId="2" fillId="0" borderId="36" xfId="0" applyFont="1" applyBorder="1"/>
    <xf numFmtId="0" fontId="2" fillId="0" borderId="37" xfId="0" applyFont="1" applyBorder="1"/>
    <xf numFmtId="0" fontId="2" fillId="0" borderId="38" xfId="0" applyFont="1" applyBorder="1"/>
    <xf numFmtId="9" fontId="2" fillId="0" borderId="36" xfId="4" applyFont="1" applyBorder="1" applyAlignment="1">
      <alignment horizontal="right"/>
    </xf>
    <xf numFmtId="9" fontId="2" fillId="0" borderId="37" xfId="4" applyFont="1" applyBorder="1" applyAlignment="1">
      <alignment horizontal="right"/>
    </xf>
    <xf numFmtId="9" fontId="2" fillId="0" borderId="38" xfId="4" applyFont="1" applyBorder="1" applyAlignment="1">
      <alignment horizontal="right"/>
    </xf>
    <xf numFmtId="2" fontId="2" fillId="0" borderId="36" xfId="0" applyNumberFormat="1" applyFont="1" applyBorder="1" applyAlignment="1">
      <alignment horizontal="right"/>
    </xf>
    <xf numFmtId="2" fontId="2" fillId="0" borderId="37" xfId="0" applyNumberFormat="1" applyFont="1" applyBorder="1" applyAlignment="1">
      <alignment horizontal="right"/>
    </xf>
    <xf numFmtId="0" fontId="2" fillId="0" borderId="10" xfId="0" applyFont="1" applyBorder="1" applyAlignment="1">
      <alignment horizontal="center"/>
    </xf>
    <xf numFmtId="0" fontId="2" fillId="0" borderId="22" xfId="0" applyFont="1" applyBorder="1" applyAlignment="1">
      <alignment horizontal="center"/>
    </xf>
    <xf numFmtId="0" fontId="2" fillId="0" borderId="10" xfId="0" applyFont="1" applyBorder="1"/>
    <xf numFmtId="0" fontId="2" fillId="0" borderId="11" xfId="0" applyFont="1" applyBorder="1"/>
    <xf numFmtId="0" fontId="2" fillId="0" borderId="22" xfId="0" applyFont="1" applyBorder="1"/>
    <xf numFmtId="4" fontId="3" fillId="7" borderId="10" xfId="0" applyNumberFormat="1" applyFont="1" applyFill="1" applyBorder="1" applyAlignment="1">
      <alignment horizontal="right" vertical="center"/>
    </xf>
    <xf numFmtId="4" fontId="3" fillId="7" borderId="11" xfId="0" applyNumberFormat="1" applyFont="1" applyFill="1" applyBorder="1" applyAlignment="1">
      <alignment horizontal="right" vertical="center"/>
    </xf>
    <xf numFmtId="9" fontId="3" fillId="7" borderId="10" xfId="4" applyFont="1" applyFill="1" applyBorder="1" applyAlignment="1">
      <alignment horizontal="right" vertical="center"/>
    </xf>
    <xf numFmtId="9" fontId="3" fillId="7" borderId="11" xfId="4" applyFont="1" applyFill="1" applyBorder="1" applyAlignment="1">
      <alignment horizontal="right" vertical="center"/>
    </xf>
    <xf numFmtId="9" fontId="3" fillId="7" borderId="22" xfId="4" applyFont="1" applyFill="1" applyBorder="1" applyAlignment="1">
      <alignment horizontal="right" vertical="center"/>
    </xf>
    <xf numFmtId="4" fontId="3" fillId="7" borderId="98" xfId="0" applyNumberFormat="1" applyFont="1" applyFill="1" applyBorder="1" applyAlignment="1">
      <alignment horizontal="right" vertical="center"/>
    </xf>
    <xf numFmtId="4" fontId="3" fillId="7" borderId="97" xfId="0" applyNumberFormat="1" applyFont="1" applyFill="1" applyBorder="1" applyAlignment="1">
      <alignment horizontal="right" vertical="center"/>
    </xf>
    <xf numFmtId="9" fontId="3" fillId="7" borderId="94" xfId="4" applyFont="1" applyFill="1" applyBorder="1" applyAlignment="1">
      <alignment horizontal="right" vertical="center"/>
    </xf>
    <xf numFmtId="9" fontId="3" fillId="7" borderId="95" xfId="4" applyFont="1" applyFill="1" applyBorder="1" applyAlignment="1">
      <alignment horizontal="right" vertical="center"/>
    </xf>
    <xf numFmtId="9" fontId="3" fillId="7" borderId="96" xfId="4" applyFont="1" applyFill="1" applyBorder="1" applyAlignment="1">
      <alignment horizontal="right" vertical="center"/>
    </xf>
    <xf numFmtId="4" fontId="53" fillId="7" borderId="53" xfId="2" applyNumberFormat="1" applyFont="1" applyFill="1" applyBorder="1" applyAlignment="1">
      <alignment horizontal="center" vertical="center"/>
    </xf>
    <xf numFmtId="4" fontId="53" fillId="7" borderId="97" xfId="2" applyNumberFormat="1" applyFont="1" applyFill="1" applyBorder="1" applyAlignment="1">
      <alignment horizontal="center" vertical="center"/>
    </xf>
    <xf numFmtId="4" fontId="53" fillId="7" borderId="54" xfId="2" applyNumberFormat="1" applyFont="1" applyFill="1" applyBorder="1" applyAlignment="1">
      <alignment horizontal="center" vertical="center"/>
    </xf>
    <xf numFmtId="4" fontId="53" fillId="9" borderId="53" xfId="2" applyNumberFormat="1" applyFont="1" applyFill="1" applyBorder="1" applyAlignment="1">
      <alignment horizontal="center" vertical="center"/>
    </xf>
    <xf numFmtId="4" fontId="53" fillId="9" borderId="97" xfId="2" applyNumberFormat="1" applyFont="1" applyFill="1" applyBorder="1" applyAlignment="1">
      <alignment horizontal="center" vertical="center"/>
    </xf>
    <xf numFmtId="4" fontId="53" fillId="9" borderId="54" xfId="2" applyNumberFormat="1" applyFont="1" applyFill="1" applyBorder="1" applyAlignment="1">
      <alignment horizontal="center" vertical="center"/>
    </xf>
    <xf numFmtId="0" fontId="53" fillId="7" borderId="101" xfId="2" applyFont="1" applyFill="1" applyBorder="1" applyAlignment="1">
      <alignment horizontal="center" vertical="center"/>
    </xf>
    <xf numFmtId="0" fontId="53" fillId="7" borderId="109" xfId="2" applyFont="1" applyFill="1" applyBorder="1" applyAlignment="1">
      <alignment horizontal="center" vertical="center"/>
    </xf>
    <xf numFmtId="0" fontId="20" fillId="7" borderId="102" xfId="2" applyFont="1" applyFill="1" applyBorder="1" applyAlignment="1">
      <alignment horizontal="center" vertical="center" wrapText="1"/>
    </xf>
    <xf numFmtId="0" fontId="20" fillId="7" borderId="110" xfId="2" applyFont="1" applyFill="1" applyBorder="1" applyAlignment="1">
      <alignment horizontal="center" vertical="center" wrapText="1"/>
    </xf>
    <xf numFmtId="4" fontId="20" fillId="7" borderId="103" xfId="2" applyNumberFormat="1" applyFont="1" applyFill="1" applyBorder="1" applyAlignment="1">
      <alignment horizontal="center" vertical="center" wrapText="1"/>
    </xf>
    <xf numFmtId="4" fontId="20" fillId="7" borderId="111" xfId="2" applyNumberFormat="1" applyFont="1" applyFill="1" applyBorder="1" applyAlignment="1">
      <alignment horizontal="center" vertical="center" wrapText="1"/>
    </xf>
    <xf numFmtId="180" fontId="20" fillId="7" borderId="103" xfId="2" applyNumberFormat="1" applyFont="1" applyFill="1" applyBorder="1" applyAlignment="1">
      <alignment horizontal="center" vertical="center" wrapText="1"/>
    </xf>
    <xf numFmtId="180" fontId="20" fillId="7" borderId="111" xfId="2" applyNumberFormat="1" applyFont="1" applyFill="1" applyBorder="1" applyAlignment="1">
      <alignment horizontal="center" vertical="center" wrapText="1"/>
    </xf>
    <xf numFmtId="4" fontId="20" fillId="7" borderId="102" xfId="2" applyNumberFormat="1" applyFont="1" applyFill="1" applyBorder="1" applyAlignment="1">
      <alignment horizontal="center" vertical="center" wrapText="1"/>
    </xf>
    <xf numFmtId="4" fontId="20" fillId="7" borderId="110" xfId="2" applyNumberFormat="1" applyFont="1" applyFill="1" applyBorder="1" applyAlignment="1">
      <alignment horizontal="center" vertical="center" wrapText="1"/>
    </xf>
    <xf numFmtId="4" fontId="20" fillId="7" borderId="106" xfId="2" applyNumberFormat="1" applyFont="1" applyFill="1" applyBorder="1" applyAlignment="1">
      <alignment horizontal="center" vertical="center" wrapText="1"/>
    </xf>
    <xf numFmtId="4" fontId="20" fillId="7" borderId="112" xfId="2" applyNumberFormat="1" applyFont="1" applyFill="1" applyBorder="1" applyAlignment="1">
      <alignment horizontal="center" vertical="center" wrapText="1"/>
    </xf>
    <xf numFmtId="4" fontId="20" fillId="7" borderId="107" xfId="2" applyNumberFormat="1" applyFont="1" applyFill="1" applyBorder="1" applyAlignment="1">
      <alignment horizontal="center" vertical="center" wrapText="1"/>
    </xf>
    <xf numFmtId="4" fontId="20" fillId="7" borderId="69" xfId="2" applyNumberFormat="1" applyFont="1" applyFill="1" applyBorder="1" applyAlignment="1">
      <alignment horizontal="center" vertical="center" wrapText="1"/>
    </xf>
    <xf numFmtId="0" fontId="20" fillId="7" borderId="100" xfId="2" applyFont="1" applyFill="1" applyBorder="1" applyAlignment="1">
      <alignment horizontal="center" vertical="center"/>
    </xf>
    <xf numFmtId="4" fontId="20" fillId="9" borderId="108" xfId="2" applyNumberFormat="1" applyFont="1" applyFill="1" applyBorder="1" applyAlignment="1">
      <alignment horizontal="center" vertical="center" wrapText="1"/>
    </xf>
    <xf numFmtId="4" fontId="20" fillId="9" borderId="113" xfId="2" applyNumberFormat="1" applyFont="1" applyFill="1" applyBorder="1" applyAlignment="1">
      <alignment horizontal="center" vertical="center" wrapText="1"/>
    </xf>
    <xf numFmtId="4" fontId="20" fillId="9" borderId="115" xfId="2" applyNumberFormat="1" applyFont="1" applyFill="1" applyBorder="1" applyAlignment="1">
      <alignment horizontal="center" vertical="center" wrapText="1"/>
    </xf>
    <xf numFmtId="4" fontId="20" fillId="9" borderId="101" xfId="2" applyNumberFormat="1" applyFont="1" applyFill="1" applyBorder="1" applyAlignment="1">
      <alignment horizontal="center" vertical="center" wrapText="1"/>
    </xf>
    <xf numFmtId="4" fontId="20" fillId="9" borderId="109" xfId="2" applyNumberFormat="1" applyFont="1" applyFill="1" applyBorder="1" applyAlignment="1">
      <alignment horizontal="center" vertical="center" wrapText="1"/>
    </xf>
    <xf numFmtId="0" fontId="20" fillId="7" borderId="53" xfId="2" applyFont="1" applyFill="1" applyBorder="1" applyAlignment="1">
      <alignment vertical="center"/>
    </xf>
    <xf numFmtId="0" fontId="20" fillId="7" borderId="54" xfId="2" applyFont="1" applyFill="1" applyBorder="1" applyAlignment="1">
      <alignment vertical="center"/>
    </xf>
    <xf numFmtId="0" fontId="20" fillId="7" borderId="53" xfId="2" applyFont="1" applyFill="1" applyBorder="1" applyAlignment="1">
      <alignment horizontal="left" vertical="center"/>
    </xf>
    <xf numFmtId="0" fontId="20" fillId="7" borderId="54" xfId="2" applyFont="1" applyFill="1" applyBorder="1" applyAlignment="1">
      <alignment horizontal="left" vertical="center"/>
    </xf>
    <xf numFmtId="0" fontId="20" fillId="7" borderId="100" xfId="2" applyFont="1" applyFill="1" applyBorder="1" applyAlignment="1">
      <alignment horizontal="left" vertical="center"/>
    </xf>
    <xf numFmtId="173" fontId="33" fillId="0" borderId="85" xfId="2" applyNumberFormat="1" applyFont="1" applyBorder="1" applyAlignment="1">
      <alignment horizontal="right"/>
    </xf>
    <xf numFmtId="0" fontId="33" fillId="0" borderId="86" xfId="2" applyFont="1" applyBorder="1" applyAlignment="1">
      <alignment horizontal="center"/>
    </xf>
    <xf numFmtId="0" fontId="33" fillId="0" borderId="87" xfId="2" applyFont="1" applyBorder="1" applyAlignment="1">
      <alignment horizontal="center"/>
    </xf>
  </cellXfs>
  <cellStyles count="5">
    <cellStyle name="Millares" xfId="1" builtinId="3"/>
    <cellStyle name="Normal" xfId="0" builtinId="0"/>
    <cellStyle name="Normal 2" xfId="2" xr:uid="{5657CAE2-7E7E-47CF-9FFA-7943C2A6D7C3}"/>
    <cellStyle name="Normal 3" xfId="3" xr:uid="{7DF7396A-8A35-4FA6-AB93-FDEE1B4D8EAF}"/>
    <cellStyle name="Porcentaje"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9900"/>
      <rgbColor rgb="00FF99CC"/>
      <rgbColor rgb="00003366"/>
      <rgbColor rgb="00006600"/>
      <rgbColor rgb="00006699"/>
      <rgbColor rgb="00009999"/>
      <rgbColor rgb="00F6F000"/>
      <rgbColor rgb="0000CCFF"/>
      <rgbColor rgb="009900CC"/>
      <rgbColor rgb="00000000"/>
      <rgbColor rgb="009999FF"/>
      <rgbColor rgb="00CC3300"/>
      <rgbColor rgb="00339966"/>
      <rgbColor rgb="00333300"/>
      <rgbColor rgb="00808080"/>
      <rgbColor rgb="00448EFC"/>
      <rgbColor rgb="00819FFF"/>
      <rgbColor rgb="009DBEFF"/>
      <rgbColor rgb="00AFCAFF"/>
      <rgbColor rgb="00E1EBFF"/>
      <rgbColor rgb="00F7F7FF"/>
      <rgbColor rgb="00F6DAED"/>
      <rgbColor rgb="00C22404"/>
      <rgbColor rgb="00000000"/>
      <rgbColor rgb="000000BE"/>
      <rgbColor rgb="00F0F0F0"/>
      <rgbColor rgb="00EAEAEA"/>
      <rgbColor rgb="00648BD8"/>
      <rgbColor rgb="007598DD"/>
      <rgbColor rgb="00A4BBE8"/>
      <rgbColor rgb="00FCFBFF"/>
      <rgbColor rgb="00CCCC00"/>
      <rgbColor rgb="00FFFFCC"/>
      <rgbColor rgb="00008000"/>
      <rgbColor rgb="0033CC33"/>
      <rgbColor rgb="00FFFF66"/>
      <rgbColor rgb="00ECFED6"/>
      <rgbColor rgb="00FFCC66"/>
      <rgbColor rgb="0066FF66"/>
      <rgbColor rgb="00FF0000"/>
      <rgbColor rgb="00FFEBE5"/>
      <rgbColor rgb="00FF6699"/>
      <rgbColor rgb="00008080"/>
      <rgbColor rgb="00FF66CC"/>
      <rgbColor rgb="000099FF"/>
      <rgbColor rgb="00666699"/>
      <rgbColor rgb="00A50021"/>
      <rgbColor rgb="00777777"/>
      <rgbColor rgb="00D60093"/>
      <rgbColor rgb="00969696"/>
      <rgbColor rgb="00C0C0C0"/>
      <rgbColor rgb="00EAEAEA"/>
      <rgbColor rgb="00996633"/>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49</xdr:col>
      <xdr:colOff>0</xdr:colOff>
      <xdr:row>26</xdr:row>
      <xdr:rowOff>152400</xdr:rowOff>
    </xdr:from>
    <xdr:to>
      <xdr:col>255</xdr:col>
      <xdr:colOff>0</xdr:colOff>
      <xdr:row>43</xdr:row>
      <xdr:rowOff>91440</xdr:rowOff>
    </xdr:to>
    <xdr:pic>
      <xdr:nvPicPr>
        <xdr:cNvPr id="16350" name="Picture 106" descr="fachada">
          <a:extLst>
            <a:ext uri="{FF2B5EF4-FFF2-40B4-BE49-F238E27FC236}">
              <a16:creationId xmlns:a16="http://schemas.microsoft.com/office/drawing/2014/main" id="{C21E172D-BB0E-1C06-3088-F6B2EA627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3140" y="5532120"/>
          <a:ext cx="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30480</xdr:colOff>
      <xdr:row>22</xdr:row>
      <xdr:rowOff>83820</xdr:rowOff>
    </xdr:from>
    <xdr:to>
      <xdr:col>14</xdr:col>
      <xdr:colOff>91440</xdr:colOff>
      <xdr:row>26</xdr:row>
      <xdr:rowOff>38100</xdr:rowOff>
    </xdr:to>
    <xdr:sp macro="" textlink="">
      <xdr:nvSpPr>
        <xdr:cNvPr id="16351" name="Oval 121">
          <a:extLst>
            <a:ext uri="{FF2B5EF4-FFF2-40B4-BE49-F238E27FC236}">
              <a16:creationId xmlns:a16="http://schemas.microsoft.com/office/drawing/2014/main" id="{878EA919-7781-6A1A-4AF9-875B87FA96A0}"/>
            </a:ext>
          </a:extLst>
        </xdr:cNvPr>
        <xdr:cNvSpPr>
          <a:spLocks noChangeArrowheads="1"/>
        </xdr:cNvSpPr>
      </xdr:nvSpPr>
      <xdr:spPr bwMode="auto">
        <a:xfrm>
          <a:off x="1104900" y="4792980"/>
          <a:ext cx="632460" cy="62484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114300</xdr:colOff>
      <xdr:row>50</xdr:row>
      <xdr:rowOff>0</xdr:rowOff>
    </xdr:from>
    <xdr:to>
      <xdr:col>46</xdr:col>
      <xdr:colOff>30480</xdr:colOff>
      <xdr:row>54</xdr:row>
      <xdr:rowOff>312420</xdr:rowOff>
    </xdr:to>
    <xdr:pic>
      <xdr:nvPicPr>
        <xdr:cNvPr id="16352" name="30 Imagen">
          <a:extLst>
            <a:ext uri="{FF2B5EF4-FFF2-40B4-BE49-F238E27FC236}">
              <a16:creationId xmlns:a16="http://schemas.microsoft.com/office/drawing/2014/main" id="{B3CDE181-CA1A-B100-9FB8-35EA7AA174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3360420" y="9448800"/>
          <a:ext cx="213360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68580</xdr:colOff>
      <xdr:row>389</xdr:row>
      <xdr:rowOff>83820</xdr:rowOff>
    </xdr:from>
    <xdr:to>
      <xdr:col>47</xdr:col>
      <xdr:colOff>0</xdr:colOff>
      <xdr:row>390</xdr:row>
      <xdr:rowOff>609599</xdr:rowOff>
    </xdr:to>
    <xdr:pic>
      <xdr:nvPicPr>
        <xdr:cNvPr id="16353" name="30 Imagen">
          <a:extLst>
            <a:ext uri="{FF2B5EF4-FFF2-40B4-BE49-F238E27FC236}">
              <a16:creationId xmlns:a16="http://schemas.microsoft.com/office/drawing/2014/main" id="{B55015C6-99DE-FC9E-337B-25A80C90AA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7574" b="7021"/>
        <a:stretch>
          <a:fillRect/>
        </a:stretch>
      </xdr:blipFill>
      <xdr:spPr bwMode="auto">
        <a:xfrm>
          <a:off x="3543300" y="91668600"/>
          <a:ext cx="202692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22860</xdr:colOff>
      <xdr:row>165</xdr:row>
      <xdr:rowOff>0</xdr:rowOff>
    </xdr:from>
    <xdr:to>
      <xdr:col>16</xdr:col>
      <xdr:colOff>30480</xdr:colOff>
      <xdr:row>165</xdr:row>
      <xdr:rowOff>0</xdr:rowOff>
    </xdr:to>
    <xdr:sp macro="" textlink="">
      <xdr:nvSpPr>
        <xdr:cNvPr id="16354" name="Text Box 158">
          <a:extLst>
            <a:ext uri="{FF2B5EF4-FFF2-40B4-BE49-F238E27FC236}">
              <a16:creationId xmlns:a16="http://schemas.microsoft.com/office/drawing/2014/main" id="{7DA0FC7E-84E7-C247-2E75-81CBCEBD4321}"/>
            </a:ext>
          </a:extLst>
        </xdr:cNvPr>
        <xdr:cNvSpPr txBox="1">
          <a:spLocks noChangeArrowheads="1"/>
        </xdr:cNvSpPr>
      </xdr:nvSpPr>
      <xdr:spPr bwMode="auto">
        <a:xfrm>
          <a:off x="1783080" y="35509200"/>
          <a:ext cx="12192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165</xdr:row>
      <xdr:rowOff>0</xdr:rowOff>
    </xdr:from>
    <xdr:to>
      <xdr:col>23</xdr:col>
      <xdr:colOff>30480</xdr:colOff>
      <xdr:row>165</xdr:row>
      <xdr:rowOff>0</xdr:rowOff>
    </xdr:to>
    <xdr:sp macro="" textlink="">
      <xdr:nvSpPr>
        <xdr:cNvPr id="16355" name="Text Box 159">
          <a:extLst>
            <a:ext uri="{FF2B5EF4-FFF2-40B4-BE49-F238E27FC236}">
              <a16:creationId xmlns:a16="http://schemas.microsoft.com/office/drawing/2014/main" id="{A5F3363F-D40C-0B2A-2063-CA52B7C58629}"/>
            </a:ext>
          </a:extLst>
        </xdr:cNvPr>
        <xdr:cNvSpPr txBox="1">
          <a:spLocks noChangeArrowheads="1"/>
        </xdr:cNvSpPr>
      </xdr:nvSpPr>
      <xdr:spPr bwMode="auto">
        <a:xfrm>
          <a:off x="2583180" y="35509200"/>
          <a:ext cx="12192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146</xdr:row>
      <xdr:rowOff>15240</xdr:rowOff>
    </xdr:from>
    <xdr:to>
      <xdr:col>16</xdr:col>
      <xdr:colOff>30480</xdr:colOff>
      <xdr:row>146</xdr:row>
      <xdr:rowOff>137160</xdr:rowOff>
    </xdr:to>
    <xdr:sp macro="" textlink="">
      <xdr:nvSpPr>
        <xdr:cNvPr id="16356" name="Text Box 126">
          <a:extLst>
            <a:ext uri="{FF2B5EF4-FFF2-40B4-BE49-F238E27FC236}">
              <a16:creationId xmlns:a16="http://schemas.microsoft.com/office/drawing/2014/main" id="{1C9AD5D5-D5C6-C997-6A89-0FDDE7D72A87}"/>
            </a:ext>
          </a:extLst>
        </xdr:cNvPr>
        <xdr:cNvSpPr txBox="1">
          <a:spLocks noChangeArrowheads="1"/>
        </xdr:cNvSpPr>
      </xdr:nvSpPr>
      <xdr:spPr bwMode="auto">
        <a:xfrm>
          <a:off x="1783080" y="31523940"/>
          <a:ext cx="12192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142</xdr:row>
      <xdr:rowOff>7620</xdr:rowOff>
    </xdr:from>
    <xdr:to>
      <xdr:col>16</xdr:col>
      <xdr:colOff>38100</xdr:colOff>
      <xdr:row>142</xdr:row>
      <xdr:rowOff>144780</xdr:rowOff>
    </xdr:to>
    <xdr:sp macro="" textlink="">
      <xdr:nvSpPr>
        <xdr:cNvPr id="16357" name="Text Box 126">
          <a:extLst>
            <a:ext uri="{FF2B5EF4-FFF2-40B4-BE49-F238E27FC236}">
              <a16:creationId xmlns:a16="http://schemas.microsoft.com/office/drawing/2014/main" id="{F8AE50DC-506C-7714-008F-466B999AC5DF}"/>
            </a:ext>
          </a:extLst>
        </xdr:cNvPr>
        <xdr:cNvSpPr txBox="1">
          <a:spLocks noChangeArrowheads="1"/>
        </xdr:cNvSpPr>
      </xdr:nvSpPr>
      <xdr:spPr bwMode="auto">
        <a:xfrm>
          <a:off x="1783080" y="3070860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143</xdr:row>
      <xdr:rowOff>7620</xdr:rowOff>
    </xdr:from>
    <xdr:to>
      <xdr:col>16</xdr:col>
      <xdr:colOff>38100</xdr:colOff>
      <xdr:row>143</xdr:row>
      <xdr:rowOff>144780</xdr:rowOff>
    </xdr:to>
    <xdr:sp macro="" textlink="">
      <xdr:nvSpPr>
        <xdr:cNvPr id="16358" name="Text Box 126">
          <a:extLst>
            <a:ext uri="{FF2B5EF4-FFF2-40B4-BE49-F238E27FC236}">
              <a16:creationId xmlns:a16="http://schemas.microsoft.com/office/drawing/2014/main" id="{3DCEF03A-7391-E632-2B34-7EC258978663}"/>
            </a:ext>
          </a:extLst>
        </xdr:cNvPr>
        <xdr:cNvSpPr txBox="1">
          <a:spLocks noChangeArrowheads="1"/>
        </xdr:cNvSpPr>
      </xdr:nvSpPr>
      <xdr:spPr bwMode="auto">
        <a:xfrm>
          <a:off x="1783080" y="30914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144</xdr:row>
      <xdr:rowOff>7620</xdr:rowOff>
    </xdr:from>
    <xdr:to>
      <xdr:col>16</xdr:col>
      <xdr:colOff>38100</xdr:colOff>
      <xdr:row>144</xdr:row>
      <xdr:rowOff>144780</xdr:rowOff>
    </xdr:to>
    <xdr:sp macro="" textlink="">
      <xdr:nvSpPr>
        <xdr:cNvPr id="16359" name="Text Box 126">
          <a:extLst>
            <a:ext uri="{FF2B5EF4-FFF2-40B4-BE49-F238E27FC236}">
              <a16:creationId xmlns:a16="http://schemas.microsoft.com/office/drawing/2014/main" id="{1F1A107E-291D-EF4E-A4A7-43309A0627D6}"/>
            </a:ext>
          </a:extLst>
        </xdr:cNvPr>
        <xdr:cNvSpPr txBox="1">
          <a:spLocks noChangeArrowheads="1"/>
        </xdr:cNvSpPr>
      </xdr:nvSpPr>
      <xdr:spPr bwMode="auto">
        <a:xfrm>
          <a:off x="1783080" y="31120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143</xdr:row>
      <xdr:rowOff>7620</xdr:rowOff>
    </xdr:from>
    <xdr:to>
      <xdr:col>23</xdr:col>
      <xdr:colOff>38100</xdr:colOff>
      <xdr:row>143</xdr:row>
      <xdr:rowOff>144780</xdr:rowOff>
    </xdr:to>
    <xdr:sp macro="" textlink="">
      <xdr:nvSpPr>
        <xdr:cNvPr id="16360" name="Text Box 126">
          <a:extLst>
            <a:ext uri="{FF2B5EF4-FFF2-40B4-BE49-F238E27FC236}">
              <a16:creationId xmlns:a16="http://schemas.microsoft.com/office/drawing/2014/main" id="{F479D5EC-8D4D-172D-245E-0B5886081206}"/>
            </a:ext>
          </a:extLst>
        </xdr:cNvPr>
        <xdr:cNvSpPr txBox="1">
          <a:spLocks noChangeArrowheads="1"/>
        </xdr:cNvSpPr>
      </xdr:nvSpPr>
      <xdr:spPr bwMode="auto">
        <a:xfrm>
          <a:off x="2583180" y="30914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144</xdr:row>
      <xdr:rowOff>7620</xdr:rowOff>
    </xdr:from>
    <xdr:to>
      <xdr:col>23</xdr:col>
      <xdr:colOff>38100</xdr:colOff>
      <xdr:row>144</xdr:row>
      <xdr:rowOff>144780</xdr:rowOff>
    </xdr:to>
    <xdr:sp macro="" textlink="">
      <xdr:nvSpPr>
        <xdr:cNvPr id="16361" name="Text Box 126">
          <a:extLst>
            <a:ext uri="{FF2B5EF4-FFF2-40B4-BE49-F238E27FC236}">
              <a16:creationId xmlns:a16="http://schemas.microsoft.com/office/drawing/2014/main" id="{085465C9-191C-67E7-D209-DA88B268A9F2}"/>
            </a:ext>
          </a:extLst>
        </xdr:cNvPr>
        <xdr:cNvSpPr txBox="1">
          <a:spLocks noChangeArrowheads="1"/>
        </xdr:cNvSpPr>
      </xdr:nvSpPr>
      <xdr:spPr bwMode="auto">
        <a:xfrm>
          <a:off x="2583180" y="31120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38100</xdr:colOff>
      <xdr:row>230</xdr:row>
      <xdr:rowOff>251460</xdr:rowOff>
    </xdr:from>
    <xdr:to>
      <xdr:col>19</xdr:col>
      <xdr:colOff>30480</xdr:colOff>
      <xdr:row>232</xdr:row>
      <xdr:rowOff>190500</xdr:rowOff>
    </xdr:to>
    <xdr:sp macro="" textlink="">
      <xdr:nvSpPr>
        <xdr:cNvPr id="16362" name="Oval 121">
          <a:extLst>
            <a:ext uri="{FF2B5EF4-FFF2-40B4-BE49-F238E27FC236}">
              <a16:creationId xmlns:a16="http://schemas.microsoft.com/office/drawing/2014/main" id="{F988F77F-E9B0-B58C-A078-E6E3FF8CFB10}"/>
            </a:ext>
          </a:extLst>
        </xdr:cNvPr>
        <xdr:cNvSpPr>
          <a:spLocks noChangeArrowheads="1"/>
        </xdr:cNvSpPr>
      </xdr:nvSpPr>
      <xdr:spPr bwMode="auto">
        <a:xfrm flipH="1">
          <a:off x="1798320" y="53538120"/>
          <a:ext cx="449580" cy="47244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20262</xdr:colOff>
      <xdr:row>224</xdr:row>
      <xdr:rowOff>140555</xdr:rowOff>
    </xdr:from>
    <xdr:to>
      <xdr:col>24</xdr:col>
      <xdr:colOff>108088</xdr:colOff>
      <xdr:row>225</xdr:row>
      <xdr:rowOff>198217</xdr:rowOff>
    </xdr:to>
    <xdr:sp macro="" textlink="">
      <xdr:nvSpPr>
        <xdr:cNvPr id="17" name="16 Elipse">
          <a:extLst>
            <a:ext uri="{FF2B5EF4-FFF2-40B4-BE49-F238E27FC236}">
              <a16:creationId xmlns:a16="http://schemas.microsoft.com/office/drawing/2014/main" id="{17E5E8F9-A0D1-299C-C616-195B8838FF64}"/>
            </a:ext>
          </a:extLst>
        </xdr:cNvPr>
        <xdr:cNvSpPr/>
      </xdr:nvSpPr>
      <xdr:spPr bwMode="auto">
        <a:xfrm>
          <a:off x="2572962" y="40938035"/>
          <a:ext cx="316426"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21</xdr:col>
      <xdr:colOff>69369</xdr:colOff>
      <xdr:row>226</xdr:row>
      <xdr:rowOff>62734</xdr:rowOff>
    </xdr:from>
    <xdr:to>
      <xdr:col>24</xdr:col>
      <xdr:colOff>32765</xdr:colOff>
      <xdr:row>227</xdr:row>
      <xdr:rowOff>143050</xdr:rowOff>
    </xdr:to>
    <xdr:sp macro="" textlink="">
      <xdr:nvSpPr>
        <xdr:cNvPr id="18" name="17 Elipse">
          <a:extLst>
            <a:ext uri="{FF2B5EF4-FFF2-40B4-BE49-F238E27FC236}">
              <a16:creationId xmlns:a16="http://schemas.microsoft.com/office/drawing/2014/main" id="{B017891D-9C7B-5080-BF06-E55150B1B2DF}"/>
            </a:ext>
          </a:extLst>
        </xdr:cNvPr>
        <xdr:cNvSpPr/>
      </xdr:nvSpPr>
      <xdr:spPr bwMode="auto">
        <a:xfrm>
          <a:off x="2500149" y="41401234"/>
          <a:ext cx="313798"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6</xdr:col>
      <xdr:colOff>36785</xdr:colOff>
      <xdr:row>234</xdr:row>
      <xdr:rowOff>140642</xdr:rowOff>
    </xdr:from>
    <xdr:to>
      <xdr:col>9</xdr:col>
      <xdr:colOff>7685</xdr:colOff>
      <xdr:row>235</xdr:row>
      <xdr:rowOff>205576</xdr:rowOff>
    </xdr:to>
    <xdr:sp macro="" textlink="">
      <xdr:nvSpPr>
        <xdr:cNvPr id="19" name="18 Elipse">
          <a:extLst>
            <a:ext uri="{FF2B5EF4-FFF2-40B4-BE49-F238E27FC236}">
              <a16:creationId xmlns:a16="http://schemas.microsoft.com/office/drawing/2014/main" id="{8ED009AE-A54D-41C4-8DB2-35109873455E}"/>
            </a:ext>
          </a:extLst>
        </xdr:cNvPr>
        <xdr:cNvSpPr/>
      </xdr:nvSpPr>
      <xdr:spPr bwMode="auto">
        <a:xfrm>
          <a:off x="760685" y="43605122"/>
          <a:ext cx="313800" cy="33923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twoCellAnchor>
    <xdr:from>
      <xdr:col>28</xdr:col>
      <xdr:colOff>106680</xdr:colOff>
      <xdr:row>333</xdr:row>
      <xdr:rowOff>68580</xdr:rowOff>
    </xdr:from>
    <xdr:to>
      <xdr:col>32</xdr:col>
      <xdr:colOff>45720</xdr:colOff>
      <xdr:row>334</xdr:row>
      <xdr:rowOff>220980</xdr:rowOff>
    </xdr:to>
    <xdr:sp macro="" textlink="">
      <xdr:nvSpPr>
        <xdr:cNvPr id="16366" name="Oval 121">
          <a:extLst>
            <a:ext uri="{FF2B5EF4-FFF2-40B4-BE49-F238E27FC236}">
              <a16:creationId xmlns:a16="http://schemas.microsoft.com/office/drawing/2014/main" id="{760C08EE-E38C-9878-023E-8727E24EB52C}"/>
            </a:ext>
          </a:extLst>
        </xdr:cNvPr>
        <xdr:cNvSpPr>
          <a:spLocks noChangeArrowheads="1"/>
        </xdr:cNvSpPr>
      </xdr:nvSpPr>
      <xdr:spPr bwMode="auto">
        <a:xfrm flipH="1">
          <a:off x="3352800" y="79849980"/>
          <a:ext cx="396240" cy="41910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64574</xdr:colOff>
      <xdr:row>330</xdr:row>
      <xdr:rowOff>161925</xdr:rowOff>
    </xdr:from>
    <xdr:to>
      <xdr:col>18</xdr:col>
      <xdr:colOff>38100</xdr:colOff>
      <xdr:row>331</xdr:row>
      <xdr:rowOff>227026</xdr:rowOff>
    </xdr:to>
    <xdr:sp macro="" textlink="">
      <xdr:nvSpPr>
        <xdr:cNvPr id="23" name="16 Elipse">
          <a:extLst>
            <a:ext uri="{FF2B5EF4-FFF2-40B4-BE49-F238E27FC236}">
              <a16:creationId xmlns:a16="http://schemas.microsoft.com/office/drawing/2014/main" id="{EF1144E8-9774-411F-F186-D50998E10A86}"/>
            </a:ext>
          </a:extLst>
        </xdr:cNvPr>
        <xdr:cNvSpPr/>
      </xdr:nvSpPr>
      <xdr:spPr bwMode="auto">
        <a:xfrm>
          <a:off x="1852343" y="43625233"/>
          <a:ext cx="325219" cy="33630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19</xdr:col>
      <xdr:colOff>76200</xdr:colOff>
      <xdr:row>330</xdr:row>
      <xdr:rowOff>142875</xdr:rowOff>
    </xdr:from>
    <xdr:to>
      <xdr:col>22</xdr:col>
      <xdr:colOff>49726</xdr:colOff>
      <xdr:row>331</xdr:row>
      <xdr:rowOff>215414</xdr:rowOff>
    </xdr:to>
    <xdr:sp macro="" textlink="">
      <xdr:nvSpPr>
        <xdr:cNvPr id="24" name="17 Elipse">
          <a:extLst>
            <a:ext uri="{FF2B5EF4-FFF2-40B4-BE49-F238E27FC236}">
              <a16:creationId xmlns:a16="http://schemas.microsoft.com/office/drawing/2014/main" id="{DAF55326-8BBF-7CE2-E960-BFC0E28A0B9E}"/>
            </a:ext>
          </a:extLst>
        </xdr:cNvPr>
        <xdr:cNvSpPr/>
      </xdr:nvSpPr>
      <xdr:spPr bwMode="auto">
        <a:xfrm>
          <a:off x="2332892" y="43606183"/>
          <a:ext cx="325219" cy="33630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23</xdr:col>
      <xdr:colOff>57150</xdr:colOff>
      <xdr:row>330</xdr:row>
      <xdr:rowOff>152400</xdr:rowOff>
    </xdr:from>
    <xdr:to>
      <xdr:col>26</xdr:col>
      <xdr:colOff>38419</xdr:colOff>
      <xdr:row>331</xdr:row>
      <xdr:rowOff>224939</xdr:rowOff>
    </xdr:to>
    <xdr:sp macro="" textlink="">
      <xdr:nvSpPr>
        <xdr:cNvPr id="25" name="18 Elipse">
          <a:extLst>
            <a:ext uri="{FF2B5EF4-FFF2-40B4-BE49-F238E27FC236}">
              <a16:creationId xmlns:a16="http://schemas.microsoft.com/office/drawing/2014/main" id="{D6CFE5CA-24F9-42C1-25BF-D6BBBB4ACEC1}"/>
            </a:ext>
          </a:extLst>
        </xdr:cNvPr>
        <xdr:cNvSpPr/>
      </xdr:nvSpPr>
      <xdr:spPr bwMode="auto">
        <a:xfrm>
          <a:off x="2782765" y="43615708"/>
          <a:ext cx="325219" cy="33630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twoCellAnchor>
    <xdr:from>
      <xdr:col>27</xdr:col>
      <xdr:colOff>87630</xdr:colOff>
      <xdr:row>330</xdr:row>
      <xdr:rowOff>180975</xdr:rowOff>
    </xdr:from>
    <xdr:to>
      <xdr:col>30</xdr:col>
      <xdr:colOff>68899</xdr:colOff>
      <xdr:row>331</xdr:row>
      <xdr:rowOff>253514</xdr:rowOff>
    </xdr:to>
    <xdr:sp macro="" textlink="">
      <xdr:nvSpPr>
        <xdr:cNvPr id="26" name="19 Elipse">
          <a:extLst>
            <a:ext uri="{FF2B5EF4-FFF2-40B4-BE49-F238E27FC236}">
              <a16:creationId xmlns:a16="http://schemas.microsoft.com/office/drawing/2014/main" id="{EE7FE47B-5AA3-2976-D47D-1D25CC7924E0}"/>
            </a:ext>
          </a:extLst>
        </xdr:cNvPr>
        <xdr:cNvSpPr/>
      </xdr:nvSpPr>
      <xdr:spPr bwMode="auto">
        <a:xfrm>
          <a:off x="3289788" y="43644283"/>
          <a:ext cx="325219" cy="336308"/>
        </a:xfrm>
        <a:prstGeom prst="ellipse">
          <a:avLst/>
        </a:pr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r>
            <a:rPr lang="es-PE" sz="1100"/>
            <a:t>  </a:t>
          </a:r>
          <a:r>
            <a:rPr lang="es-PE" sz="1100" b="1"/>
            <a:t>4</a:t>
          </a:r>
          <a:endParaRPr lang="es-PE" sz="1100" b="1">
            <a:solidFill>
              <a:sysClr val="windowText" lastClr="000000"/>
            </a:solidFill>
          </a:endParaRPr>
        </a:p>
      </xdr:txBody>
    </xdr:sp>
    <xdr:clientData/>
  </xdr:twoCellAnchor>
  <xdr:twoCellAnchor>
    <xdr:from>
      <xdr:col>29</xdr:col>
      <xdr:colOff>22860</xdr:colOff>
      <xdr:row>142</xdr:row>
      <xdr:rowOff>7620</xdr:rowOff>
    </xdr:from>
    <xdr:to>
      <xdr:col>30</xdr:col>
      <xdr:colOff>38100</xdr:colOff>
      <xdr:row>142</xdr:row>
      <xdr:rowOff>144780</xdr:rowOff>
    </xdr:to>
    <xdr:sp macro="" textlink="">
      <xdr:nvSpPr>
        <xdr:cNvPr id="16371" name="Text Box 126">
          <a:extLst>
            <a:ext uri="{FF2B5EF4-FFF2-40B4-BE49-F238E27FC236}">
              <a16:creationId xmlns:a16="http://schemas.microsoft.com/office/drawing/2014/main" id="{88399A06-0E93-F0B8-4BE1-33C597A74CFF}"/>
            </a:ext>
          </a:extLst>
        </xdr:cNvPr>
        <xdr:cNvSpPr txBox="1">
          <a:spLocks noChangeArrowheads="1"/>
        </xdr:cNvSpPr>
      </xdr:nvSpPr>
      <xdr:spPr bwMode="auto">
        <a:xfrm>
          <a:off x="3383280" y="3070860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144</xdr:row>
      <xdr:rowOff>7620</xdr:rowOff>
    </xdr:from>
    <xdr:to>
      <xdr:col>30</xdr:col>
      <xdr:colOff>38100</xdr:colOff>
      <xdr:row>144</xdr:row>
      <xdr:rowOff>144780</xdr:rowOff>
    </xdr:to>
    <xdr:sp macro="" textlink="">
      <xdr:nvSpPr>
        <xdr:cNvPr id="16372" name="Text Box 126">
          <a:extLst>
            <a:ext uri="{FF2B5EF4-FFF2-40B4-BE49-F238E27FC236}">
              <a16:creationId xmlns:a16="http://schemas.microsoft.com/office/drawing/2014/main" id="{29C6476F-B998-B453-9F2F-CB4282CB2C53}"/>
            </a:ext>
          </a:extLst>
        </xdr:cNvPr>
        <xdr:cNvSpPr txBox="1">
          <a:spLocks noChangeArrowheads="1"/>
        </xdr:cNvSpPr>
      </xdr:nvSpPr>
      <xdr:spPr bwMode="auto">
        <a:xfrm>
          <a:off x="3383280" y="31120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143</xdr:row>
      <xdr:rowOff>7620</xdr:rowOff>
    </xdr:from>
    <xdr:to>
      <xdr:col>30</xdr:col>
      <xdr:colOff>38100</xdr:colOff>
      <xdr:row>143</xdr:row>
      <xdr:rowOff>144780</xdr:rowOff>
    </xdr:to>
    <xdr:sp macro="" textlink="">
      <xdr:nvSpPr>
        <xdr:cNvPr id="16373" name="Text Box 126">
          <a:extLst>
            <a:ext uri="{FF2B5EF4-FFF2-40B4-BE49-F238E27FC236}">
              <a16:creationId xmlns:a16="http://schemas.microsoft.com/office/drawing/2014/main" id="{AF5DED43-9E23-228E-ADAC-1E96F5A0050E}"/>
            </a:ext>
          </a:extLst>
        </xdr:cNvPr>
        <xdr:cNvSpPr txBox="1">
          <a:spLocks noChangeArrowheads="1"/>
        </xdr:cNvSpPr>
      </xdr:nvSpPr>
      <xdr:spPr bwMode="auto">
        <a:xfrm>
          <a:off x="3383280" y="30914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22860</xdr:colOff>
      <xdr:row>305</xdr:row>
      <xdr:rowOff>152400</xdr:rowOff>
    </xdr:from>
    <xdr:to>
      <xdr:col>19</xdr:col>
      <xdr:colOff>30480</xdr:colOff>
      <xdr:row>305</xdr:row>
      <xdr:rowOff>266700</xdr:rowOff>
    </xdr:to>
    <xdr:sp macro="" textlink="">
      <xdr:nvSpPr>
        <xdr:cNvPr id="16374" name="Text Box 126">
          <a:extLst>
            <a:ext uri="{FF2B5EF4-FFF2-40B4-BE49-F238E27FC236}">
              <a16:creationId xmlns:a16="http://schemas.microsoft.com/office/drawing/2014/main" id="{AB03895E-7717-B34C-855C-FBE84E510026}"/>
            </a:ext>
          </a:extLst>
        </xdr:cNvPr>
        <xdr:cNvSpPr txBox="1">
          <a:spLocks noChangeArrowheads="1"/>
        </xdr:cNvSpPr>
      </xdr:nvSpPr>
      <xdr:spPr bwMode="auto">
        <a:xfrm>
          <a:off x="2125980" y="70073520"/>
          <a:ext cx="12192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29</xdr:col>
      <xdr:colOff>31750</xdr:colOff>
      <xdr:row>221</xdr:row>
      <xdr:rowOff>0</xdr:rowOff>
    </xdr:from>
    <xdr:ext cx="184731" cy="264560"/>
    <xdr:sp macro="" textlink="">
      <xdr:nvSpPr>
        <xdr:cNvPr id="30" name="111 CuadroTexto">
          <a:extLst>
            <a:ext uri="{FF2B5EF4-FFF2-40B4-BE49-F238E27FC236}">
              <a16:creationId xmlns:a16="http://schemas.microsoft.com/office/drawing/2014/main" id="{6E1F714B-62F4-44C7-32C8-C29585C8A996}"/>
            </a:ext>
          </a:extLst>
        </xdr:cNvPr>
        <xdr:cNvSpPr txBox="1"/>
      </xdr:nvSpPr>
      <xdr:spPr>
        <a:xfrm>
          <a:off x="3466612" y="493131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31750</xdr:colOff>
      <xdr:row>221</xdr:row>
      <xdr:rowOff>0</xdr:rowOff>
    </xdr:from>
    <xdr:ext cx="184731" cy="264560"/>
    <xdr:sp macro="" textlink="">
      <xdr:nvSpPr>
        <xdr:cNvPr id="31" name="15 CuadroTexto">
          <a:extLst>
            <a:ext uri="{FF2B5EF4-FFF2-40B4-BE49-F238E27FC236}">
              <a16:creationId xmlns:a16="http://schemas.microsoft.com/office/drawing/2014/main" id="{25BD61EA-2736-74FB-5CEC-729D29BC9B18}"/>
            </a:ext>
          </a:extLst>
        </xdr:cNvPr>
        <xdr:cNvSpPr txBox="1"/>
      </xdr:nvSpPr>
      <xdr:spPr>
        <a:xfrm>
          <a:off x="3466612" y="493131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xdr:from>
      <xdr:col>13</xdr:col>
      <xdr:colOff>76200</xdr:colOff>
      <xdr:row>124</xdr:row>
      <xdr:rowOff>7620</xdr:rowOff>
    </xdr:from>
    <xdr:to>
      <xdr:col>18</xdr:col>
      <xdr:colOff>114300</xdr:colOff>
      <xdr:row>126</xdr:row>
      <xdr:rowOff>152400</xdr:rowOff>
    </xdr:to>
    <xdr:sp macro="" textlink="">
      <xdr:nvSpPr>
        <xdr:cNvPr id="16377" name="Oval 121">
          <a:extLst>
            <a:ext uri="{FF2B5EF4-FFF2-40B4-BE49-F238E27FC236}">
              <a16:creationId xmlns:a16="http://schemas.microsoft.com/office/drawing/2014/main" id="{E2C7D641-2617-A34F-8B1A-DCDE3980732D}"/>
            </a:ext>
          </a:extLst>
        </xdr:cNvPr>
        <xdr:cNvSpPr>
          <a:spLocks noChangeArrowheads="1"/>
        </xdr:cNvSpPr>
      </xdr:nvSpPr>
      <xdr:spPr bwMode="auto">
        <a:xfrm>
          <a:off x="1607820" y="25732740"/>
          <a:ext cx="609600" cy="55626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7327</xdr:colOff>
      <xdr:row>225</xdr:row>
      <xdr:rowOff>197826</xdr:rowOff>
    </xdr:from>
    <xdr:to>
      <xdr:col>11</xdr:col>
      <xdr:colOff>95153</xdr:colOff>
      <xdr:row>227</xdr:row>
      <xdr:rowOff>6597</xdr:rowOff>
    </xdr:to>
    <xdr:sp macro="" textlink="">
      <xdr:nvSpPr>
        <xdr:cNvPr id="33" name="16 Elipse">
          <a:extLst>
            <a:ext uri="{FF2B5EF4-FFF2-40B4-BE49-F238E27FC236}">
              <a16:creationId xmlns:a16="http://schemas.microsoft.com/office/drawing/2014/main" id="{096881B0-BE81-905D-305B-2EAE4F482924}"/>
            </a:ext>
          </a:extLst>
        </xdr:cNvPr>
        <xdr:cNvSpPr/>
      </xdr:nvSpPr>
      <xdr:spPr bwMode="auto">
        <a:xfrm>
          <a:off x="1091712" y="47295288"/>
          <a:ext cx="322287" cy="336309"/>
        </a:xfrm>
        <a:prstGeom prst="ellipse">
          <a:avLst/>
        </a:pr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r>
            <a:rPr lang="es-PE" sz="1100"/>
            <a:t>  </a:t>
          </a:r>
          <a:r>
            <a:rPr lang="es-PE" sz="1100" b="1"/>
            <a:t>4</a:t>
          </a:r>
          <a:endParaRPr lang="es-PE" sz="1100" b="1">
            <a:solidFill>
              <a:sysClr val="windowText" lastClr="000000"/>
            </a:solidFill>
          </a:endParaRPr>
        </a:p>
      </xdr:txBody>
    </xdr:sp>
    <xdr:clientData/>
  </xdr:twoCellAnchor>
  <xdr:twoCellAnchor editAs="oneCell">
    <xdr:from>
      <xdr:col>0</xdr:col>
      <xdr:colOff>0</xdr:colOff>
      <xdr:row>0</xdr:row>
      <xdr:rowOff>0</xdr:rowOff>
    </xdr:from>
    <xdr:to>
      <xdr:col>47</xdr:col>
      <xdr:colOff>106680</xdr:colOff>
      <xdr:row>8</xdr:row>
      <xdr:rowOff>129540</xdr:rowOff>
    </xdr:to>
    <xdr:pic>
      <xdr:nvPicPr>
        <xdr:cNvPr id="16379" name="Imagen 1">
          <a:extLst>
            <a:ext uri="{FF2B5EF4-FFF2-40B4-BE49-F238E27FC236}">
              <a16:creationId xmlns:a16="http://schemas.microsoft.com/office/drawing/2014/main" id="{F76D09D5-54AB-E00F-8190-EDAD7417640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0"/>
          <a:ext cx="567690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22860</xdr:colOff>
      <xdr:row>163</xdr:row>
      <xdr:rowOff>7620</xdr:rowOff>
    </xdr:from>
    <xdr:to>
      <xdr:col>16</xdr:col>
      <xdr:colOff>38100</xdr:colOff>
      <xdr:row>163</xdr:row>
      <xdr:rowOff>144780</xdr:rowOff>
    </xdr:to>
    <xdr:sp macro="" textlink="">
      <xdr:nvSpPr>
        <xdr:cNvPr id="16380" name="Text Box 126">
          <a:extLst>
            <a:ext uri="{FF2B5EF4-FFF2-40B4-BE49-F238E27FC236}">
              <a16:creationId xmlns:a16="http://schemas.microsoft.com/office/drawing/2014/main" id="{77C14562-9970-E0D9-7AE4-A9F61D7507A7}"/>
            </a:ext>
          </a:extLst>
        </xdr:cNvPr>
        <xdr:cNvSpPr txBox="1">
          <a:spLocks noChangeArrowheads="1"/>
        </xdr:cNvSpPr>
      </xdr:nvSpPr>
      <xdr:spPr bwMode="auto">
        <a:xfrm>
          <a:off x="1783080" y="35105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164</xdr:row>
      <xdr:rowOff>7620</xdr:rowOff>
    </xdr:from>
    <xdr:to>
      <xdr:col>16</xdr:col>
      <xdr:colOff>38100</xdr:colOff>
      <xdr:row>164</xdr:row>
      <xdr:rowOff>144780</xdr:rowOff>
    </xdr:to>
    <xdr:sp macro="" textlink="">
      <xdr:nvSpPr>
        <xdr:cNvPr id="16381" name="Text Box 126">
          <a:extLst>
            <a:ext uri="{FF2B5EF4-FFF2-40B4-BE49-F238E27FC236}">
              <a16:creationId xmlns:a16="http://schemas.microsoft.com/office/drawing/2014/main" id="{6D820D1A-C13D-6F1A-0829-7B4264303E19}"/>
            </a:ext>
          </a:extLst>
        </xdr:cNvPr>
        <xdr:cNvSpPr txBox="1">
          <a:spLocks noChangeArrowheads="1"/>
        </xdr:cNvSpPr>
      </xdr:nvSpPr>
      <xdr:spPr bwMode="auto">
        <a:xfrm>
          <a:off x="1783080" y="35311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163</xdr:row>
      <xdr:rowOff>7620</xdr:rowOff>
    </xdr:from>
    <xdr:to>
      <xdr:col>23</xdr:col>
      <xdr:colOff>38100</xdr:colOff>
      <xdr:row>163</xdr:row>
      <xdr:rowOff>144780</xdr:rowOff>
    </xdr:to>
    <xdr:sp macro="" textlink="">
      <xdr:nvSpPr>
        <xdr:cNvPr id="16382" name="Text Box 126">
          <a:extLst>
            <a:ext uri="{FF2B5EF4-FFF2-40B4-BE49-F238E27FC236}">
              <a16:creationId xmlns:a16="http://schemas.microsoft.com/office/drawing/2014/main" id="{16A00D66-4F51-5D8C-FF96-08562B3319A5}"/>
            </a:ext>
          </a:extLst>
        </xdr:cNvPr>
        <xdr:cNvSpPr txBox="1">
          <a:spLocks noChangeArrowheads="1"/>
        </xdr:cNvSpPr>
      </xdr:nvSpPr>
      <xdr:spPr bwMode="auto">
        <a:xfrm>
          <a:off x="2583180" y="35105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164</xdr:row>
      <xdr:rowOff>7620</xdr:rowOff>
    </xdr:from>
    <xdr:to>
      <xdr:col>23</xdr:col>
      <xdr:colOff>38100</xdr:colOff>
      <xdr:row>164</xdr:row>
      <xdr:rowOff>144780</xdr:rowOff>
    </xdr:to>
    <xdr:sp macro="" textlink="">
      <xdr:nvSpPr>
        <xdr:cNvPr id="16383" name="Text Box 126">
          <a:extLst>
            <a:ext uri="{FF2B5EF4-FFF2-40B4-BE49-F238E27FC236}">
              <a16:creationId xmlns:a16="http://schemas.microsoft.com/office/drawing/2014/main" id="{7967DA59-5F70-C406-3E22-02A578D64FA2}"/>
            </a:ext>
          </a:extLst>
        </xdr:cNvPr>
        <xdr:cNvSpPr txBox="1">
          <a:spLocks noChangeArrowheads="1"/>
        </xdr:cNvSpPr>
      </xdr:nvSpPr>
      <xdr:spPr bwMode="auto">
        <a:xfrm>
          <a:off x="2583180" y="35311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163</xdr:row>
      <xdr:rowOff>7620</xdr:rowOff>
    </xdr:from>
    <xdr:to>
      <xdr:col>30</xdr:col>
      <xdr:colOff>38100</xdr:colOff>
      <xdr:row>163</xdr:row>
      <xdr:rowOff>144780</xdr:rowOff>
    </xdr:to>
    <xdr:sp macro="" textlink="">
      <xdr:nvSpPr>
        <xdr:cNvPr id="17408" name="Text Box 126">
          <a:extLst>
            <a:ext uri="{FF2B5EF4-FFF2-40B4-BE49-F238E27FC236}">
              <a16:creationId xmlns:a16="http://schemas.microsoft.com/office/drawing/2014/main" id="{355539E9-9EAC-7EE6-C2BA-E0698BAAA82A}"/>
            </a:ext>
          </a:extLst>
        </xdr:cNvPr>
        <xdr:cNvSpPr txBox="1">
          <a:spLocks noChangeArrowheads="1"/>
        </xdr:cNvSpPr>
      </xdr:nvSpPr>
      <xdr:spPr bwMode="auto">
        <a:xfrm>
          <a:off x="3383280" y="3510534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164</xdr:row>
      <xdr:rowOff>7620</xdr:rowOff>
    </xdr:from>
    <xdr:to>
      <xdr:col>30</xdr:col>
      <xdr:colOff>38100</xdr:colOff>
      <xdr:row>164</xdr:row>
      <xdr:rowOff>144780</xdr:rowOff>
    </xdr:to>
    <xdr:sp macro="" textlink="">
      <xdr:nvSpPr>
        <xdr:cNvPr id="17409" name="Text Box 126">
          <a:extLst>
            <a:ext uri="{FF2B5EF4-FFF2-40B4-BE49-F238E27FC236}">
              <a16:creationId xmlns:a16="http://schemas.microsoft.com/office/drawing/2014/main" id="{98FB4822-5414-2E6F-07F0-34392C385AAD}"/>
            </a:ext>
          </a:extLst>
        </xdr:cNvPr>
        <xdr:cNvSpPr txBox="1">
          <a:spLocks noChangeArrowheads="1"/>
        </xdr:cNvSpPr>
      </xdr:nvSpPr>
      <xdr:spPr bwMode="auto">
        <a:xfrm>
          <a:off x="3383280" y="3531108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160</xdr:row>
      <xdr:rowOff>15240</xdr:rowOff>
    </xdr:from>
    <xdr:to>
      <xdr:col>16</xdr:col>
      <xdr:colOff>30480</xdr:colOff>
      <xdr:row>160</xdr:row>
      <xdr:rowOff>137160</xdr:rowOff>
    </xdr:to>
    <xdr:sp macro="" textlink="">
      <xdr:nvSpPr>
        <xdr:cNvPr id="17410" name="Text Box 126">
          <a:extLst>
            <a:ext uri="{FF2B5EF4-FFF2-40B4-BE49-F238E27FC236}">
              <a16:creationId xmlns:a16="http://schemas.microsoft.com/office/drawing/2014/main" id="{EA1B31D6-F139-DD0A-C1A2-A8B51208AFF1}"/>
            </a:ext>
          </a:extLst>
        </xdr:cNvPr>
        <xdr:cNvSpPr txBox="1">
          <a:spLocks noChangeArrowheads="1"/>
        </xdr:cNvSpPr>
      </xdr:nvSpPr>
      <xdr:spPr bwMode="auto">
        <a:xfrm>
          <a:off x="1783080" y="34533840"/>
          <a:ext cx="12192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156</xdr:row>
      <xdr:rowOff>7620</xdr:rowOff>
    </xdr:from>
    <xdr:to>
      <xdr:col>16</xdr:col>
      <xdr:colOff>38100</xdr:colOff>
      <xdr:row>156</xdr:row>
      <xdr:rowOff>144780</xdr:rowOff>
    </xdr:to>
    <xdr:sp macro="" textlink="">
      <xdr:nvSpPr>
        <xdr:cNvPr id="17411" name="Text Box 126">
          <a:extLst>
            <a:ext uri="{FF2B5EF4-FFF2-40B4-BE49-F238E27FC236}">
              <a16:creationId xmlns:a16="http://schemas.microsoft.com/office/drawing/2014/main" id="{B6CE1716-FFAB-BC6C-F172-3DB7AEEE5A97}"/>
            </a:ext>
          </a:extLst>
        </xdr:cNvPr>
        <xdr:cNvSpPr txBox="1">
          <a:spLocks noChangeArrowheads="1"/>
        </xdr:cNvSpPr>
      </xdr:nvSpPr>
      <xdr:spPr bwMode="auto">
        <a:xfrm>
          <a:off x="1783080" y="33764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157</xdr:row>
      <xdr:rowOff>7620</xdr:rowOff>
    </xdr:from>
    <xdr:to>
      <xdr:col>16</xdr:col>
      <xdr:colOff>38100</xdr:colOff>
      <xdr:row>157</xdr:row>
      <xdr:rowOff>144780</xdr:rowOff>
    </xdr:to>
    <xdr:sp macro="" textlink="">
      <xdr:nvSpPr>
        <xdr:cNvPr id="17412" name="Text Box 126">
          <a:extLst>
            <a:ext uri="{FF2B5EF4-FFF2-40B4-BE49-F238E27FC236}">
              <a16:creationId xmlns:a16="http://schemas.microsoft.com/office/drawing/2014/main" id="{EA29A9FA-CF72-2482-4E1B-771A532D60D3}"/>
            </a:ext>
          </a:extLst>
        </xdr:cNvPr>
        <xdr:cNvSpPr txBox="1">
          <a:spLocks noChangeArrowheads="1"/>
        </xdr:cNvSpPr>
      </xdr:nvSpPr>
      <xdr:spPr bwMode="auto">
        <a:xfrm>
          <a:off x="1783080" y="33954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158</xdr:row>
      <xdr:rowOff>7620</xdr:rowOff>
    </xdr:from>
    <xdr:to>
      <xdr:col>16</xdr:col>
      <xdr:colOff>38100</xdr:colOff>
      <xdr:row>158</xdr:row>
      <xdr:rowOff>144780</xdr:rowOff>
    </xdr:to>
    <xdr:sp macro="" textlink="">
      <xdr:nvSpPr>
        <xdr:cNvPr id="17413" name="Text Box 126">
          <a:extLst>
            <a:ext uri="{FF2B5EF4-FFF2-40B4-BE49-F238E27FC236}">
              <a16:creationId xmlns:a16="http://schemas.microsoft.com/office/drawing/2014/main" id="{E984F974-9772-134F-270D-5B8CAB00F450}"/>
            </a:ext>
          </a:extLst>
        </xdr:cNvPr>
        <xdr:cNvSpPr txBox="1">
          <a:spLocks noChangeArrowheads="1"/>
        </xdr:cNvSpPr>
      </xdr:nvSpPr>
      <xdr:spPr bwMode="auto">
        <a:xfrm>
          <a:off x="1783080" y="34145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156</xdr:row>
      <xdr:rowOff>7620</xdr:rowOff>
    </xdr:from>
    <xdr:to>
      <xdr:col>23</xdr:col>
      <xdr:colOff>38100</xdr:colOff>
      <xdr:row>156</xdr:row>
      <xdr:rowOff>144780</xdr:rowOff>
    </xdr:to>
    <xdr:sp macro="" textlink="">
      <xdr:nvSpPr>
        <xdr:cNvPr id="17414" name="Text Box 126">
          <a:extLst>
            <a:ext uri="{FF2B5EF4-FFF2-40B4-BE49-F238E27FC236}">
              <a16:creationId xmlns:a16="http://schemas.microsoft.com/office/drawing/2014/main" id="{A458AA3C-9DE6-1D95-9F53-E53F94F3EFA0}"/>
            </a:ext>
          </a:extLst>
        </xdr:cNvPr>
        <xdr:cNvSpPr txBox="1">
          <a:spLocks noChangeArrowheads="1"/>
        </xdr:cNvSpPr>
      </xdr:nvSpPr>
      <xdr:spPr bwMode="auto">
        <a:xfrm>
          <a:off x="2583180" y="33764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157</xdr:row>
      <xdr:rowOff>7620</xdr:rowOff>
    </xdr:from>
    <xdr:to>
      <xdr:col>23</xdr:col>
      <xdr:colOff>38100</xdr:colOff>
      <xdr:row>157</xdr:row>
      <xdr:rowOff>144780</xdr:rowOff>
    </xdr:to>
    <xdr:sp macro="" textlink="">
      <xdr:nvSpPr>
        <xdr:cNvPr id="17415" name="Text Box 126">
          <a:extLst>
            <a:ext uri="{FF2B5EF4-FFF2-40B4-BE49-F238E27FC236}">
              <a16:creationId xmlns:a16="http://schemas.microsoft.com/office/drawing/2014/main" id="{64A02014-6DCB-3562-724A-1ADB5DBAAFBF}"/>
            </a:ext>
          </a:extLst>
        </xdr:cNvPr>
        <xdr:cNvSpPr txBox="1">
          <a:spLocks noChangeArrowheads="1"/>
        </xdr:cNvSpPr>
      </xdr:nvSpPr>
      <xdr:spPr bwMode="auto">
        <a:xfrm>
          <a:off x="2583180" y="33954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158</xdr:row>
      <xdr:rowOff>7620</xdr:rowOff>
    </xdr:from>
    <xdr:to>
      <xdr:col>23</xdr:col>
      <xdr:colOff>38100</xdr:colOff>
      <xdr:row>158</xdr:row>
      <xdr:rowOff>144780</xdr:rowOff>
    </xdr:to>
    <xdr:sp macro="" textlink="">
      <xdr:nvSpPr>
        <xdr:cNvPr id="17416" name="Text Box 126">
          <a:extLst>
            <a:ext uri="{FF2B5EF4-FFF2-40B4-BE49-F238E27FC236}">
              <a16:creationId xmlns:a16="http://schemas.microsoft.com/office/drawing/2014/main" id="{49AF1D60-5860-6AA3-4171-792BE38EB61C}"/>
            </a:ext>
          </a:extLst>
        </xdr:cNvPr>
        <xdr:cNvSpPr txBox="1">
          <a:spLocks noChangeArrowheads="1"/>
        </xdr:cNvSpPr>
      </xdr:nvSpPr>
      <xdr:spPr bwMode="auto">
        <a:xfrm>
          <a:off x="2583180" y="34145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156</xdr:row>
      <xdr:rowOff>7620</xdr:rowOff>
    </xdr:from>
    <xdr:to>
      <xdr:col>30</xdr:col>
      <xdr:colOff>38100</xdr:colOff>
      <xdr:row>156</xdr:row>
      <xdr:rowOff>144780</xdr:rowOff>
    </xdr:to>
    <xdr:sp macro="" textlink="">
      <xdr:nvSpPr>
        <xdr:cNvPr id="17417" name="Text Box 126">
          <a:extLst>
            <a:ext uri="{FF2B5EF4-FFF2-40B4-BE49-F238E27FC236}">
              <a16:creationId xmlns:a16="http://schemas.microsoft.com/office/drawing/2014/main" id="{7057F9DD-F8C6-C166-41CF-8A6EF32DF445}"/>
            </a:ext>
          </a:extLst>
        </xdr:cNvPr>
        <xdr:cNvSpPr txBox="1">
          <a:spLocks noChangeArrowheads="1"/>
        </xdr:cNvSpPr>
      </xdr:nvSpPr>
      <xdr:spPr bwMode="auto">
        <a:xfrm>
          <a:off x="3383280" y="33764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158</xdr:row>
      <xdr:rowOff>7620</xdr:rowOff>
    </xdr:from>
    <xdr:to>
      <xdr:col>30</xdr:col>
      <xdr:colOff>38100</xdr:colOff>
      <xdr:row>158</xdr:row>
      <xdr:rowOff>144780</xdr:rowOff>
    </xdr:to>
    <xdr:sp macro="" textlink="">
      <xdr:nvSpPr>
        <xdr:cNvPr id="17418" name="Text Box 126">
          <a:extLst>
            <a:ext uri="{FF2B5EF4-FFF2-40B4-BE49-F238E27FC236}">
              <a16:creationId xmlns:a16="http://schemas.microsoft.com/office/drawing/2014/main" id="{0A2E8219-94F5-97B0-BD93-8CD91821E83E}"/>
            </a:ext>
          </a:extLst>
        </xdr:cNvPr>
        <xdr:cNvSpPr txBox="1">
          <a:spLocks noChangeArrowheads="1"/>
        </xdr:cNvSpPr>
      </xdr:nvSpPr>
      <xdr:spPr bwMode="auto">
        <a:xfrm>
          <a:off x="3383280" y="34145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157</xdr:row>
      <xdr:rowOff>7620</xdr:rowOff>
    </xdr:from>
    <xdr:to>
      <xdr:col>30</xdr:col>
      <xdr:colOff>38100</xdr:colOff>
      <xdr:row>157</xdr:row>
      <xdr:rowOff>144780</xdr:rowOff>
    </xdr:to>
    <xdr:sp macro="" textlink="">
      <xdr:nvSpPr>
        <xdr:cNvPr id="17419" name="Text Box 126">
          <a:extLst>
            <a:ext uri="{FF2B5EF4-FFF2-40B4-BE49-F238E27FC236}">
              <a16:creationId xmlns:a16="http://schemas.microsoft.com/office/drawing/2014/main" id="{C81E232E-F613-08A9-5797-3D3C328F681F}"/>
            </a:ext>
          </a:extLst>
        </xdr:cNvPr>
        <xdr:cNvSpPr txBox="1">
          <a:spLocks noChangeArrowheads="1"/>
        </xdr:cNvSpPr>
      </xdr:nvSpPr>
      <xdr:spPr bwMode="auto">
        <a:xfrm>
          <a:off x="3383280" y="33954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153</xdr:row>
      <xdr:rowOff>22860</xdr:rowOff>
    </xdr:from>
    <xdr:to>
      <xdr:col>16</xdr:col>
      <xdr:colOff>30480</xdr:colOff>
      <xdr:row>153</xdr:row>
      <xdr:rowOff>129540</xdr:rowOff>
    </xdr:to>
    <xdr:sp macro="" textlink="">
      <xdr:nvSpPr>
        <xdr:cNvPr id="17420" name="Text Box 126">
          <a:extLst>
            <a:ext uri="{FF2B5EF4-FFF2-40B4-BE49-F238E27FC236}">
              <a16:creationId xmlns:a16="http://schemas.microsoft.com/office/drawing/2014/main" id="{C04389CD-9D2D-01D3-5BFB-9E7DAB0A9226}"/>
            </a:ext>
          </a:extLst>
        </xdr:cNvPr>
        <xdr:cNvSpPr txBox="1">
          <a:spLocks noChangeArrowheads="1"/>
        </xdr:cNvSpPr>
      </xdr:nvSpPr>
      <xdr:spPr bwMode="auto">
        <a:xfrm>
          <a:off x="1783080" y="33207960"/>
          <a:ext cx="121920" cy="106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149</xdr:row>
      <xdr:rowOff>7620</xdr:rowOff>
    </xdr:from>
    <xdr:to>
      <xdr:col>16</xdr:col>
      <xdr:colOff>38100</xdr:colOff>
      <xdr:row>149</xdr:row>
      <xdr:rowOff>144780</xdr:rowOff>
    </xdr:to>
    <xdr:sp macro="" textlink="">
      <xdr:nvSpPr>
        <xdr:cNvPr id="17421" name="Text Box 126">
          <a:extLst>
            <a:ext uri="{FF2B5EF4-FFF2-40B4-BE49-F238E27FC236}">
              <a16:creationId xmlns:a16="http://schemas.microsoft.com/office/drawing/2014/main" id="{CB9A9C43-C2EF-BB76-4C52-AB52AED389F5}"/>
            </a:ext>
          </a:extLst>
        </xdr:cNvPr>
        <xdr:cNvSpPr txBox="1">
          <a:spLocks noChangeArrowheads="1"/>
        </xdr:cNvSpPr>
      </xdr:nvSpPr>
      <xdr:spPr bwMode="auto">
        <a:xfrm>
          <a:off x="1783080" y="32430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150</xdr:row>
      <xdr:rowOff>7620</xdr:rowOff>
    </xdr:from>
    <xdr:to>
      <xdr:col>16</xdr:col>
      <xdr:colOff>38100</xdr:colOff>
      <xdr:row>150</xdr:row>
      <xdr:rowOff>144780</xdr:rowOff>
    </xdr:to>
    <xdr:sp macro="" textlink="">
      <xdr:nvSpPr>
        <xdr:cNvPr id="17422" name="Text Box 126">
          <a:extLst>
            <a:ext uri="{FF2B5EF4-FFF2-40B4-BE49-F238E27FC236}">
              <a16:creationId xmlns:a16="http://schemas.microsoft.com/office/drawing/2014/main" id="{56BD875E-860F-DAAA-44D6-E02EB479371B}"/>
            </a:ext>
          </a:extLst>
        </xdr:cNvPr>
        <xdr:cNvSpPr txBox="1">
          <a:spLocks noChangeArrowheads="1"/>
        </xdr:cNvSpPr>
      </xdr:nvSpPr>
      <xdr:spPr bwMode="auto">
        <a:xfrm>
          <a:off x="1783080" y="32621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15</xdr:col>
      <xdr:colOff>22860</xdr:colOff>
      <xdr:row>151</xdr:row>
      <xdr:rowOff>7620</xdr:rowOff>
    </xdr:from>
    <xdr:to>
      <xdr:col>16</xdr:col>
      <xdr:colOff>38100</xdr:colOff>
      <xdr:row>151</xdr:row>
      <xdr:rowOff>144780</xdr:rowOff>
    </xdr:to>
    <xdr:sp macro="" textlink="">
      <xdr:nvSpPr>
        <xdr:cNvPr id="17423" name="Text Box 126">
          <a:extLst>
            <a:ext uri="{FF2B5EF4-FFF2-40B4-BE49-F238E27FC236}">
              <a16:creationId xmlns:a16="http://schemas.microsoft.com/office/drawing/2014/main" id="{9AA38634-27C2-9CC6-1BEC-3F9A60A6B916}"/>
            </a:ext>
          </a:extLst>
        </xdr:cNvPr>
        <xdr:cNvSpPr txBox="1">
          <a:spLocks noChangeArrowheads="1"/>
        </xdr:cNvSpPr>
      </xdr:nvSpPr>
      <xdr:spPr bwMode="auto">
        <a:xfrm>
          <a:off x="1783080" y="32811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149</xdr:row>
      <xdr:rowOff>7620</xdr:rowOff>
    </xdr:from>
    <xdr:to>
      <xdr:col>23</xdr:col>
      <xdr:colOff>38100</xdr:colOff>
      <xdr:row>149</xdr:row>
      <xdr:rowOff>144780</xdr:rowOff>
    </xdr:to>
    <xdr:sp macro="" textlink="">
      <xdr:nvSpPr>
        <xdr:cNvPr id="17424" name="Text Box 126">
          <a:extLst>
            <a:ext uri="{FF2B5EF4-FFF2-40B4-BE49-F238E27FC236}">
              <a16:creationId xmlns:a16="http://schemas.microsoft.com/office/drawing/2014/main" id="{7360D03D-B535-AB26-3E23-21BE68DA8264}"/>
            </a:ext>
          </a:extLst>
        </xdr:cNvPr>
        <xdr:cNvSpPr txBox="1">
          <a:spLocks noChangeArrowheads="1"/>
        </xdr:cNvSpPr>
      </xdr:nvSpPr>
      <xdr:spPr bwMode="auto">
        <a:xfrm>
          <a:off x="2583180" y="32430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150</xdr:row>
      <xdr:rowOff>7620</xdr:rowOff>
    </xdr:from>
    <xdr:to>
      <xdr:col>23</xdr:col>
      <xdr:colOff>38100</xdr:colOff>
      <xdr:row>150</xdr:row>
      <xdr:rowOff>144780</xdr:rowOff>
    </xdr:to>
    <xdr:sp macro="" textlink="">
      <xdr:nvSpPr>
        <xdr:cNvPr id="17425" name="Text Box 126">
          <a:extLst>
            <a:ext uri="{FF2B5EF4-FFF2-40B4-BE49-F238E27FC236}">
              <a16:creationId xmlns:a16="http://schemas.microsoft.com/office/drawing/2014/main" id="{DC6A6A41-D780-EA12-344F-CC114FD4386C}"/>
            </a:ext>
          </a:extLst>
        </xdr:cNvPr>
        <xdr:cNvSpPr txBox="1">
          <a:spLocks noChangeArrowheads="1"/>
        </xdr:cNvSpPr>
      </xdr:nvSpPr>
      <xdr:spPr bwMode="auto">
        <a:xfrm>
          <a:off x="2583180" y="32621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22860</xdr:colOff>
      <xdr:row>151</xdr:row>
      <xdr:rowOff>7620</xdr:rowOff>
    </xdr:from>
    <xdr:to>
      <xdr:col>23</xdr:col>
      <xdr:colOff>38100</xdr:colOff>
      <xdr:row>151</xdr:row>
      <xdr:rowOff>144780</xdr:rowOff>
    </xdr:to>
    <xdr:sp macro="" textlink="">
      <xdr:nvSpPr>
        <xdr:cNvPr id="17426" name="Text Box 126">
          <a:extLst>
            <a:ext uri="{FF2B5EF4-FFF2-40B4-BE49-F238E27FC236}">
              <a16:creationId xmlns:a16="http://schemas.microsoft.com/office/drawing/2014/main" id="{20256DA9-842D-D6E0-12C3-323F3911E963}"/>
            </a:ext>
          </a:extLst>
        </xdr:cNvPr>
        <xdr:cNvSpPr txBox="1">
          <a:spLocks noChangeArrowheads="1"/>
        </xdr:cNvSpPr>
      </xdr:nvSpPr>
      <xdr:spPr bwMode="auto">
        <a:xfrm>
          <a:off x="2583180" y="32811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149</xdr:row>
      <xdr:rowOff>7620</xdr:rowOff>
    </xdr:from>
    <xdr:to>
      <xdr:col>30</xdr:col>
      <xdr:colOff>38100</xdr:colOff>
      <xdr:row>149</xdr:row>
      <xdr:rowOff>144780</xdr:rowOff>
    </xdr:to>
    <xdr:sp macro="" textlink="">
      <xdr:nvSpPr>
        <xdr:cNvPr id="17427" name="Text Box 126">
          <a:extLst>
            <a:ext uri="{FF2B5EF4-FFF2-40B4-BE49-F238E27FC236}">
              <a16:creationId xmlns:a16="http://schemas.microsoft.com/office/drawing/2014/main" id="{CE5778C3-96EF-8E3C-30FA-D896CFE2A8A0}"/>
            </a:ext>
          </a:extLst>
        </xdr:cNvPr>
        <xdr:cNvSpPr txBox="1">
          <a:spLocks noChangeArrowheads="1"/>
        </xdr:cNvSpPr>
      </xdr:nvSpPr>
      <xdr:spPr bwMode="auto">
        <a:xfrm>
          <a:off x="3383280" y="32430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151</xdr:row>
      <xdr:rowOff>7620</xdr:rowOff>
    </xdr:from>
    <xdr:to>
      <xdr:col>30</xdr:col>
      <xdr:colOff>38100</xdr:colOff>
      <xdr:row>151</xdr:row>
      <xdr:rowOff>144780</xdr:rowOff>
    </xdr:to>
    <xdr:sp macro="" textlink="">
      <xdr:nvSpPr>
        <xdr:cNvPr id="17428" name="Text Box 126">
          <a:extLst>
            <a:ext uri="{FF2B5EF4-FFF2-40B4-BE49-F238E27FC236}">
              <a16:creationId xmlns:a16="http://schemas.microsoft.com/office/drawing/2014/main" id="{200DB2C6-12B4-3429-9C97-861EB7D9BFF8}"/>
            </a:ext>
          </a:extLst>
        </xdr:cNvPr>
        <xdr:cNvSpPr txBox="1">
          <a:spLocks noChangeArrowheads="1"/>
        </xdr:cNvSpPr>
      </xdr:nvSpPr>
      <xdr:spPr bwMode="auto">
        <a:xfrm>
          <a:off x="3383280" y="328117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22860</xdr:colOff>
      <xdr:row>150</xdr:row>
      <xdr:rowOff>7620</xdr:rowOff>
    </xdr:from>
    <xdr:to>
      <xdr:col>30</xdr:col>
      <xdr:colOff>38100</xdr:colOff>
      <xdr:row>150</xdr:row>
      <xdr:rowOff>144780</xdr:rowOff>
    </xdr:to>
    <xdr:sp macro="" textlink="">
      <xdr:nvSpPr>
        <xdr:cNvPr id="17429" name="Text Box 126">
          <a:extLst>
            <a:ext uri="{FF2B5EF4-FFF2-40B4-BE49-F238E27FC236}">
              <a16:creationId xmlns:a16="http://schemas.microsoft.com/office/drawing/2014/main" id="{C0938E01-3EFD-449D-E061-72FE3F171840}"/>
            </a:ext>
          </a:extLst>
        </xdr:cNvPr>
        <xdr:cNvSpPr txBox="1">
          <a:spLocks noChangeArrowheads="1"/>
        </xdr:cNvSpPr>
      </xdr:nvSpPr>
      <xdr:spPr bwMode="auto">
        <a:xfrm>
          <a:off x="3383280" y="32621220"/>
          <a:ext cx="12954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1569720</xdr:colOff>
      <xdr:row>3</xdr:row>
      <xdr:rowOff>38100</xdr:rowOff>
    </xdr:to>
    <xdr:pic>
      <xdr:nvPicPr>
        <xdr:cNvPr id="16386" name="1 Imagen">
          <a:extLst>
            <a:ext uri="{FF2B5EF4-FFF2-40B4-BE49-F238E27FC236}">
              <a16:creationId xmlns:a16="http://schemas.microsoft.com/office/drawing/2014/main" id="{33D28CF3-6430-5675-782D-4571BED3B4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758" t="3424" r="18965" b="21227"/>
        <a:stretch>
          <a:fillRect/>
        </a:stretch>
      </xdr:blipFill>
      <xdr:spPr bwMode="auto">
        <a:xfrm>
          <a:off x="0" y="0"/>
          <a:ext cx="204978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312420</xdr:colOff>
      <xdr:row>0</xdr:row>
      <xdr:rowOff>525780</xdr:rowOff>
    </xdr:to>
    <xdr:pic>
      <xdr:nvPicPr>
        <xdr:cNvPr id="8926" name="1 Imagen">
          <a:extLst>
            <a:ext uri="{FF2B5EF4-FFF2-40B4-BE49-F238E27FC236}">
              <a16:creationId xmlns:a16="http://schemas.microsoft.com/office/drawing/2014/main" id="{37E2DD20-E6AF-1BE3-FF5B-69AE14476E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758" t="3424" r="18965" b="21227"/>
        <a:stretch>
          <a:fillRect/>
        </a:stretch>
      </xdr:blipFill>
      <xdr:spPr bwMode="auto">
        <a:xfrm>
          <a:off x="0" y="0"/>
          <a:ext cx="20650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0</xdr:row>
      <xdr:rowOff>0</xdr:rowOff>
    </xdr:from>
    <xdr:to>
      <xdr:col>17</xdr:col>
      <xdr:colOff>480060</xdr:colOff>
      <xdr:row>0</xdr:row>
      <xdr:rowOff>525780</xdr:rowOff>
    </xdr:to>
    <xdr:pic>
      <xdr:nvPicPr>
        <xdr:cNvPr id="8927" name="1 Imagen">
          <a:extLst>
            <a:ext uri="{FF2B5EF4-FFF2-40B4-BE49-F238E27FC236}">
              <a16:creationId xmlns:a16="http://schemas.microsoft.com/office/drawing/2014/main" id="{BF362977-68C2-F276-4260-FE098A487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758" t="3424" r="18965" b="21227"/>
        <a:stretch>
          <a:fillRect/>
        </a:stretch>
      </xdr:blipFill>
      <xdr:spPr bwMode="auto">
        <a:xfrm>
          <a:off x="7010400" y="0"/>
          <a:ext cx="204978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lena%20Labajos\Desktop\Funcion-numeros-a-letra.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Funcion-numeros-a-letras-mas-moneda.xla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LENA%20LABAJOS\Desktop\COPIA%20DE%20FORMATOS%202023\FORMATO%20DE%20INFORMES%202022\FORMATO%20-SCOTIABANK%20-%20SOLES%20-%20PROYECTO%20CON%20DEPR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BVANET%202019\CORRELATIVOS%202019\2473-19-SCOTIABANK-PROMOTORA%20DEL%20SOL%20S.%20A.-JD-EB-RB-M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Funcion-numeros-a-letra"/>
    </sheetNames>
    <definedNames>
      <definedName name="NumeLetras"/>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Funcion-numeros-a-letras-mas-mo"/>
    </sheetNames>
    <definedNames>
      <definedName name="NumeLetra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heetName val="Anexo 1"/>
      <sheetName val="Anexo 2"/>
      <sheetName val="Anexo 3"/>
      <sheetName val="MEMORIA Y VAL"/>
      <sheetName val="VALORIZACION (DOLARES)"/>
      <sheetName val="VALORIZACION (SOLES)"/>
      <sheetName val="FOTOS"/>
      <sheetName val="Hoja4"/>
    </sheetNames>
    <sheetDataSet>
      <sheetData sheetId="0"/>
      <sheetData sheetId="1"/>
      <sheetData sheetId="2"/>
      <sheetData sheetId="3"/>
      <sheetData sheetId="4">
        <row r="133">
          <cell r="E133" t="str">
            <v>Departamento Flat Nº</v>
          </cell>
          <cell r="U133" t="e">
            <v>#DIV/0!</v>
          </cell>
          <cell r="AB133" t="e">
            <v>#DIV/0!</v>
          </cell>
        </row>
        <row r="134">
          <cell r="E134" t="str">
            <v>Departamento Flat Nº</v>
          </cell>
          <cell r="U134" t="e">
            <v>#DIV/0!</v>
          </cell>
          <cell r="AB134" t="e">
            <v>#DIV/0!</v>
          </cell>
        </row>
        <row r="135">
          <cell r="E135" t="str">
            <v>Departamento Flat Nº</v>
          </cell>
          <cell r="U135" t="e">
            <v>#DIV/0!</v>
          </cell>
          <cell r="AB135" t="e">
            <v>#DIV/0!</v>
          </cell>
        </row>
        <row r="136">
          <cell r="E136" t="str">
            <v>Departamento Flat Nº</v>
          </cell>
          <cell r="U136" t="e">
            <v>#DIV/0!</v>
          </cell>
          <cell r="AB136" t="e">
            <v>#DIV/0!</v>
          </cell>
        </row>
        <row r="137">
          <cell r="E137" t="str">
            <v xml:space="preserve">Departamento Dúplex Nº </v>
          </cell>
          <cell r="U137" t="e">
            <v>#DIV/0!</v>
          </cell>
          <cell r="AB137" t="e">
            <v>#DIV/0!</v>
          </cell>
        </row>
        <row r="138">
          <cell r="E138" t="str">
            <v xml:space="preserve">Departamento Dúplex Nº </v>
          </cell>
          <cell r="U138" t="e">
            <v>#DIV/0!</v>
          </cell>
          <cell r="AB138" t="e">
            <v>#DIV/0!</v>
          </cell>
        </row>
        <row r="140">
          <cell r="E140" t="str">
            <v xml:space="preserve">Estacionamiento  Nº </v>
          </cell>
          <cell r="U140" t="e">
            <v>#DIV/0!</v>
          </cell>
          <cell r="AB140" t="e">
            <v>#DIV/0!</v>
          </cell>
        </row>
        <row r="141">
          <cell r="U141" t="e">
            <v>#DIV/0!</v>
          </cell>
          <cell r="AB141" t="e">
            <v>#DIV/0!</v>
          </cell>
        </row>
        <row r="142">
          <cell r="E142" t="str">
            <v xml:space="preserve">Estacionamiento  Nº </v>
          </cell>
          <cell r="U142" t="e">
            <v>#DIV/0!</v>
          </cell>
          <cell r="AB142" t="e">
            <v>#DIV/0!</v>
          </cell>
        </row>
        <row r="143">
          <cell r="E143" t="str">
            <v xml:space="preserve">Estacionamiento  Nº </v>
          </cell>
          <cell r="U143" t="e">
            <v>#DIV/0!</v>
          </cell>
          <cell r="AB143" t="e">
            <v>#DIV/0!</v>
          </cell>
        </row>
        <row r="144">
          <cell r="E144" t="str">
            <v xml:space="preserve">Estacionamiento  Nº </v>
          </cell>
          <cell r="U144" t="e">
            <v>#DIV/0!</v>
          </cell>
          <cell r="AB144" t="e">
            <v>#DIV/0!</v>
          </cell>
        </row>
        <row r="145">
          <cell r="E145" t="str">
            <v xml:space="preserve">Estacionamiento  Nº </v>
          </cell>
          <cell r="U145" t="e">
            <v>#DIV/0!</v>
          </cell>
          <cell r="AB145" t="e">
            <v>#DIV/0!</v>
          </cell>
        </row>
        <row r="146">
          <cell r="E146" t="str">
            <v xml:space="preserve">Estacionamiento  Nº </v>
          </cell>
          <cell r="U146" t="e">
            <v>#DIV/0!</v>
          </cell>
          <cell r="AB146" t="e">
            <v>#DIV/0!</v>
          </cell>
        </row>
        <row r="147">
          <cell r="E147" t="str">
            <v xml:space="preserve">Estacionamiento  Nº </v>
          </cell>
          <cell r="U147" t="e">
            <v>#DIV/0!</v>
          </cell>
          <cell r="AB147" t="e">
            <v>#DIV/0!</v>
          </cell>
        </row>
        <row r="148">
          <cell r="E148" t="str">
            <v xml:space="preserve">Estacionamiento  Nº </v>
          </cell>
          <cell r="U148" t="e">
            <v>#DIV/0!</v>
          </cell>
          <cell r="AB148" t="e">
            <v>#DIV/0!</v>
          </cell>
        </row>
        <row r="149">
          <cell r="E149" t="str">
            <v xml:space="preserve">Estacionamiento  Nº </v>
          </cell>
          <cell r="U149" t="e">
            <v>#DIV/0!</v>
          </cell>
          <cell r="AB149" t="e">
            <v>#DIV/0!</v>
          </cell>
        </row>
        <row r="150">
          <cell r="E150" t="str">
            <v xml:space="preserve">Estacionamiento  Nº </v>
          </cell>
        </row>
        <row r="152">
          <cell r="E152" t="str">
            <v xml:space="preserve">Depósito Nº </v>
          </cell>
          <cell r="U152" t="e">
            <v>#DIV/0!</v>
          </cell>
          <cell r="AB152" t="e">
            <v>#DIV/0!</v>
          </cell>
        </row>
        <row r="153">
          <cell r="E153" t="str">
            <v xml:space="preserve">Depósito Nº </v>
          </cell>
          <cell r="U153" t="e">
            <v>#DIV/0!</v>
          </cell>
          <cell r="AB153" t="e">
            <v>#DIV/0!</v>
          </cell>
        </row>
        <row r="174">
          <cell r="AR174">
            <v>0</v>
          </cell>
        </row>
        <row r="249">
          <cell r="AO249">
            <v>0</v>
          </cell>
        </row>
        <row r="273">
          <cell r="AO273">
            <v>0</v>
          </cell>
        </row>
      </sheetData>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heetName val="Anexo 1"/>
      <sheetName val="Anexo 2"/>
      <sheetName val="Anexo 3"/>
      <sheetName val="MEMORIA Y VAL"/>
      <sheetName val="VALORIZACION (DOLARES)"/>
      <sheetName val="VALORIZACION (SOLES)"/>
      <sheetName val="FOTOS"/>
      <sheetName val="Hoja4"/>
    </sheetNames>
    <sheetDataSet>
      <sheetData sheetId="0" refreshError="1"/>
      <sheetData sheetId="1" refreshError="1"/>
      <sheetData sheetId="2" refreshError="1"/>
      <sheetData sheetId="3" refreshError="1"/>
      <sheetData sheetId="4" refreshError="1">
        <row r="1967">
          <cell r="AR1967">
            <v>0</v>
          </cell>
        </row>
      </sheetData>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9900"/>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9900"/>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4979-6637-4469-B7AB-6EAA4DD04A58}">
  <dimension ref="A1:AY2157"/>
  <sheetViews>
    <sheetView tabSelected="1" zoomScale="130" zoomScaleNormal="130" zoomScaleSheetLayoutView="130" workbookViewId="0"/>
  </sheetViews>
  <sheetFormatPr baseColWidth="10" defaultColWidth="0" defaultRowHeight="13.2" zeroHeight="1" x14ac:dyDescent="0.25"/>
  <cols>
    <col min="1" max="2" width="2" style="2" customWidth="1"/>
    <col min="3" max="20" width="1.6640625" style="2" customWidth="1"/>
    <col min="21" max="30" width="1.6640625" style="3" customWidth="1"/>
    <col min="31" max="37" width="1.6640625" style="2" customWidth="1"/>
    <col min="38" max="39" width="2.44140625" style="2" customWidth="1"/>
    <col min="40" max="40" width="1.109375" style="2" customWidth="1"/>
    <col min="41" max="42" width="1.6640625" style="2" customWidth="1"/>
    <col min="43" max="44" width="2.33203125" style="2" customWidth="1"/>
    <col min="45" max="46" width="1.6640625" style="2" customWidth="1"/>
    <col min="47" max="47" width="1.5546875" style="2" customWidth="1"/>
    <col min="48" max="48" width="1.6640625" style="2" customWidth="1"/>
    <col min="49" max="49" width="5.6640625" style="2" customWidth="1"/>
    <col min="50" max="16384" width="1.6640625" style="2" hidden="1"/>
  </cols>
  <sheetData>
    <row r="1" spans="1:51" x14ac:dyDescent="0.25"/>
    <row r="2" spans="1:51" x14ac:dyDescent="0.25"/>
    <row r="3" spans="1:51" x14ac:dyDescent="0.25"/>
    <row r="4" spans="1:51" x14ac:dyDescent="0.25"/>
    <row r="5" spans="1:51" x14ac:dyDescent="0.25"/>
    <row r="6" spans="1:51" x14ac:dyDescent="0.25"/>
    <row r="7" spans="1:51" x14ac:dyDescent="0.25"/>
    <row r="8" spans="1:51" x14ac:dyDescent="0.25"/>
    <row r="9" spans="1:51" x14ac:dyDescent="0.25">
      <c r="AT9" s="85"/>
    </row>
    <row r="10" spans="1:51" s="85" customFormat="1" ht="18" customHeight="1" x14ac:dyDescent="0.25">
      <c r="A10" s="85" t="s">
        <v>64</v>
      </c>
      <c r="C10" s="108"/>
      <c r="D10" s="108"/>
      <c r="E10" s="109"/>
      <c r="F10" s="109"/>
      <c r="G10" s="109"/>
      <c r="H10" s="109"/>
      <c r="K10" s="109"/>
      <c r="L10" s="109"/>
      <c r="M10" s="110"/>
      <c r="N10" s="109"/>
      <c r="O10" s="109"/>
      <c r="P10" s="109"/>
      <c r="Q10" s="111"/>
      <c r="R10" s="53" t="str">
        <f>+R56</f>
        <v>INFORME N° 25</v>
      </c>
      <c r="T10" s="109"/>
      <c r="U10" s="72"/>
      <c r="V10" s="72"/>
      <c r="W10" s="72"/>
      <c r="X10" s="72"/>
      <c r="Y10" s="72"/>
      <c r="Z10" s="72"/>
      <c r="AA10" s="72"/>
      <c r="AB10" s="649">
        <f>+AB56</f>
        <v>0</v>
      </c>
      <c r="AC10" s="650"/>
      <c r="AD10" s="650"/>
      <c r="AE10" s="650"/>
      <c r="AF10" s="650"/>
    </row>
    <row r="11" spans="1:51" s="12" customFormat="1" ht="17.100000000000001" customHeight="1" x14ac:dyDescent="0.2">
      <c r="A11" s="657" t="str">
        <f>+A57</f>
        <v>"VALUACIÓN COMERCIAL DE INMUEBLE"</v>
      </c>
      <c r="B11" s="658"/>
      <c r="C11" s="658"/>
      <c r="D11" s="658"/>
      <c r="E11" s="658"/>
      <c r="F11" s="658"/>
      <c r="G11" s="658"/>
      <c r="H11" s="658"/>
      <c r="I11" s="658"/>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658"/>
      <c r="AK11" s="658"/>
      <c r="AL11" s="658"/>
      <c r="AM11" s="658"/>
      <c r="AN11" s="658"/>
      <c r="AO11" s="658"/>
      <c r="AP11" s="658"/>
      <c r="AQ11" s="658"/>
      <c r="AR11" s="658"/>
      <c r="AS11" s="658"/>
      <c r="AT11" s="658"/>
      <c r="AU11" s="658"/>
      <c r="AV11" s="658"/>
    </row>
    <row r="12" spans="1:51" s="60" customFormat="1" ht="20.25" customHeight="1" x14ac:dyDescent="0.25">
      <c r="A12" s="366" t="str">
        <f>+A59</f>
        <v xml:space="preserve">CLIENTE </v>
      </c>
      <c r="B12" s="81"/>
      <c r="C12" s="81"/>
      <c r="D12" s="81"/>
      <c r="E12" s="67"/>
      <c r="F12" s="67"/>
      <c r="G12" s="67"/>
      <c r="H12" s="67"/>
      <c r="K12" s="68"/>
      <c r="L12" s="68"/>
      <c r="M12" s="68"/>
      <c r="N12" s="68"/>
      <c r="O12" s="69" t="s">
        <v>17</v>
      </c>
      <c r="P12" s="156">
        <f>+S59</f>
        <v>0</v>
      </c>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25"/>
      <c r="AR12" s="25"/>
      <c r="AS12" s="25"/>
      <c r="AT12" s="25"/>
      <c r="AU12" s="25"/>
      <c r="AV12" s="25"/>
    </row>
    <row r="13" spans="1:51" s="60" customFormat="1" ht="26.25" customHeight="1" x14ac:dyDescent="0.25">
      <c r="A13" s="106" t="str">
        <f>+A60</f>
        <v>PROPIETARIO</v>
      </c>
      <c r="B13" s="125"/>
      <c r="C13" s="125"/>
      <c r="D13" s="125"/>
      <c r="E13" s="67"/>
      <c r="F13" s="67"/>
      <c r="G13" s="67"/>
      <c r="H13" s="67"/>
      <c r="K13" s="68"/>
      <c r="L13" s="68"/>
      <c r="M13" s="68"/>
      <c r="N13" s="68"/>
      <c r="O13" s="69" t="s">
        <v>17</v>
      </c>
      <c r="P13" s="665">
        <f>+S60</f>
        <v>0</v>
      </c>
      <c r="Q13" s="665"/>
      <c r="R13" s="665"/>
      <c r="S13" s="665"/>
      <c r="T13" s="665"/>
      <c r="U13" s="665"/>
      <c r="V13" s="665"/>
      <c r="W13" s="665"/>
      <c r="X13" s="665"/>
      <c r="Y13" s="665"/>
      <c r="Z13" s="665"/>
      <c r="AA13" s="665"/>
      <c r="AB13" s="665"/>
      <c r="AC13" s="665"/>
      <c r="AD13" s="665"/>
      <c r="AE13" s="665"/>
      <c r="AF13" s="665"/>
      <c r="AG13" s="665"/>
      <c r="AH13" s="665"/>
      <c r="AI13" s="665"/>
      <c r="AJ13" s="665"/>
      <c r="AK13" s="665"/>
      <c r="AL13" s="665"/>
      <c r="AM13" s="665"/>
      <c r="AN13" s="665"/>
      <c r="AO13" s="665"/>
      <c r="AP13" s="665"/>
      <c r="AQ13" s="665"/>
      <c r="AR13" s="665"/>
      <c r="AS13" s="665"/>
      <c r="AT13" s="665"/>
      <c r="AU13" s="665"/>
      <c r="AV13" s="665"/>
    </row>
    <row r="14" spans="1:51" s="280" customFormat="1" ht="33" customHeight="1" x14ac:dyDescent="0.25">
      <c r="A14" s="276" t="s">
        <v>30</v>
      </c>
      <c r="B14" s="277"/>
      <c r="C14" s="277"/>
      <c r="D14" s="277"/>
      <c r="E14" s="278"/>
      <c r="F14" s="666" t="str">
        <f>+C71</f>
        <v xml:space="preserve">Según Ficha Registral </v>
      </c>
      <c r="G14" s="666"/>
      <c r="H14" s="666"/>
      <c r="I14" s="666"/>
      <c r="J14" s="666"/>
      <c r="K14" s="666"/>
      <c r="L14" s="666"/>
      <c r="M14" s="666"/>
      <c r="N14" s="666"/>
      <c r="O14" s="278" t="s">
        <v>17</v>
      </c>
      <c r="P14" s="736">
        <f>+C72</f>
        <v>0</v>
      </c>
      <c r="Q14" s="736"/>
      <c r="R14" s="736"/>
      <c r="S14" s="736"/>
      <c r="T14" s="736"/>
      <c r="U14" s="736"/>
      <c r="V14" s="736"/>
      <c r="W14" s="736"/>
      <c r="X14" s="736"/>
      <c r="Y14" s="736"/>
      <c r="Z14" s="736"/>
      <c r="AA14" s="736"/>
      <c r="AB14" s="736"/>
      <c r="AC14" s="736"/>
      <c r="AD14" s="736"/>
      <c r="AE14" s="736"/>
      <c r="AF14" s="736"/>
      <c r="AG14" s="736"/>
      <c r="AH14" s="736"/>
      <c r="AI14" s="736"/>
      <c r="AJ14" s="736"/>
      <c r="AK14" s="736"/>
      <c r="AL14" s="736"/>
      <c r="AM14" s="736"/>
      <c r="AN14" s="736"/>
      <c r="AO14" s="736"/>
      <c r="AP14" s="736"/>
      <c r="AQ14" s="736"/>
      <c r="AR14" s="736"/>
      <c r="AS14" s="736"/>
      <c r="AT14" s="736"/>
      <c r="AU14" s="736"/>
      <c r="AV14" s="736"/>
      <c r="AW14" s="279"/>
      <c r="AX14" s="279"/>
      <c r="AY14" s="279"/>
    </row>
    <row r="15" spans="1:51" s="280" customFormat="1" ht="27.75" customHeight="1" x14ac:dyDescent="0.25">
      <c r="A15" s="276"/>
      <c r="B15" s="277"/>
      <c r="C15" s="277"/>
      <c r="D15" s="277"/>
      <c r="E15" s="278"/>
      <c r="F15" s="666" t="str">
        <f>+C73</f>
        <v>Según Autoavalúo</v>
      </c>
      <c r="G15" s="666"/>
      <c r="H15" s="666"/>
      <c r="I15" s="666"/>
      <c r="J15" s="666"/>
      <c r="K15" s="666"/>
      <c r="L15" s="666"/>
      <c r="M15" s="666"/>
      <c r="N15" s="666"/>
      <c r="O15" s="278" t="s">
        <v>17</v>
      </c>
      <c r="P15" s="736">
        <f>+C74</f>
        <v>0</v>
      </c>
      <c r="Q15" s="736"/>
      <c r="R15" s="736"/>
      <c r="S15" s="736"/>
      <c r="T15" s="736"/>
      <c r="U15" s="736"/>
      <c r="V15" s="736"/>
      <c r="W15" s="736"/>
      <c r="X15" s="736"/>
      <c r="Y15" s="736"/>
      <c r="Z15" s="736"/>
      <c r="AA15" s="736"/>
      <c r="AB15" s="736"/>
      <c r="AC15" s="736"/>
      <c r="AD15" s="736"/>
      <c r="AE15" s="736"/>
      <c r="AF15" s="736"/>
      <c r="AG15" s="736"/>
      <c r="AH15" s="736"/>
      <c r="AI15" s="736"/>
      <c r="AJ15" s="736"/>
      <c r="AK15" s="736"/>
      <c r="AL15" s="736"/>
      <c r="AM15" s="736"/>
      <c r="AN15" s="736"/>
      <c r="AO15" s="736"/>
      <c r="AP15" s="736"/>
      <c r="AQ15" s="736"/>
      <c r="AR15" s="736"/>
      <c r="AS15" s="736"/>
      <c r="AT15" s="736"/>
      <c r="AU15" s="736"/>
      <c r="AV15" s="736"/>
      <c r="AW15" s="279"/>
      <c r="AX15" s="279"/>
      <c r="AY15" s="279"/>
    </row>
    <row r="16" spans="1:51" s="280" customFormat="1" ht="42" customHeight="1" x14ac:dyDescent="0.25">
      <c r="A16" s="276"/>
      <c r="B16" s="277"/>
      <c r="C16" s="277"/>
      <c r="D16" s="277"/>
      <c r="E16" s="278"/>
      <c r="F16" s="666" t="str">
        <f>+C75</f>
        <v>Según Inspección ocular</v>
      </c>
      <c r="G16" s="666"/>
      <c r="H16" s="666"/>
      <c r="I16" s="666"/>
      <c r="J16" s="666"/>
      <c r="K16" s="666"/>
      <c r="L16" s="666"/>
      <c r="M16" s="666"/>
      <c r="N16" s="666"/>
      <c r="O16" s="278" t="s">
        <v>17</v>
      </c>
      <c r="P16" s="736">
        <f>+C76</f>
        <v>0</v>
      </c>
      <c r="Q16" s="736"/>
      <c r="R16" s="736"/>
      <c r="S16" s="736"/>
      <c r="T16" s="736"/>
      <c r="U16" s="736"/>
      <c r="V16" s="736"/>
      <c r="W16" s="736"/>
      <c r="X16" s="736"/>
      <c r="Y16" s="736"/>
      <c r="Z16" s="736"/>
      <c r="AA16" s="736"/>
      <c r="AB16" s="736"/>
      <c r="AC16" s="736"/>
      <c r="AD16" s="736"/>
      <c r="AE16" s="736"/>
      <c r="AF16" s="736"/>
      <c r="AG16" s="736"/>
      <c r="AH16" s="736"/>
      <c r="AI16" s="736"/>
      <c r="AJ16" s="736"/>
      <c r="AK16" s="736"/>
      <c r="AL16" s="736"/>
      <c r="AM16" s="736"/>
      <c r="AN16" s="736"/>
      <c r="AO16" s="736"/>
      <c r="AP16" s="736"/>
      <c r="AQ16" s="736"/>
      <c r="AR16" s="736"/>
      <c r="AS16" s="736"/>
      <c r="AT16" s="736"/>
      <c r="AU16" s="736"/>
      <c r="AV16" s="736"/>
      <c r="AW16" s="279"/>
      <c r="AX16" s="279"/>
      <c r="AY16" s="279"/>
    </row>
    <row r="17" spans="1:51" s="63" customFormat="1" ht="3" customHeight="1" x14ac:dyDescent="0.25">
      <c r="A17" s="61"/>
      <c r="B17" s="59"/>
      <c r="C17" s="59"/>
      <c r="D17" s="59"/>
      <c r="E17" s="59"/>
      <c r="F17" s="59"/>
      <c r="G17" s="64"/>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2"/>
      <c r="AX17" s="62"/>
      <c r="AY17" s="62"/>
    </row>
    <row r="18" spans="1:51" s="12" customFormat="1" ht="13.5" customHeight="1" x14ac:dyDescent="0.2">
      <c r="A18" s="659" t="s">
        <v>16</v>
      </c>
      <c r="B18" s="660"/>
      <c r="C18" s="660"/>
      <c r="D18" s="660"/>
      <c r="E18" s="660"/>
      <c r="F18" s="660"/>
      <c r="G18" s="660"/>
      <c r="H18" s="660"/>
      <c r="I18" s="660"/>
      <c r="J18" s="660"/>
      <c r="K18" s="660"/>
      <c r="L18" s="660"/>
      <c r="M18" s="660"/>
      <c r="N18" s="660"/>
      <c r="O18" s="660"/>
      <c r="P18" s="660"/>
      <c r="Q18" s="660"/>
      <c r="R18" s="660"/>
      <c r="S18" s="660"/>
      <c r="T18" s="660"/>
      <c r="U18" s="660"/>
      <c r="V18" s="660"/>
      <c r="W18" s="660"/>
      <c r="X18" s="660"/>
      <c r="Y18" s="660"/>
      <c r="Z18" s="660"/>
      <c r="AA18" s="660"/>
      <c r="AB18" s="660"/>
      <c r="AC18" s="660"/>
      <c r="AD18" s="660"/>
      <c r="AE18" s="660"/>
      <c r="AF18" s="660"/>
      <c r="AG18" s="660"/>
      <c r="AH18" s="660"/>
      <c r="AI18" s="660"/>
      <c r="AJ18" s="660"/>
      <c r="AK18" s="660"/>
      <c r="AL18" s="660"/>
      <c r="AM18" s="660"/>
      <c r="AN18" s="660"/>
      <c r="AO18" s="660"/>
      <c r="AP18" s="660"/>
      <c r="AQ18" s="660"/>
      <c r="AR18" s="660"/>
      <c r="AS18" s="660"/>
      <c r="AT18" s="660"/>
      <c r="AU18" s="660"/>
      <c r="AV18" s="661"/>
    </row>
    <row r="19" spans="1:51" s="12" customFormat="1" ht="13.5" customHeight="1" x14ac:dyDescent="0.2">
      <c r="A19" s="662"/>
      <c r="B19" s="663"/>
      <c r="C19" s="663"/>
      <c r="D19" s="663"/>
      <c r="E19" s="663"/>
      <c r="F19" s="663"/>
      <c r="G19" s="663"/>
      <c r="H19" s="663"/>
      <c r="I19" s="663"/>
      <c r="J19" s="663"/>
      <c r="K19" s="663"/>
      <c r="L19" s="663"/>
      <c r="M19" s="663"/>
      <c r="N19" s="663"/>
      <c r="O19" s="663"/>
      <c r="P19" s="663"/>
      <c r="Q19" s="663"/>
      <c r="R19" s="663"/>
      <c r="S19" s="663"/>
      <c r="T19" s="663"/>
      <c r="U19" s="663"/>
      <c r="V19" s="663"/>
      <c r="W19" s="663"/>
      <c r="X19" s="663"/>
      <c r="Y19" s="663"/>
      <c r="Z19" s="663"/>
      <c r="AA19" s="663"/>
      <c r="AB19" s="663"/>
      <c r="AC19" s="663"/>
      <c r="AD19" s="663"/>
      <c r="AE19" s="663"/>
      <c r="AF19" s="663"/>
      <c r="AG19" s="663"/>
      <c r="AH19" s="663"/>
      <c r="AI19" s="663"/>
      <c r="AJ19" s="663"/>
      <c r="AK19" s="663"/>
      <c r="AL19" s="663"/>
      <c r="AM19" s="663"/>
      <c r="AN19" s="663"/>
      <c r="AO19" s="663"/>
      <c r="AP19" s="663"/>
      <c r="AQ19" s="663"/>
      <c r="AR19" s="663"/>
      <c r="AS19" s="663"/>
      <c r="AT19" s="663"/>
      <c r="AU19" s="663"/>
      <c r="AV19" s="664"/>
    </row>
    <row r="20" spans="1:51" s="12" customFormat="1" ht="13.5" customHeight="1" x14ac:dyDescent="0.2">
      <c r="A20" s="662"/>
      <c r="B20" s="663"/>
      <c r="C20" s="663"/>
      <c r="D20" s="663"/>
      <c r="E20" s="663"/>
      <c r="F20" s="663"/>
      <c r="G20" s="663"/>
      <c r="H20" s="663"/>
      <c r="I20" s="663"/>
      <c r="J20" s="663"/>
      <c r="K20" s="663"/>
      <c r="L20" s="663"/>
      <c r="M20" s="663"/>
      <c r="N20" s="663"/>
      <c r="O20" s="663"/>
      <c r="P20" s="663"/>
      <c r="Q20" s="663"/>
      <c r="R20" s="663"/>
      <c r="S20" s="663"/>
      <c r="T20" s="663"/>
      <c r="U20" s="663"/>
      <c r="V20" s="663"/>
      <c r="W20" s="663"/>
      <c r="X20" s="663"/>
      <c r="Y20" s="663"/>
      <c r="Z20" s="663"/>
      <c r="AA20" s="663"/>
      <c r="AB20" s="663"/>
      <c r="AC20" s="663"/>
      <c r="AD20" s="663"/>
      <c r="AE20" s="663"/>
      <c r="AF20" s="663"/>
      <c r="AG20" s="663"/>
      <c r="AH20" s="663"/>
      <c r="AI20" s="663"/>
      <c r="AJ20" s="663"/>
      <c r="AK20" s="663"/>
      <c r="AL20" s="663"/>
      <c r="AM20" s="663"/>
      <c r="AN20" s="663"/>
      <c r="AO20" s="663"/>
      <c r="AP20" s="663"/>
      <c r="AQ20" s="663"/>
      <c r="AR20" s="663"/>
      <c r="AS20" s="663"/>
      <c r="AT20" s="663"/>
      <c r="AU20" s="663"/>
      <c r="AV20" s="664"/>
    </row>
    <row r="21" spans="1:51" s="12" customFormat="1" ht="13.5" customHeight="1" x14ac:dyDescent="0.2">
      <c r="A21" s="662"/>
      <c r="B21" s="663"/>
      <c r="C21" s="663"/>
      <c r="D21" s="663"/>
      <c r="E21" s="663"/>
      <c r="F21" s="663"/>
      <c r="G21" s="663"/>
      <c r="H21" s="663"/>
      <c r="I21" s="663"/>
      <c r="J21" s="663"/>
      <c r="K21" s="663"/>
      <c r="L21" s="663"/>
      <c r="M21" s="663"/>
      <c r="N21" s="663"/>
      <c r="O21" s="663"/>
      <c r="P21" s="663"/>
      <c r="Q21" s="663"/>
      <c r="R21" s="663"/>
      <c r="S21" s="663"/>
      <c r="T21" s="663"/>
      <c r="U21" s="663"/>
      <c r="V21" s="663"/>
      <c r="W21" s="663"/>
      <c r="X21" s="663"/>
      <c r="Y21" s="663"/>
      <c r="Z21" s="663"/>
      <c r="AA21" s="663"/>
      <c r="AB21" s="663"/>
      <c r="AC21" s="663"/>
      <c r="AD21" s="663"/>
      <c r="AE21" s="663"/>
      <c r="AF21" s="663"/>
      <c r="AG21" s="663"/>
      <c r="AH21" s="663"/>
      <c r="AI21" s="663"/>
      <c r="AJ21" s="663"/>
      <c r="AK21" s="663"/>
      <c r="AL21" s="663"/>
      <c r="AM21" s="663"/>
      <c r="AN21" s="663"/>
      <c r="AO21" s="663"/>
      <c r="AP21" s="663"/>
      <c r="AQ21" s="663"/>
      <c r="AR21" s="663"/>
      <c r="AS21" s="663"/>
      <c r="AT21" s="663"/>
      <c r="AU21" s="663"/>
      <c r="AV21" s="664"/>
    </row>
    <row r="22" spans="1:51" s="12" customFormat="1" ht="13.5" customHeight="1" x14ac:dyDescent="0.25">
      <c r="A22" s="745"/>
      <c r="B22" s="746"/>
      <c r="C22" s="746"/>
      <c r="D22" s="746"/>
      <c r="E22" s="746"/>
      <c r="F22" s="746"/>
      <c r="G22" s="746"/>
      <c r="H22" s="746"/>
      <c r="I22" s="746"/>
      <c r="J22" s="746"/>
      <c r="K22" s="746"/>
      <c r="L22" s="746"/>
      <c r="M22" s="746"/>
      <c r="N22" s="746"/>
      <c r="O22" s="746"/>
      <c r="P22" s="746"/>
      <c r="Q22" s="746"/>
      <c r="R22" s="746"/>
      <c r="S22" s="746"/>
      <c r="T22" s="746"/>
      <c r="U22" s="746"/>
      <c r="V22" s="746"/>
      <c r="W22" s="746"/>
      <c r="X22" s="746"/>
      <c r="Y22" s="746"/>
      <c r="Z22" s="746"/>
      <c r="AA22" s="746"/>
      <c r="AB22" s="746"/>
      <c r="AC22" s="746"/>
      <c r="AD22" s="746"/>
      <c r="AE22" s="746"/>
      <c r="AF22" s="746"/>
      <c r="AG22" s="746"/>
      <c r="AH22" s="746"/>
      <c r="AI22" s="746"/>
      <c r="AJ22" s="746"/>
      <c r="AK22" s="746"/>
      <c r="AL22" s="746"/>
      <c r="AM22" s="746"/>
      <c r="AN22" s="746"/>
      <c r="AO22" s="746"/>
      <c r="AP22" s="746"/>
      <c r="AQ22" s="746"/>
      <c r="AR22" s="746"/>
      <c r="AS22" s="746"/>
      <c r="AT22" s="746"/>
      <c r="AU22" s="746"/>
      <c r="AV22" s="747"/>
    </row>
    <row r="23" spans="1:51" s="12" customFormat="1" ht="13.5" customHeight="1" x14ac:dyDescent="0.2">
      <c r="A23" s="748"/>
      <c r="B23" s="746"/>
      <c r="C23" s="746"/>
      <c r="D23" s="746"/>
      <c r="E23" s="746"/>
      <c r="F23" s="746"/>
      <c r="G23" s="746"/>
      <c r="H23" s="746"/>
      <c r="I23" s="746"/>
      <c r="J23" s="746"/>
      <c r="K23" s="746"/>
      <c r="L23" s="746"/>
      <c r="M23" s="746"/>
      <c r="N23" s="746"/>
      <c r="O23" s="746"/>
      <c r="P23" s="746"/>
      <c r="Q23" s="746"/>
      <c r="R23" s="746"/>
      <c r="S23" s="746"/>
      <c r="T23" s="746"/>
      <c r="U23" s="746"/>
      <c r="V23" s="746"/>
      <c r="W23" s="746"/>
      <c r="X23" s="746"/>
      <c r="Y23" s="746"/>
      <c r="Z23" s="746"/>
      <c r="AA23" s="746"/>
      <c r="AB23" s="746"/>
      <c r="AC23" s="746"/>
      <c r="AD23" s="746"/>
      <c r="AE23" s="746"/>
      <c r="AF23" s="746"/>
      <c r="AG23" s="746"/>
      <c r="AH23" s="746"/>
      <c r="AI23" s="746"/>
      <c r="AJ23" s="746"/>
      <c r="AK23" s="746"/>
      <c r="AL23" s="746"/>
      <c r="AM23" s="746"/>
      <c r="AN23" s="746"/>
      <c r="AO23" s="746"/>
      <c r="AP23" s="746"/>
      <c r="AQ23" s="746"/>
      <c r="AR23" s="746"/>
      <c r="AS23" s="746"/>
      <c r="AT23" s="746"/>
      <c r="AU23" s="746"/>
      <c r="AV23" s="747"/>
    </row>
    <row r="24" spans="1:51" s="12" customFormat="1" ht="13.5" customHeight="1" x14ac:dyDescent="0.2">
      <c r="A24" s="745"/>
      <c r="B24" s="746"/>
      <c r="C24" s="746"/>
      <c r="D24" s="746"/>
      <c r="E24" s="746"/>
      <c r="F24" s="746"/>
      <c r="G24" s="746"/>
      <c r="H24" s="746"/>
      <c r="I24" s="746"/>
      <c r="J24" s="746"/>
      <c r="K24" s="746"/>
      <c r="L24" s="746"/>
      <c r="M24" s="746"/>
      <c r="N24" s="746"/>
      <c r="O24" s="746"/>
      <c r="P24" s="746"/>
      <c r="Q24" s="746"/>
      <c r="R24" s="746"/>
      <c r="S24" s="746"/>
      <c r="T24" s="746"/>
      <c r="U24" s="746"/>
      <c r="V24" s="746"/>
      <c r="W24" s="746"/>
      <c r="X24" s="746"/>
      <c r="Y24" s="746"/>
      <c r="Z24" s="746"/>
      <c r="AA24" s="746"/>
      <c r="AB24" s="746"/>
      <c r="AC24" s="746"/>
      <c r="AD24" s="746"/>
      <c r="AE24" s="746"/>
      <c r="AF24" s="746"/>
      <c r="AG24" s="746"/>
      <c r="AH24" s="746"/>
      <c r="AI24" s="746"/>
      <c r="AJ24" s="746"/>
      <c r="AK24" s="746"/>
      <c r="AL24" s="746"/>
      <c r="AM24" s="746"/>
      <c r="AN24" s="746"/>
      <c r="AO24" s="746"/>
      <c r="AP24" s="746"/>
      <c r="AQ24" s="746"/>
      <c r="AR24" s="746"/>
      <c r="AS24" s="746"/>
      <c r="AT24" s="746"/>
      <c r="AU24" s="746"/>
      <c r="AV24" s="747"/>
    </row>
    <row r="25" spans="1:51" s="12" customFormat="1" ht="13.5" customHeight="1" x14ac:dyDescent="0.2">
      <c r="A25" s="745"/>
      <c r="B25" s="746"/>
      <c r="C25" s="746"/>
      <c r="D25" s="746"/>
      <c r="E25" s="746"/>
      <c r="F25" s="746"/>
      <c r="G25" s="746"/>
      <c r="H25" s="746"/>
      <c r="I25" s="746"/>
      <c r="J25" s="746"/>
      <c r="K25" s="746"/>
      <c r="L25" s="746"/>
      <c r="M25" s="746"/>
      <c r="N25" s="746"/>
      <c r="O25" s="746"/>
      <c r="P25" s="746"/>
      <c r="Q25" s="746"/>
      <c r="R25" s="746"/>
      <c r="S25" s="746"/>
      <c r="T25" s="746"/>
      <c r="U25" s="746"/>
      <c r="V25" s="746"/>
      <c r="W25" s="746"/>
      <c r="X25" s="746"/>
      <c r="Y25" s="746"/>
      <c r="Z25" s="746"/>
      <c r="AA25" s="746"/>
      <c r="AB25" s="746"/>
      <c r="AC25" s="746"/>
      <c r="AD25" s="746"/>
      <c r="AE25" s="746"/>
      <c r="AF25" s="746"/>
      <c r="AG25" s="746"/>
      <c r="AH25" s="746"/>
      <c r="AI25" s="746"/>
      <c r="AJ25" s="746"/>
      <c r="AK25" s="746"/>
      <c r="AL25" s="746"/>
      <c r="AM25" s="746"/>
      <c r="AN25" s="746"/>
      <c r="AO25" s="746"/>
      <c r="AP25" s="746"/>
      <c r="AQ25" s="746"/>
      <c r="AR25" s="746"/>
      <c r="AS25" s="746"/>
      <c r="AT25" s="746"/>
      <c r="AU25" s="746"/>
      <c r="AV25" s="747"/>
    </row>
    <row r="26" spans="1:51" s="12" customFormat="1" ht="13.5" customHeight="1" x14ac:dyDescent="0.2">
      <c r="A26" s="745"/>
      <c r="B26" s="746"/>
      <c r="C26" s="746"/>
      <c r="D26" s="746"/>
      <c r="E26" s="746"/>
      <c r="F26" s="746"/>
      <c r="G26" s="746"/>
      <c r="H26" s="746"/>
      <c r="I26" s="746"/>
      <c r="J26" s="746"/>
      <c r="K26" s="746"/>
      <c r="L26" s="746"/>
      <c r="M26" s="746"/>
      <c r="N26" s="746"/>
      <c r="O26" s="746"/>
      <c r="P26" s="746"/>
      <c r="Q26" s="746"/>
      <c r="R26" s="746"/>
      <c r="S26" s="746"/>
      <c r="T26" s="746"/>
      <c r="U26" s="746"/>
      <c r="V26" s="746"/>
      <c r="W26" s="746"/>
      <c r="X26" s="746"/>
      <c r="Y26" s="746"/>
      <c r="Z26" s="746"/>
      <c r="AA26" s="746"/>
      <c r="AB26" s="746"/>
      <c r="AC26" s="746"/>
      <c r="AD26" s="746"/>
      <c r="AE26" s="746"/>
      <c r="AF26" s="746"/>
      <c r="AG26" s="746"/>
      <c r="AH26" s="746"/>
      <c r="AI26" s="746"/>
      <c r="AJ26" s="746"/>
      <c r="AK26" s="746"/>
      <c r="AL26" s="746"/>
      <c r="AM26" s="746"/>
      <c r="AN26" s="746"/>
      <c r="AO26" s="746"/>
      <c r="AP26" s="746"/>
      <c r="AQ26" s="746"/>
      <c r="AR26" s="746"/>
      <c r="AS26" s="746"/>
      <c r="AT26" s="746"/>
      <c r="AU26" s="746"/>
      <c r="AV26" s="747"/>
    </row>
    <row r="27" spans="1:51" s="12" customFormat="1" ht="13.5" customHeight="1" x14ac:dyDescent="0.2">
      <c r="A27" s="745"/>
      <c r="B27" s="746"/>
      <c r="C27" s="746"/>
      <c r="D27" s="746"/>
      <c r="E27" s="746"/>
      <c r="F27" s="746"/>
      <c r="G27" s="746"/>
      <c r="H27" s="746"/>
      <c r="I27" s="746"/>
      <c r="J27" s="746"/>
      <c r="K27" s="746"/>
      <c r="L27" s="746"/>
      <c r="M27" s="746"/>
      <c r="N27" s="746"/>
      <c r="O27" s="746"/>
      <c r="P27" s="746"/>
      <c r="Q27" s="746"/>
      <c r="R27" s="746"/>
      <c r="S27" s="746"/>
      <c r="T27" s="746"/>
      <c r="U27" s="746"/>
      <c r="V27" s="746"/>
      <c r="W27" s="746"/>
      <c r="X27" s="746"/>
      <c r="Y27" s="746"/>
      <c r="Z27" s="746"/>
      <c r="AA27" s="746"/>
      <c r="AB27" s="746"/>
      <c r="AC27" s="746"/>
      <c r="AD27" s="746"/>
      <c r="AE27" s="746"/>
      <c r="AF27" s="746"/>
      <c r="AG27" s="746"/>
      <c r="AH27" s="746"/>
      <c r="AI27" s="746"/>
      <c r="AJ27" s="746"/>
      <c r="AK27" s="746"/>
      <c r="AL27" s="746"/>
      <c r="AM27" s="746"/>
      <c r="AN27" s="746"/>
      <c r="AO27" s="746"/>
      <c r="AP27" s="746"/>
      <c r="AQ27" s="746"/>
      <c r="AR27" s="746"/>
      <c r="AS27" s="746"/>
      <c r="AT27" s="746"/>
      <c r="AU27" s="746"/>
      <c r="AV27" s="747"/>
    </row>
    <row r="28" spans="1:51" s="12" customFormat="1" ht="9.9" customHeight="1" x14ac:dyDescent="0.2">
      <c r="A28" s="739"/>
      <c r="B28" s="740"/>
      <c r="C28" s="740"/>
      <c r="D28" s="740"/>
      <c r="E28" s="740"/>
      <c r="F28" s="740"/>
      <c r="G28" s="740"/>
      <c r="H28" s="740"/>
      <c r="I28" s="740"/>
      <c r="J28" s="740"/>
      <c r="K28" s="740"/>
      <c r="L28" s="740"/>
      <c r="M28" s="740"/>
      <c r="N28" s="740"/>
      <c r="O28" s="740"/>
      <c r="P28" s="740"/>
      <c r="Q28" s="740"/>
      <c r="R28" s="740"/>
      <c r="S28" s="740"/>
      <c r="T28" s="740"/>
      <c r="U28" s="740"/>
      <c r="V28" s="740"/>
      <c r="W28" s="740"/>
      <c r="X28" s="740"/>
      <c r="Y28" s="740"/>
      <c r="Z28" s="740"/>
      <c r="AA28" s="740"/>
      <c r="AB28" s="740"/>
      <c r="AC28" s="740"/>
      <c r="AD28" s="740"/>
      <c r="AE28" s="740"/>
      <c r="AF28" s="740"/>
      <c r="AG28" s="740"/>
      <c r="AH28" s="740"/>
      <c r="AI28" s="740"/>
      <c r="AJ28" s="740"/>
      <c r="AK28" s="740"/>
      <c r="AL28" s="740"/>
      <c r="AM28" s="740"/>
      <c r="AN28" s="740"/>
      <c r="AO28" s="740"/>
      <c r="AP28" s="740"/>
      <c r="AQ28" s="740"/>
      <c r="AR28" s="740"/>
      <c r="AS28" s="740"/>
      <c r="AT28" s="740"/>
      <c r="AU28" s="740"/>
      <c r="AV28" s="741"/>
    </row>
    <row r="29" spans="1:51" s="12" customFormat="1" ht="9.9" customHeight="1" x14ac:dyDescent="0.2">
      <c r="A29" s="749"/>
      <c r="B29" s="740"/>
      <c r="C29" s="740"/>
      <c r="D29" s="740"/>
      <c r="E29" s="740"/>
      <c r="F29" s="740"/>
      <c r="G29" s="740"/>
      <c r="H29" s="740"/>
      <c r="I29" s="740"/>
      <c r="J29" s="740"/>
      <c r="K29" s="740"/>
      <c r="L29" s="740"/>
      <c r="M29" s="740"/>
      <c r="N29" s="740"/>
      <c r="O29" s="740"/>
      <c r="P29" s="740"/>
      <c r="Q29" s="740"/>
      <c r="R29" s="740"/>
      <c r="S29" s="740"/>
      <c r="T29" s="740"/>
      <c r="U29" s="740"/>
      <c r="V29" s="740"/>
      <c r="W29" s="740"/>
      <c r="X29" s="740"/>
      <c r="Y29" s="740"/>
      <c r="Z29" s="740"/>
      <c r="AA29" s="740"/>
      <c r="AB29" s="740"/>
      <c r="AC29" s="740"/>
      <c r="AD29" s="740"/>
      <c r="AE29" s="740"/>
      <c r="AF29" s="740"/>
      <c r="AG29" s="740"/>
      <c r="AH29" s="740"/>
      <c r="AI29" s="740"/>
      <c r="AJ29" s="740"/>
      <c r="AK29" s="740"/>
      <c r="AL29" s="740"/>
      <c r="AM29" s="740"/>
      <c r="AN29" s="740"/>
      <c r="AO29" s="740"/>
      <c r="AP29" s="740"/>
      <c r="AQ29" s="740"/>
      <c r="AR29" s="740"/>
      <c r="AS29" s="740"/>
      <c r="AT29" s="740"/>
      <c r="AU29" s="740"/>
      <c r="AV29" s="741"/>
    </row>
    <row r="30" spans="1:51" s="12" customFormat="1" ht="9.75" customHeight="1" x14ac:dyDescent="0.2">
      <c r="A30" s="739"/>
      <c r="B30" s="740"/>
      <c r="C30" s="740"/>
      <c r="D30" s="740"/>
      <c r="E30" s="740"/>
      <c r="F30" s="740"/>
      <c r="G30" s="740"/>
      <c r="H30" s="740"/>
      <c r="I30" s="740"/>
      <c r="J30" s="740"/>
      <c r="K30" s="740"/>
      <c r="L30" s="740"/>
      <c r="M30" s="740"/>
      <c r="N30" s="740"/>
      <c r="O30" s="740"/>
      <c r="P30" s="740"/>
      <c r="Q30" s="740"/>
      <c r="R30" s="740"/>
      <c r="S30" s="740"/>
      <c r="T30" s="740"/>
      <c r="U30" s="740"/>
      <c r="V30" s="740"/>
      <c r="W30" s="740"/>
      <c r="X30" s="740"/>
      <c r="Y30" s="740"/>
      <c r="Z30" s="740"/>
      <c r="AA30" s="740"/>
      <c r="AB30" s="740"/>
      <c r="AC30" s="740"/>
      <c r="AD30" s="740"/>
      <c r="AE30" s="740"/>
      <c r="AF30" s="740"/>
      <c r="AG30" s="740"/>
      <c r="AH30" s="740"/>
      <c r="AI30" s="740"/>
      <c r="AJ30" s="740"/>
      <c r="AK30" s="740"/>
      <c r="AL30" s="740"/>
      <c r="AM30" s="740"/>
      <c r="AN30" s="740"/>
      <c r="AO30" s="740"/>
      <c r="AP30" s="740"/>
      <c r="AQ30" s="740"/>
      <c r="AR30" s="740"/>
      <c r="AS30" s="740"/>
      <c r="AT30" s="740"/>
      <c r="AU30" s="740"/>
      <c r="AV30" s="741"/>
    </row>
    <row r="31" spans="1:51" s="12" customFormat="1" ht="13.5" customHeight="1" thickBot="1" x14ac:dyDescent="0.25">
      <c r="A31" s="742"/>
      <c r="B31" s="743"/>
      <c r="C31" s="743"/>
      <c r="D31" s="743"/>
      <c r="E31" s="743"/>
      <c r="F31" s="743"/>
      <c r="G31" s="743"/>
      <c r="H31" s="743"/>
      <c r="I31" s="743"/>
      <c r="J31" s="743"/>
      <c r="K31" s="743"/>
      <c r="L31" s="743"/>
      <c r="M31" s="743"/>
      <c r="N31" s="743"/>
      <c r="O31" s="743"/>
      <c r="P31" s="743"/>
      <c r="Q31" s="743"/>
      <c r="R31" s="743"/>
      <c r="S31" s="743"/>
      <c r="T31" s="743"/>
      <c r="U31" s="743"/>
      <c r="V31" s="743"/>
      <c r="W31" s="743"/>
      <c r="X31" s="743"/>
      <c r="Y31" s="743"/>
      <c r="Z31" s="743"/>
      <c r="AA31" s="743"/>
      <c r="AB31" s="743"/>
      <c r="AC31" s="743"/>
      <c r="AD31" s="743"/>
      <c r="AE31" s="743"/>
      <c r="AF31" s="743"/>
      <c r="AG31" s="743"/>
      <c r="AH31" s="743"/>
      <c r="AI31" s="743"/>
      <c r="AJ31" s="743"/>
      <c r="AK31" s="743"/>
      <c r="AL31" s="743"/>
      <c r="AM31" s="743"/>
      <c r="AN31" s="743"/>
      <c r="AO31" s="743"/>
      <c r="AP31" s="743"/>
      <c r="AQ31" s="743"/>
      <c r="AR31" s="743"/>
      <c r="AS31" s="743"/>
      <c r="AT31" s="743"/>
      <c r="AU31" s="743"/>
      <c r="AV31" s="744"/>
    </row>
    <row r="32" spans="1:51" s="12" customFormat="1" ht="6.75" customHeight="1" thickTop="1" x14ac:dyDescent="0.25">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row>
    <row r="33" spans="1:48" s="343" customFormat="1" ht="14.25" customHeight="1" x14ac:dyDescent="0.3">
      <c r="A33" s="342" t="s">
        <v>161</v>
      </c>
      <c r="B33" s="277"/>
      <c r="C33" s="277"/>
      <c r="D33" s="277"/>
      <c r="E33" s="277"/>
      <c r="F33" s="277"/>
      <c r="H33" s="344"/>
      <c r="I33" s="277"/>
      <c r="J33" s="345"/>
      <c r="K33" s="346"/>
      <c r="L33" s="346"/>
      <c r="M33" s="346"/>
      <c r="N33" s="346"/>
      <c r="O33" s="320" t="s">
        <v>17</v>
      </c>
      <c r="P33" s="347" t="s">
        <v>162</v>
      </c>
      <c r="Q33" s="348"/>
      <c r="R33" s="348"/>
      <c r="T33" s="349"/>
      <c r="U33" s="478"/>
      <c r="V33" s="478"/>
      <c r="W33" s="478"/>
      <c r="X33" s="478"/>
      <c r="Y33" s="478"/>
      <c r="Z33" s="478"/>
      <c r="AA33" s="478"/>
      <c r="AB33" s="478"/>
      <c r="AC33" s="478"/>
      <c r="AD33" s="348"/>
      <c r="AE33" s="348"/>
      <c r="AF33" s="347" t="s">
        <v>163</v>
      </c>
      <c r="AG33" s="348"/>
      <c r="AH33" s="350"/>
      <c r="AJ33" s="351"/>
      <c r="AK33" s="478"/>
      <c r="AL33" s="478"/>
      <c r="AM33" s="478"/>
      <c r="AN33" s="478"/>
      <c r="AO33" s="478"/>
      <c r="AP33" s="478"/>
      <c r="AQ33" s="478"/>
      <c r="AR33" s="478"/>
      <c r="AS33" s="478"/>
      <c r="AT33" s="352"/>
      <c r="AU33" s="348"/>
      <c r="AV33" s="348"/>
    </row>
    <row r="34" spans="1:48" s="12" customFormat="1" ht="6.75" customHeight="1" x14ac:dyDescent="0.25">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row>
    <row r="35" spans="1:48" s="72" customFormat="1" ht="12" x14ac:dyDescent="0.25">
      <c r="A35" s="70" t="s">
        <v>60</v>
      </c>
      <c r="B35" s="71" t="str">
        <f>+C348</f>
        <v>VALOR COMERCIAL  DEL INMUEBLE (VCI)</v>
      </c>
      <c r="D35" s="71"/>
    </row>
    <row r="36" spans="1:48" s="72" customFormat="1" x14ac:dyDescent="0.3">
      <c r="A36" s="73" t="s">
        <v>46</v>
      </c>
      <c r="B36" s="72" t="str">
        <f t="shared" ref="B36:B41" si="0">+E349</f>
        <v>VALOR DEL</v>
      </c>
      <c r="C36" s="74"/>
      <c r="D36" s="74"/>
      <c r="E36" s="74"/>
      <c r="H36" s="72" t="str">
        <f>+K349</f>
        <v>TERRENO</v>
      </c>
      <c r="M36" s="75"/>
      <c r="N36" s="75"/>
      <c r="O36" s="75"/>
      <c r="P36" s="75"/>
      <c r="Q36" s="75"/>
      <c r="R36" s="75"/>
      <c r="S36" s="75"/>
      <c r="T36" s="75"/>
      <c r="U36" s="75"/>
      <c r="V36" s="75" t="s">
        <v>77</v>
      </c>
      <c r="W36" s="75"/>
      <c r="X36" s="723">
        <f>+AO92</f>
        <v>0</v>
      </c>
      <c r="Y36" s="724"/>
      <c r="Z36" s="722"/>
      <c r="AA36" s="722"/>
      <c r="AB36" s="722"/>
      <c r="AC36" s="722"/>
      <c r="AD36" s="72" t="s">
        <v>26</v>
      </c>
      <c r="AH36" s="75"/>
      <c r="AI36" s="75"/>
      <c r="AK36" s="75"/>
      <c r="AL36" s="75" t="s">
        <v>18</v>
      </c>
      <c r="AM36" s="725">
        <f>+AM349</f>
        <v>0</v>
      </c>
      <c r="AN36" s="726"/>
      <c r="AO36" s="726"/>
      <c r="AP36" s="726"/>
      <c r="AQ36" s="726"/>
      <c r="AR36" s="726"/>
      <c r="AS36" s="726"/>
      <c r="AT36" s="726"/>
      <c r="AU36" s="726"/>
    </row>
    <row r="37" spans="1:48" s="72" customFormat="1" x14ac:dyDescent="0.3">
      <c r="A37" s="73" t="s">
        <v>47</v>
      </c>
      <c r="B37" s="72" t="str">
        <f t="shared" si="0"/>
        <v>VALOR DE LA EDIFICACIÓN</v>
      </c>
      <c r="C37" s="74"/>
      <c r="D37" s="74"/>
      <c r="E37" s="74"/>
      <c r="M37" s="75"/>
      <c r="N37" s="75"/>
      <c r="O37" s="75"/>
      <c r="P37" s="161"/>
      <c r="R37" s="159"/>
      <c r="S37" s="160"/>
      <c r="T37" s="160"/>
      <c r="U37" s="160" t="s">
        <v>10</v>
      </c>
      <c r="V37" s="161"/>
      <c r="W37" s="160"/>
      <c r="X37" s="723">
        <f>+P146</f>
        <v>0</v>
      </c>
      <c r="Y37" s="724"/>
      <c r="Z37" s="724"/>
      <c r="AA37" s="724"/>
      <c r="AB37" s="724"/>
      <c r="AC37" s="724"/>
      <c r="AD37" s="72" t="s">
        <v>26</v>
      </c>
      <c r="AK37" s="75"/>
      <c r="AL37" s="75" t="s">
        <v>18</v>
      </c>
      <c r="AM37" s="725">
        <f>+AM350</f>
        <v>0</v>
      </c>
      <c r="AN37" s="726"/>
      <c r="AO37" s="726"/>
      <c r="AP37" s="726"/>
      <c r="AQ37" s="726"/>
      <c r="AR37" s="726"/>
      <c r="AS37" s="726"/>
      <c r="AT37" s="726"/>
      <c r="AU37" s="726"/>
    </row>
    <row r="38" spans="1:48" s="72" customFormat="1" x14ac:dyDescent="0.3">
      <c r="A38" s="73" t="s">
        <v>1</v>
      </c>
      <c r="B38" s="72" t="str">
        <f t="shared" si="0"/>
        <v>VALOR DE LAS AREAS COMUNES</v>
      </c>
      <c r="C38" s="74"/>
      <c r="D38" s="74"/>
      <c r="E38" s="74"/>
      <c r="M38" s="75"/>
      <c r="N38" s="75"/>
      <c r="O38" s="75"/>
      <c r="P38" s="75"/>
      <c r="Q38" s="75"/>
      <c r="R38" s="75"/>
      <c r="S38" s="75"/>
      <c r="T38" s="75"/>
      <c r="U38" s="75"/>
      <c r="V38" s="75"/>
      <c r="W38" s="75"/>
      <c r="AH38" s="75"/>
      <c r="AI38" s="75"/>
      <c r="AK38" s="75"/>
      <c r="AL38" s="75" t="s">
        <v>18</v>
      </c>
      <c r="AM38" s="721">
        <f>+AM351</f>
        <v>0</v>
      </c>
      <c r="AN38" s="722"/>
      <c r="AO38" s="722"/>
      <c r="AP38" s="722"/>
      <c r="AQ38" s="722"/>
      <c r="AR38" s="722"/>
      <c r="AS38" s="722"/>
      <c r="AT38" s="722"/>
      <c r="AU38" s="722"/>
    </row>
    <row r="39" spans="1:48" s="72" customFormat="1" x14ac:dyDescent="0.3">
      <c r="A39" s="73" t="s">
        <v>9</v>
      </c>
      <c r="B39" s="72" t="str">
        <f t="shared" si="0"/>
        <v>VALOR DE LAS OBRAS COMPLEMENTARIAS</v>
      </c>
      <c r="C39" s="74"/>
      <c r="D39" s="74"/>
      <c r="E39" s="74"/>
      <c r="M39" s="75"/>
      <c r="N39" s="75"/>
      <c r="O39" s="75"/>
      <c r="P39" s="75"/>
      <c r="Q39" s="75"/>
      <c r="R39" s="75"/>
      <c r="S39" s="75"/>
      <c r="T39" s="75"/>
      <c r="U39" s="75"/>
      <c r="V39" s="75"/>
      <c r="W39" s="75"/>
      <c r="AH39" s="75"/>
      <c r="AI39" s="75"/>
      <c r="AK39" s="75"/>
      <c r="AL39" s="75" t="s">
        <v>18</v>
      </c>
      <c r="AM39" s="667">
        <f>+AM352</f>
        <v>0</v>
      </c>
      <c r="AN39" s="668"/>
      <c r="AO39" s="668"/>
      <c r="AP39" s="668"/>
      <c r="AQ39" s="668"/>
      <c r="AR39" s="668"/>
      <c r="AS39" s="668"/>
      <c r="AT39" s="668"/>
      <c r="AU39" s="668"/>
    </row>
    <row r="40" spans="1:48" s="72" customFormat="1" x14ac:dyDescent="0.3">
      <c r="A40" s="73"/>
      <c r="B40" s="72" t="str">
        <f t="shared" si="0"/>
        <v>VALOR DE REPOSICION</v>
      </c>
      <c r="C40" s="74"/>
      <c r="D40" s="74"/>
      <c r="E40" s="74"/>
      <c r="M40" s="75"/>
      <c r="N40" s="75"/>
      <c r="O40" s="75"/>
      <c r="P40" s="75"/>
      <c r="Q40" s="75"/>
      <c r="R40" s="75"/>
      <c r="S40" s="75"/>
      <c r="T40" s="75"/>
      <c r="U40" s="75"/>
      <c r="V40" s="75"/>
      <c r="W40" s="75"/>
      <c r="AH40" s="75"/>
      <c r="AI40" s="75"/>
      <c r="AK40" s="75"/>
      <c r="AL40" s="75" t="s">
        <v>18</v>
      </c>
      <c r="AM40" s="721">
        <f>+AM353</f>
        <v>0</v>
      </c>
      <c r="AN40" s="722"/>
      <c r="AO40" s="722"/>
      <c r="AP40" s="722"/>
      <c r="AQ40" s="722"/>
      <c r="AR40" s="722"/>
      <c r="AS40" s="722"/>
      <c r="AT40" s="722"/>
      <c r="AU40" s="722"/>
    </row>
    <row r="41" spans="1:48" s="70" customFormat="1" x14ac:dyDescent="0.3">
      <c r="A41" s="185"/>
      <c r="B41" s="70" t="str">
        <f t="shared" si="0"/>
        <v>FACTOR DE REAJUSTE COMERCIAL</v>
      </c>
      <c r="C41" s="186"/>
      <c r="D41" s="186"/>
      <c r="E41" s="186"/>
      <c r="M41" s="154"/>
      <c r="N41" s="154"/>
      <c r="O41" s="154"/>
      <c r="P41" s="154"/>
      <c r="Q41" s="154"/>
      <c r="R41" s="154"/>
      <c r="S41" s="154"/>
      <c r="T41" s="154"/>
      <c r="U41" s="154"/>
      <c r="V41" s="154"/>
      <c r="W41" s="154"/>
      <c r="AH41" s="154"/>
      <c r="AI41" s="154"/>
      <c r="AK41" s="154"/>
      <c r="AL41" s="154" t="s">
        <v>18</v>
      </c>
      <c r="AM41" s="750">
        <f>+E356</f>
        <v>1</v>
      </c>
      <c r="AN41" s="750"/>
      <c r="AO41" s="750"/>
      <c r="AP41" s="750"/>
      <c r="AQ41" s="750"/>
      <c r="AR41" s="750"/>
      <c r="AS41" s="750"/>
      <c r="AT41" s="750"/>
      <c r="AU41" s="750"/>
    </row>
    <row r="42" spans="1:48" s="72" customFormat="1" ht="14.25" customHeight="1" x14ac:dyDescent="0.3">
      <c r="A42" s="73"/>
      <c r="B42" s="72" t="s">
        <v>98</v>
      </c>
      <c r="C42" s="74"/>
      <c r="D42" s="74"/>
      <c r="E42" s="74"/>
      <c r="M42" s="75"/>
      <c r="N42" s="75"/>
      <c r="O42" s="75"/>
      <c r="P42" s="75"/>
      <c r="Q42" s="75"/>
      <c r="R42" s="75"/>
      <c r="S42" s="75"/>
      <c r="T42" s="75"/>
      <c r="U42" s="75"/>
      <c r="V42" s="75"/>
      <c r="W42" s="75"/>
      <c r="AH42" s="75"/>
      <c r="AI42" s="75"/>
      <c r="AK42" s="75"/>
      <c r="AL42" s="75" t="s">
        <v>18</v>
      </c>
      <c r="AM42" s="721">
        <f>+AM356</f>
        <v>0</v>
      </c>
      <c r="AN42" s="722"/>
      <c r="AO42" s="722"/>
      <c r="AP42" s="722"/>
      <c r="AQ42" s="722"/>
      <c r="AR42" s="722"/>
      <c r="AS42" s="722"/>
      <c r="AT42" s="722"/>
      <c r="AU42" s="722"/>
    </row>
    <row r="43" spans="1:48" s="72" customFormat="1" x14ac:dyDescent="0.3">
      <c r="A43" s="73" t="s">
        <v>96</v>
      </c>
      <c r="B43" s="191" t="str">
        <f>+E357</f>
        <v>VALOR DEL ESTACIONAMIENTO</v>
      </c>
      <c r="C43" s="74"/>
      <c r="D43" s="74"/>
      <c r="E43" s="74"/>
      <c r="M43" s="75"/>
      <c r="N43" s="75"/>
      <c r="O43" s="75"/>
      <c r="P43" s="75"/>
      <c r="Q43" s="75"/>
      <c r="R43" s="75"/>
      <c r="S43" s="75"/>
      <c r="T43" s="75"/>
      <c r="U43" s="75"/>
      <c r="V43" s="75"/>
      <c r="W43" s="75"/>
      <c r="AH43" s="75"/>
      <c r="AI43" s="75"/>
      <c r="AK43" s="75"/>
      <c r="AL43" s="75" t="s">
        <v>18</v>
      </c>
      <c r="AM43" s="721">
        <f>+AM357</f>
        <v>0</v>
      </c>
      <c r="AN43" s="722"/>
      <c r="AO43" s="722"/>
      <c r="AP43" s="722"/>
      <c r="AQ43" s="722"/>
      <c r="AR43" s="722"/>
      <c r="AS43" s="722"/>
      <c r="AT43" s="722"/>
      <c r="AU43" s="722"/>
    </row>
    <row r="44" spans="1:48" s="72" customFormat="1" x14ac:dyDescent="0.3">
      <c r="A44" s="73" t="s">
        <v>133</v>
      </c>
      <c r="B44" s="191" t="str">
        <f>+E358</f>
        <v>VALOR DEL DEPOSITO</v>
      </c>
      <c r="C44" s="74"/>
      <c r="D44" s="74"/>
      <c r="E44" s="74"/>
      <c r="M44" s="75"/>
      <c r="N44" s="75"/>
      <c r="O44" s="75"/>
      <c r="P44" s="75"/>
      <c r="Q44" s="75"/>
      <c r="R44" s="75"/>
      <c r="S44" s="75"/>
      <c r="T44" s="75"/>
      <c r="U44" s="75"/>
      <c r="V44" s="75"/>
      <c r="W44" s="75"/>
      <c r="AH44" s="75"/>
      <c r="AI44" s="75"/>
      <c r="AK44" s="75"/>
      <c r="AL44" s="75" t="s">
        <v>18</v>
      </c>
      <c r="AM44" s="721">
        <f>+AM358</f>
        <v>0</v>
      </c>
      <c r="AN44" s="722"/>
      <c r="AO44" s="722"/>
      <c r="AP44" s="722"/>
      <c r="AQ44" s="722"/>
      <c r="AR44" s="722"/>
      <c r="AS44" s="722"/>
      <c r="AT44" s="722"/>
      <c r="AU44" s="722"/>
    </row>
    <row r="45" spans="1:48" s="81" customFormat="1" ht="20.100000000000001" customHeight="1" thickBot="1" x14ac:dyDescent="0.3">
      <c r="A45" s="76" t="str">
        <f>+B35</f>
        <v>VALOR COMERCIAL  DEL INMUEBLE (VCI)</v>
      </c>
      <c r="B45" s="77"/>
      <c r="C45" s="77"/>
      <c r="D45" s="77"/>
      <c r="E45" s="77"/>
      <c r="F45" s="78"/>
      <c r="G45" s="78"/>
      <c r="H45" s="78"/>
      <c r="I45" s="78"/>
      <c r="J45" s="78"/>
      <c r="K45" s="78"/>
      <c r="L45" s="79"/>
      <c r="M45" s="78"/>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t="s">
        <v>18</v>
      </c>
      <c r="AM45" s="737">
        <f>+AM359</f>
        <v>0</v>
      </c>
      <c r="AN45" s="738"/>
      <c r="AO45" s="738"/>
      <c r="AP45" s="738"/>
      <c r="AQ45" s="738"/>
      <c r="AR45" s="738"/>
      <c r="AS45" s="738"/>
      <c r="AT45" s="738"/>
      <c r="AU45" s="738"/>
      <c r="AV45" s="80"/>
    </row>
    <row r="46" spans="1:48" s="82" customFormat="1" ht="15" customHeight="1" x14ac:dyDescent="0.3">
      <c r="A46" s="651">
        <f>+C360</f>
        <v>0</v>
      </c>
      <c r="B46" s="652"/>
      <c r="C46" s="652"/>
      <c r="D46" s="652"/>
      <c r="E46" s="652"/>
      <c r="F46" s="652"/>
      <c r="G46" s="652"/>
      <c r="H46" s="652"/>
      <c r="I46" s="652"/>
      <c r="J46" s="652"/>
      <c r="K46" s="652"/>
      <c r="L46" s="652"/>
      <c r="M46" s="652"/>
      <c r="N46" s="652"/>
      <c r="O46" s="652"/>
      <c r="P46" s="652"/>
      <c r="Q46" s="652"/>
      <c r="R46" s="652"/>
      <c r="S46" s="652"/>
      <c r="T46" s="652"/>
      <c r="U46" s="652"/>
      <c r="V46" s="652"/>
      <c r="W46" s="652"/>
      <c r="X46" s="652"/>
      <c r="Y46" s="652"/>
      <c r="Z46" s="652"/>
      <c r="AA46" s="652"/>
      <c r="AB46" s="652"/>
      <c r="AC46" s="652"/>
      <c r="AD46" s="652"/>
      <c r="AE46" s="652"/>
      <c r="AF46" s="652"/>
      <c r="AG46" s="652"/>
      <c r="AH46" s="652"/>
      <c r="AI46" s="652"/>
      <c r="AJ46" s="652"/>
      <c r="AK46" s="652"/>
      <c r="AL46" s="652"/>
      <c r="AM46" s="652"/>
      <c r="AN46" s="652"/>
      <c r="AO46" s="652"/>
      <c r="AP46" s="652"/>
      <c r="AQ46" s="652"/>
      <c r="AR46" s="652"/>
      <c r="AS46" s="652"/>
      <c r="AT46" s="652"/>
      <c r="AU46" s="652"/>
      <c r="AV46" s="652"/>
    </row>
    <row r="47" spans="1:48" s="81" customFormat="1" ht="20.100000000000001" customHeight="1" thickBot="1" x14ac:dyDescent="0.3">
      <c r="A47" s="112" t="s">
        <v>27</v>
      </c>
      <c r="B47" s="113" t="str">
        <f>+C361</f>
        <v>VALOR DE REALIZACIÓN AUTOMÁTICA (VRA)</v>
      </c>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767">
        <f>+I372</f>
        <v>0.75</v>
      </c>
      <c r="AA47" s="768"/>
      <c r="AB47" s="768"/>
      <c r="AC47" s="114" t="str">
        <f>+N370</f>
        <v>de  VCI</v>
      </c>
      <c r="AD47" s="114"/>
      <c r="AE47" s="114"/>
      <c r="AF47" s="114"/>
      <c r="AG47" s="114"/>
      <c r="AH47" s="115"/>
      <c r="AI47" s="115"/>
      <c r="AJ47" s="115"/>
      <c r="AK47" s="116"/>
      <c r="AL47" s="116" t="s">
        <v>18</v>
      </c>
      <c r="AM47" s="622">
        <f>+AM377</f>
        <v>0</v>
      </c>
      <c r="AN47" s="622"/>
      <c r="AO47" s="622"/>
      <c r="AP47" s="622"/>
      <c r="AQ47" s="622"/>
      <c r="AR47" s="622"/>
      <c r="AS47" s="622"/>
      <c r="AT47" s="622"/>
      <c r="AU47" s="622"/>
      <c r="AV47" s="117"/>
    </row>
    <row r="48" spans="1:48" s="118" customFormat="1" ht="16.5" customHeight="1" x14ac:dyDescent="0.15">
      <c r="A48" s="651" t="e">
        <f ca="1">+C378</f>
        <v>#NAME?</v>
      </c>
      <c r="B48" s="652"/>
      <c r="C48" s="652"/>
      <c r="D48" s="652"/>
      <c r="E48" s="652"/>
      <c r="F48" s="652"/>
      <c r="G48" s="652"/>
      <c r="H48" s="652"/>
      <c r="I48" s="652"/>
      <c r="J48" s="652"/>
      <c r="K48" s="652"/>
      <c r="L48" s="652"/>
      <c r="M48" s="652"/>
      <c r="N48" s="652"/>
      <c r="O48" s="652"/>
      <c r="P48" s="652"/>
      <c r="Q48" s="652"/>
      <c r="R48" s="652"/>
      <c r="S48" s="652"/>
      <c r="T48" s="652"/>
      <c r="U48" s="652"/>
      <c r="V48" s="652"/>
      <c r="W48" s="652"/>
      <c r="X48" s="652"/>
      <c r="Y48" s="652"/>
      <c r="Z48" s="652"/>
      <c r="AA48" s="652"/>
      <c r="AB48" s="652"/>
      <c r="AC48" s="652"/>
      <c r="AD48" s="652"/>
      <c r="AE48" s="652"/>
      <c r="AF48" s="652"/>
      <c r="AG48" s="652"/>
      <c r="AH48" s="652"/>
      <c r="AI48" s="652"/>
      <c r="AJ48" s="652"/>
      <c r="AK48" s="652"/>
      <c r="AL48" s="652"/>
      <c r="AM48" s="652"/>
      <c r="AN48" s="652"/>
      <c r="AO48" s="652"/>
      <c r="AP48" s="652"/>
      <c r="AQ48" s="652"/>
      <c r="AR48" s="652"/>
      <c r="AS48" s="652"/>
      <c r="AT48" s="652"/>
      <c r="AU48" s="652"/>
      <c r="AV48" s="652"/>
    </row>
    <row r="49" spans="1:48" s="81" customFormat="1" ht="20.100000000000001" customHeight="1" thickBot="1" x14ac:dyDescent="0.3">
      <c r="A49" s="334" t="s">
        <v>160</v>
      </c>
      <c r="B49" s="335" t="str">
        <f>+C380</f>
        <v xml:space="preserve">VALOR DE RECONSTRUCCIÓN DE LAS EDIFICACIONES </v>
      </c>
      <c r="C49" s="335"/>
      <c r="D49" s="335"/>
      <c r="E49" s="335"/>
      <c r="F49" s="335"/>
      <c r="G49" s="335"/>
      <c r="H49" s="335"/>
      <c r="I49" s="335"/>
      <c r="J49" s="335"/>
      <c r="K49" s="335"/>
      <c r="L49" s="335"/>
      <c r="M49" s="335"/>
      <c r="N49" s="335"/>
      <c r="O49" s="335"/>
      <c r="P49" s="335"/>
      <c r="Q49" s="335"/>
      <c r="R49" s="335"/>
      <c r="S49" s="335"/>
      <c r="T49" s="335"/>
      <c r="U49" s="335"/>
      <c r="V49" s="335"/>
      <c r="W49" s="335"/>
      <c r="X49" s="335"/>
      <c r="Y49" s="335"/>
      <c r="Z49" s="336"/>
      <c r="AA49" s="337"/>
      <c r="AB49" s="337"/>
      <c r="AC49" s="338"/>
      <c r="AD49" s="338"/>
      <c r="AE49" s="338"/>
      <c r="AF49" s="338"/>
      <c r="AG49" s="338"/>
      <c r="AH49" s="339"/>
      <c r="AI49" s="339"/>
      <c r="AJ49" s="339"/>
      <c r="AK49" s="340"/>
      <c r="AL49" s="340" t="s">
        <v>18</v>
      </c>
      <c r="AM49" s="733">
        <f>+AM387</f>
        <v>0</v>
      </c>
      <c r="AN49" s="733"/>
      <c r="AO49" s="733"/>
      <c r="AP49" s="733"/>
      <c r="AQ49" s="733"/>
      <c r="AR49" s="733"/>
      <c r="AS49" s="733"/>
      <c r="AT49" s="733"/>
      <c r="AU49" s="733"/>
      <c r="AV49" s="341"/>
    </row>
    <row r="50" spans="1:48" s="118" customFormat="1" ht="16.5" customHeight="1" x14ac:dyDescent="0.15">
      <c r="A50" s="651" t="e">
        <f ca="1">+C388</f>
        <v>#NAME?</v>
      </c>
      <c r="B50" s="652"/>
      <c r="C50" s="652"/>
      <c r="D50" s="652"/>
      <c r="E50" s="652"/>
      <c r="F50" s="652"/>
      <c r="G50" s="652"/>
      <c r="H50" s="652"/>
      <c r="I50" s="652"/>
      <c r="J50" s="652"/>
      <c r="K50" s="652"/>
      <c r="L50" s="652"/>
      <c r="M50" s="652"/>
      <c r="N50" s="652"/>
      <c r="O50" s="652"/>
      <c r="P50" s="652"/>
      <c r="Q50" s="652"/>
      <c r="R50" s="652"/>
      <c r="S50" s="652"/>
      <c r="T50" s="652"/>
      <c r="U50" s="652"/>
      <c r="V50" s="652"/>
      <c r="W50" s="652"/>
      <c r="X50" s="652"/>
      <c r="Y50" s="652"/>
      <c r="Z50" s="652"/>
      <c r="AA50" s="652"/>
      <c r="AB50" s="652"/>
      <c r="AC50" s="652"/>
      <c r="AD50" s="652"/>
      <c r="AE50" s="652"/>
      <c r="AF50" s="652"/>
      <c r="AG50" s="652"/>
      <c r="AH50" s="652"/>
      <c r="AI50" s="652"/>
      <c r="AJ50" s="652"/>
      <c r="AK50" s="652"/>
      <c r="AL50" s="652"/>
      <c r="AM50" s="652"/>
      <c r="AN50" s="652"/>
      <c r="AO50" s="652"/>
      <c r="AP50" s="652"/>
      <c r="AQ50" s="652"/>
      <c r="AR50" s="652"/>
      <c r="AS50" s="652"/>
      <c r="AT50" s="652"/>
      <c r="AU50" s="652"/>
      <c r="AV50" s="652"/>
    </row>
    <row r="51" spans="1:48" s="172" customFormat="1" x14ac:dyDescent="0.25">
      <c r="A51" s="124" t="s">
        <v>54</v>
      </c>
      <c r="B51" s="124"/>
      <c r="C51" s="124"/>
      <c r="D51" s="146"/>
      <c r="E51" s="124"/>
      <c r="F51" s="124"/>
      <c r="G51" s="124"/>
      <c r="H51" s="124"/>
      <c r="I51" s="147" t="s">
        <v>17</v>
      </c>
      <c r="J51" s="623">
        <f>+C106</f>
        <v>0</v>
      </c>
      <c r="K51" s="624"/>
      <c r="L51" s="624"/>
      <c r="M51" s="624"/>
      <c r="N51" s="624"/>
      <c r="O51" s="624"/>
      <c r="P51" s="624"/>
      <c r="Q51" s="624"/>
      <c r="R51" s="624"/>
      <c r="S51" s="624"/>
      <c r="T51" s="624"/>
      <c r="U51" s="624"/>
      <c r="V51" s="624"/>
      <c r="W51" s="624"/>
      <c r="X51" s="624"/>
      <c r="Y51" s="624"/>
      <c r="Z51" s="624"/>
      <c r="AA51" s="624"/>
      <c r="AB51" s="624"/>
      <c r="AC51" s="624"/>
      <c r="AD51" s="624"/>
      <c r="AE51" s="624"/>
      <c r="AF51" s="624"/>
      <c r="AG51" s="624"/>
      <c r="AH51" s="624"/>
      <c r="AI51" s="624"/>
      <c r="AJ51" s="624"/>
      <c r="AK51" s="624"/>
      <c r="AL51" s="624"/>
      <c r="AM51" s="624"/>
      <c r="AN51" s="624"/>
      <c r="AO51" s="624"/>
      <c r="AP51" s="624"/>
      <c r="AQ51" s="624"/>
      <c r="AR51" s="624"/>
      <c r="AS51" s="624"/>
      <c r="AT51" s="624"/>
      <c r="AU51" s="624"/>
      <c r="AV51" s="624"/>
    </row>
    <row r="52" spans="1:48" s="119" customFormat="1" ht="15" customHeight="1" x14ac:dyDescent="0.2">
      <c r="A52" s="148" t="s">
        <v>55</v>
      </c>
      <c r="B52" s="148"/>
      <c r="C52" s="148"/>
      <c r="D52" s="148"/>
      <c r="E52" s="148"/>
      <c r="F52" s="148"/>
      <c r="G52" s="148"/>
      <c r="H52" s="148"/>
      <c r="I52" s="149" t="s">
        <v>17</v>
      </c>
      <c r="J52" s="734">
        <f>+C193</f>
        <v>0</v>
      </c>
      <c r="K52" s="734"/>
      <c r="L52" s="734"/>
      <c r="M52" s="734"/>
      <c r="N52" s="734"/>
      <c r="O52" s="734"/>
      <c r="P52" s="734"/>
      <c r="Q52" s="734"/>
      <c r="R52" s="734"/>
      <c r="S52" s="734"/>
      <c r="T52" s="734"/>
      <c r="U52" s="734"/>
      <c r="V52" s="734"/>
      <c r="W52" s="734"/>
      <c r="X52" s="734"/>
      <c r="Y52" s="734"/>
      <c r="Z52" s="734"/>
      <c r="AA52" s="734"/>
      <c r="AB52" s="734"/>
      <c r="AC52" s="734"/>
      <c r="AD52" s="734"/>
      <c r="AE52" s="734"/>
      <c r="AF52" s="734"/>
      <c r="AG52" s="734"/>
      <c r="AH52" s="734"/>
      <c r="AI52" s="734"/>
      <c r="AJ52" s="734"/>
      <c r="AK52" s="734"/>
      <c r="AL52" s="734"/>
      <c r="AM52" s="734"/>
      <c r="AN52" s="734"/>
      <c r="AO52" s="734"/>
      <c r="AP52" s="734"/>
      <c r="AQ52" s="734"/>
      <c r="AR52" s="734"/>
      <c r="AS52" s="734"/>
      <c r="AT52" s="734"/>
      <c r="AU52" s="734"/>
      <c r="AV52" s="734"/>
    </row>
    <row r="53" spans="1:48" s="5" customFormat="1" ht="12" customHeight="1" x14ac:dyDescent="0.3">
      <c r="A53" s="107" t="s">
        <v>56</v>
      </c>
      <c r="B53" s="107"/>
      <c r="C53" s="107"/>
      <c r="D53" s="150"/>
      <c r="E53" s="107"/>
      <c r="F53" s="107"/>
      <c r="G53" s="107"/>
      <c r="H53" s="107"/>
      <c r="I53" s="151" t="s">
        <v>17</v>
      </c>
      <c r="J53" s="107" t="s">
        <v>45</v>
      </c>
      <c r="K53" s="107"/>
      <c r="L53" s="107"/>
      <c r="M53" s="626">
        <f>+V61</f>
        <v>0</v>
      </c>
      <c r="N53" s="627"/>
      <c r="O53" s="627"/>
      <c r="P53" s="627"/>
      <c r="Q53" s="627"/>
      <c r="R53" s="627"/>
      <c r="S53" s="627"/>
      <c r="T53" s="627"/>
      <c r="U53" s="627"/>
      <c r="V53" s="627"/>
      <c r="W53" s="152"/>
      <c r="X53" s="152"/>
      <c r="Y53" s="152"/>
      <c r="Z53" s="152"/>
      <c r="AA53" s="152"/>
      <c r="AB53" s="152"/>
      <c r="AC53" s="152"/>
      <c r="AD53" s="152"/>
      <c r="AE53" s="152"/>
      <c r="AF53" s="152"/>
      <c r="AG53" s="107"/>
      <c r="AH53" s="107"/>
      <c r="AI53" s="107"/>
      <c r="AJ53" s="107"/>
      <c r="AK53" s="107"/>
      <c r="AL53" s="107"/>
      <c r="AM53" s="107"/>
      <c r="AN53" s="107"/>
      <c r="AO53" s="107"/>
      <c r="AP53" s="107"/>
      <c r="AQ53" s="107"/>
      <c r="AR53" s="107"/>
      <c r="AS53" s="107"/>
      <c r="AT53" s="107"/>
      <c r="AU53" s="152"/>
      <c r="AV53" s="152"/>
    </row>
    <row r="54" spans="1:48" s="119" customFormat="1" ht="12" customHeight="1" x14ac:dyDescent="0.25">
      <c r="A54" s="105" t="s">
        <v>57</v>
      </c>
      <c r="B54" s="153"/>
      <c r="C54" s="153"/>
      <c r="D54" s="153"/>
      <c r="E54" s="153"/>
      <c r="F54" s="153"/>
      <c r="G54" s="153"/>
      <c r="H54" s="153"/>
      <c r="I54" s="154" t="s">
        <v>17</v>
      </c>
      <c r="J54" s="735"/>
      <c r="K54" s="735"/>
      <c r="L54" s="155" t="s">
        <v>178</v>
      </c>
      <c r="M54" s="153"/>
      <c r="N54" s="153"/>
      <c r="O54" s="153"/>
      <c r="P54" s="155"/>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3"/>
      <c r="AN54" s="153"/>
      <c r="AO54" s="107"/>
      <c r="AP54" s="107"/>
      <c r="AQ54" s="107"/>
      <c r="AR54" s="107"/>
      <c r="AS54" s="107"/>
      <c r="AT54" s="107"/>
      <c r="AU54" s="153"/>
      <c r="AV54" s="153"/>
    </row>
    <row r="55" spans="1:48" s="119" customFormat="1" ht="66" customHeight="1" x14ac:dyDescent="0.25">
      <c r="A55" s="105"/>
      <c r="B55" s="153"/>
      <c r="C55" s="153"/>
      <c r="D55" s="153"/>
      <c r="E55" s="153"/>
      <c r="F55" s="153"/>
      <c r="G55" s="153"/>
      <c r="H55" s="153"/>
      <c r="I55" s="154"/>
      <c r="J55" s="194"/>
      <c r="K55" s="192"/>
      <c r="L55" s="155"/>
      <c r="M55" s="153"/>
      <c r="N55" s="153"/>
      <c r="O55" s="153"/>
      <c r="P55" s="155"/>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07"/>
      <c r="AP55" s="107"/>
      <c r="AQ55" s="107"/>
      <c r="AR55" s="107"/>
      <c r="AS55" s="107"/>
      <c r="AT55" s="107"/>
      <c r="AU55" s="153"/>
      <c r="AV55" s="153"/>
    </row>
    <row r="56" spans="1:48" ht="12.9" customHeight="1" x14ac:dyDescent="0.25">
      <c r="C56" s="7"/>
      <c r="D56" s="7"/>
      <c r="H56" s="8"/>
      <c r="J56" s="9"/>
      <c r="R56" s="9" t="s">
        <v>253</v>
      </c>
      <c r="U56" s="10"/>
      <c r="V56" s="11"/>
      <c r="AB56" s="655"/>
      <c r="AC56" s="656"/>
      <c r="AD56" s="656"/>
      <c r="AE56" s="656"/>
      <c r="AF56" s="656"/>
    </row>
    <row r="57" spans="1:48" s="12" customFormat="1" ht="12.9" customHeight="1" x14ac:dyDescent="0.25">
      <c r="A57" s="653" t="s">
        <v>149</v>
      </c>
      <c r="B57" s="653"/>
      <c r="C57" s="654"/>
      <c r="D57" s="654"/>
      <c r="E57" s="654"/>
      <c r="F57" s="654"/>
      <c r="G57" s="654"/>
      <c r="H57" s="654"/>
      <c r="I57" s="654"/>
      <c r="J57" s="654"/>
      <c r="K57" s="654"/>
      <c r="L57" s="654"/>
      <c r="M57" s="654"/>
      <c r="N57" s="654"/>
      <c r="O57" s="654"/>
      <c r="P57" s="654"/>
      <c r="Q57" s="654"/>
      <c r="R57" s="654"/>
      <c r="S57" s="654"/>
      <c r="T57" s="654"/>
      <c r="U57" s="654"/>
      <c r="V57" s="654"/>
      <c r="W57" s="654"/>
      <c r="X57" s="654"/>
      <c r="Y57" s="654"/>
      <c r="Z57" s="654"/>
      <c r="AA57" s="654"/>
      <c r="AB57" s="654"/>
      <c r="AC57" s="654"/>
      <c r="AD57" s="654"/>
      <c r="AE57" s="654"/>
      <c r="AF57" s="654"/>
      <c r="AG57" s="654"/>
      <c r="AH57" s="654"/>
      <c r="AI57" s="654"/>
      <c r="AJ57" s="654"/>
      <c r="AK57" s="654"/>
      <c r="AL57" s="654"/>
      <c r="AM57" s="654"/>
      <c r="AN57" s="654"/>
      <c r="AO57" s="654"/>
      <c r="AP57" s="654"/>
      <c r="AQ57" s="654"/>
      <c r="AR57" s="654"/>
      <c r="AS57" s="654"/>
      <c r="AT57" s="654"/>
      <c r="AU57" s="654"/>
      <c r="AV57" s="654"/>
    </row>
    <row r="58" spans="1:48" ht="11.1" customHeight="1" x14ac:dyDescent="0.25"/>
    <row r="59" spans="1:48" s="24" customFormat="1" ht="20.25" customHeight="1" x14ac:dyDescent="0.25">
      <c r="A59" s="66" t="s">
        <v>87</v>
      </c>
      <c r="B59" s="56"/>
      <c r="C59" s="56"/>
      <c r="D59" s="56"/>
      <c r="E59" s="56"/>
      <c r="F59" s="56"/>
      <c r="G59" s="56"/>
      <c r="H59" s="56"/>
      <c r="I59" s="56"/>
      <c r="J59" s="56"/>
      <c r="K59" s="56"/>
      <c r="L59" s="56"/>
      <c r="M59" s="56"/>
      <c r="N59" s="56"/>
      <c r="O59" s="56"/>
      <c r="P59" s="56"/>
      <c r="Q59" s="56"/>
      <c r="R59" s="57" t="s">
        <v>17</v>
      </c>
      <c r="S59" s="628"/>
      <c r="T59" s="629"/>
      <c r="U59" s="629"/>
      <c r="V59" s="629"/>
      <c r="W59" s="629"/>
      <c r="X59" s="629"/>
      <c r="Y59" s="629"/>
      <c r="Z59" s="629"/>
      <c r="AA59" s="629"/>
      <c r="AB59" s="629"/>
      <c r="AC59" s="629"/>
      <c r="AD59" s="629"/>
      <c r="AE59" s="629"/>
      <c r="AF59" s="629"/>
      <c r="AG59" s="629"/>
      <c r="AH59" s="629"/>
      <c r="AI59" s="629"/>
      <c r="AJ59" s="629"/>
      <c r="AK59" s="629"/>
      <c r="AL59" s="629"/>
      <c r="AM59" s="629"/>
      <c r="AN59" s="629"/>
      <c r="AO59" s="629"/>
      <c r="AP59" s="629"/>
      <c r="AQ59" s="629"/>
      <c r="AR59" s="629"/>
      <c r="AS59" s="629"/>
      <c r="AT59" s="629"/>
      <c r="AU59" s="629"/>
      <c r="AV59" s="630"/>
    </row>
    <row r="60" spans="1:48" s="24" customFormat="1" ht="27" customHeight="1" x14ac:dyDescent="0.25">
      <c r="A60" s="66" t="s">
        <v>58</v>
      </c>
      <c r="B60" s="56"/>
      <c r="C60" s="56"/>
      <c r="D60" s="56"/>
      <c r="E60" s="56"/>
      <c r="F60" s="56"/>
      <c r="G60" s="56"/>
      <c r="H60" s="56"/>
      <c r="I60" s="56"/>
      <c r="J60" s="56"/>
      <c r="K60" s="56"/>
      <c r="L60" s="56"/>
      <c r="M60" s="56"/>
      <c r="N60" s="56"/>
      <c r="O60" s="56"/>
      <c r="P60" s="56"/>
      <c r="Q60" s="56"/>
      <c r="R60" s="57" t="s">
        <v>17</v>
      </c>
      <c r="S60" s="631"/>
      <c r="T60" s="631"/>
      <c r="U60" s="631"/>
      <c r="V60" s="631"/>
      <c r="W60" s="631"/>
      <c r="X60" s="631"/>
      <c r="Y60" s="631"/>
      <c r="Z60" s="631"/>
      <c r="AA60" s="631"/>
      <c r="AB60" s="631"/>
      <c r="AC60" s="631"/>
      <c r="AD60" s="631"/>
      <c r="AE60" s="631"/>
      <c r="AF60" s="631"/>
      <c r="AG60" s="631"/>
      <c r="AH60" s="631"/>
      <c r="AI60" s="631"/>
      <c r="AJ60" s="631"/>
      <c r="AK60" s="631"/>
      <c r="AL60" s="631"/>
      <c r="AM60" s="631"/>
      <c r="AN60" s="631"/>
      <c r="AO60" s="631"/>
      <c r="AP60" s="631"/>
      <c r="AQ60" s="631"/>
      <c r="AR60" s="631"/>
      <c r="AS60" s="631"/>
      <c r="AT60" s="631"/>
      <c r="AU60" s="631"/>
      <c r="AV60" s="631"/>
    </row>
    <row r="61" spans="1:48" s="24" customFormat="1" ht="21.75" customHeight="1" x14ac:dyDescent="0.25">
      <c r="A61" s="58" t="s">
        <v>39</v>
      </c>
      <c r="B61" s="58"/>
      <c r="C61" s="58"/>
      <c r="D61" s="58"/>
      <c r="Q61" s="44"/>
      <c r="R61" s="57" t="s">
        <v>17</v>
      </c>
      <c r="S61" s="260" t="s">
        <v>25</v>
      </c>
      <c r="T61" s="44"/>
      <c r="U61" s="44"/>
      <c r="V61" s="751"/>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row>
    <row r="62" spans="1:48" ht="3.9" customHeight="1" x14ac:dyDescent="0.25">
      <c r="A62" s="14"/>
      <c r="B62" s="14"/>
      <c r="C62" s="14"/>
      <c r="D62" s="14"/>
      <c r="E62" s="15"/>
      <c r="F62" s="15"/>
      <c r="G62" s="15"/>
      <c r="H62" s="15"/>
      <c r="I62" s="16"/>
      <c r="J62" s="16"/>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365" t="s">
        <v>170</v>
      </c>
    </row>
    <row r="63" spans="1:48" s="84" customFormat="1" ht="20.100000000000001" customHeight="1" x14ac:dyDescent="0.25">
      <c r="A63" s="84" t="s">
        <v>43</v>
      </c>
      <c r="C63" s="17" t="s">
        <v>4</v>
      </c>
      <c r="I63" s="120"/>
      <c r="J63" s="120"/>
      <c r="U63" s="121"/>
      <c r="V63" s="121"/>
      <c r="W63" s="121"/>
      <c r="X63" s="121"/>
      <c r="Y63" s="121"/>
      <c r="Z63" s="121"/>
      <c r="AA63" s="121"/>
      <c r="AB63" s="121"/>
      <c r="AC63" s="121"/>
      <c r="AD63" s="121"/>
    </row>
    <row r="64" spans="1:48" s="84" customFormat="1" ht="15.75" customHeight="1" x14ac:dyDescent="0.25">
      <c r="C64" s="643" t="s">
        <v>100</v>
      </c>
      <c r="D64" s="644"/>
      <c r="E64" s="644"/>
      <c r="F64" s="644"/>
      <c r="G64" s="644"/>
      <c r="H64" s="644"/>
      <c r="I64" s="644"/>
      <c r="J64" s="644"/>
      <c r="K64" s="644"/>
      <c r="L64" s="644"/>
      <c r="M64" s="644"/>
      <c r="N64" s="644"/>
      <c r="O64" s="644"/>
      <c r="P64" s="644"/>
      <c r="Q64" s="644"/>
      <c r="R64" s="644"/>
      <c r="S64" s="644"/>
      <c r="T64" s="644"/>
      <c r="U64" s="644"/>
      <c r="V64" s="644"/>
      <c r="W64" s="644"/>
      <c r="X64" s="644"/>
      <c r="Y64" s="644"/>
      <c r="Z64" s="644"/>
      <c r="AA64" s="644"/>
      <c r="AB64" s="644"/>
      <c r="AC64" s="644"/>
      <c r="AD64" s="644"/>
      <c r="AE64" s="644"/>
      <c r="AF64" s="644"/>
      <c r="AG64" s="644"/>
      <c r="AH64" s="644"/>
      <c r="AI64" s="644"/>
      <c r="AJ64" s="644"/>
      <c r="AK64" s="644"/>
      <c r="AL64" s="644"/>
      <c r="AM64" s="644"/>
      <c r="AN64" s="644"/>
      <c r="AO64" s="644"/>
      <c r="AP64" s="644"/>
      <c r="AQ64" s="644"/>
      <c r="AR64" s="644"/>
      <c r="AS64" s="644"/>
      <c r="AT64" s="644"/>
      <c r="AU64" s="644"/>
      <c r="AV64" s="644"/>
    </row>
    <row r="65" spans="1:48" s="18" customFormat="1" ht="33.75" customHeight="1" x14ac:dyDescent="0.25">
      <c r="B65" s="19"/>
      <c r="C65" s="632" t="s">
        <v>254</v>
      </c>
      <c r="D65" s="562"/>
      <c r="E65" s="562"/>
      <c r="F65" s="562"/>
      <c r="G65" s="562"/>
      <c r="H65" s="562"/>
      <c r="I65" s="562"/>
      <c r="J65" s="562"/>
      <c r="K65" s="562"/>
      <c r="L65" s="562"/>
      <c r="M65" s="562"/>
      <c r="N65" s="562"/>
      <c r="O65" s="562"/>
      <c r="P65" s="562"/>
      <c r="Q65" s="562"/>
      <c r="R65" s="562"/>
      <c r="S65" s="562"/>
      <c r="T65" s="562"/>
      <c r="U65" s="562"/>
      <c r="V65" s="562"/>
      <c r="W65" s="562"/>
      <c r="X65" s="562"/>
      <c r="Y65" s="562"/>
      <c r="Z65" s="562"/>
      <c r="AA65" s="562"/>
      <c r="AB65" s="562"/>
      <c r="AC65" s="562"/>
      <c r="AD65" s="562"/>
      <c r="AE65" s="562"/>
      <c r="AF65" s="562"/>
      <c r="AG65" s="562"/>
      <c r="AH65" s="562"/>
      <c r="AI65" s="562"/>
      <c r="AJ65" s="562"/>
      <c r="AK65" s="562"/>
      <c r="AL65" s="562"/>
      <c r="AM65" s="562"/>
      <c r="AN65" s="562"/>
      <c r="AO65" s="562"/>
      <c r="AP65" s="562"/>
      <c r="AQ65" s="562"/>
      <c r="AR65" s="562"/>
      <c r="AS65" s="562"/>
      <c r="AT65" s="562"/>
      <c r="AU65" s="562"/>
      <c r="AV65" s="562"/>
    </row>
    <row r="66" spans="1:48" s="18" customFormat="1" ht="27.75" customHeight="1" x14ac:dyDescent="0.25">
      <c r="B66" s="19"/>
      <c r="C66" s="732" t="s">
        <v>164</v>
      </c>
      <c r="D66" s="562"/>
      <c r="E66" s="562"/>
      <c r="F66" s="562"/>
      <c r="G66" s="562"/>
      <c r="H66" s="562"/>
      <c r="I66" s="562"/>
      <c r="J66" s="562"/>
      <c r="K66" s="562"/>
      <c r="L66" s="562"/>
      <c r="M66" s="562"/>
      <c r="N66" s="562"/>
      <c r="O66" s="562"/>
      <c r="P66" s="562"/>
      <c r="Q66" s="562"/>
      <c r="R66" s="562"/>
      <c r="S66" s="562"/>
      <c r="T66" s="562"/>
      <c r="U66" s="562"/>
      <c r="V66" s="562"/>
      <c r="W66" s="562"/>
      <c r="X66" s="562"/>
      <c r="Y66" s="562"/>
      <c r="Z66" s="562"/>
      <c r="AA66" s="562"/>
      <c r="AB66" s="562"/>
      <c r="AC66" s="562"/>
      <c r="AD66" s="562"/>
      <c r="AE66" s="562"/>
      <c r="AF66" s="562"/>
      <c r="AG66" s="562"/>
      <c r="AH66" s="562"/>
      <c r="AI66" s="562"/>
      <c r="AJ66" s="562"/>
      <c r="AK66" s="562"/>
      <c r="AL66" s="562"/>
      <c r="AM66" s="562"/>
      <c r="AN66" s="562"/>
      <c r="AO66" s="562"/>
      <c r="AP66" s="562"/>
      <c r="AQ66" s="562"/>
      <c r="AR66" s="562"/>
      <c r="AS66" s="562"/>
      <c r="AT66" s="562"/>
      <c r="AU66" s="562"/>
      <c r="AV66" s="562"/>
    </row>
    <row r="67" spans="1:48" s="18" customFormat="1" ht="27.75" customHeight="1" x14ac:dyDescent="0.25">
      <c r="B67" s="19"/>
      <c r="C67" s="643" t="s">
        <v>5</v>
      </c>
      <c r="D67" s="644"/>
      <c r="E67" s="644"/>
      <c r="F67" s="644"/>
      <c r="G67" s="644"/>
      <c r="H67" s="644"/>
      <c r="I67" s="644"/>
      <c r="J67" s="644"/>
      <c r="K67" s="644"/>
      <c r="L67" s="644"/>
      <c r="M67" s="644"/>
      <c r="N67" s="644"/>
      <c r="O67" s="644"/>
      <c r="P67" s="644"/>
      <c r="Q67" s="644"/>
      <c r="R67" s="644"/>
      <c r="S67" s="644"/>
      <c r="T67" s="644"/>
      <c r="U67" s="644"/>
      <c r="V67" s="644"/>
      <c r="W67" s="644"/>
      <c r="X67" s="644"/>
      <c r="Y67" s="644"/>
      <c r="Z67" s="644"/>
      <c r="AA67" s="644"/>
      <c r="AB67" s="644"/>
      <c r="AC67" s="644"/>
      <c r="AD67" s="644"/>
      <c r="AE67" s="644"/>
      <c r="AF67" s="644"/>
      <c r="AG67" s="644"/>
      <c r="AH67" s="644"/>
      <c r="AI67" s="644"/>
      <c r="AJ67" s="644"/>
      <c r="AK67" s="644"/>
      <c r="AL67" s="644"/>
      <c r="AM67" s="644"/>
      <c r="AN67" s="644"/>
      <c r="AO67" s="644"/>
      <c r="AP67" s="644"/>
      <c r="AQ67" s="644"/>
      <c r="AR67" s="644"/>
      <c r="AS67" s="644"/>
      <c r="AT67" s="644"/>
      <c r="AU67" s="644"/>
      <c r="AV67" s="644"/>
    </row>
    <row r="68" spans="1:48" s="84" customFormat="1" ht="22.5" customHeight="1" x14ac:dyDescent="0.25">
      <c r="A68" s="84" t="s">
        <v>44</v>
      </c>
      <c r="C68" s="645" t="s">
        <v>20</v>
      </c>
      <c r="D68" s="645"/>
      <c r="E68" s="645"/>
      <c r="F68" s="645"/>
      <c r="G68" s="645"/>
      <c r="H68" s="645"/>
      <c r="I68" s="645"/>
      <c r="J68" s="645"/>
      <c r="K68" s="645"/>
      <c r="L68" s="645"/>
      <c r="M68" s="645"/>
      <c r="N68" s="645"/>
      <c r="O68" s="645"/>
      <c r="P68" s="645"/>
      <c r="Q68" s="645"/>
      <c r="R68" s="645"/>
      <c r="S68" s="645"/>
      <c r="T68" s="645"/>
      <c r="U68" s="645"/>
      <c r="V68" s="645"/>
      <c r="W68" s="645"/>
      <c r="X68" s="645"/>
      <c r="Y68" s="645"/>
      <c r="Z68" s="645"/>
      <c r="AA68" s="645"/>
      <c r="AB68" s="645"/>
      <c r="AC68" s="645"/>
      <c r="AD68" s="645"/>
      <c r="AE68" s="645"/>
      <c r="AF68" s="645"/>
      <c r="AG68" s="645"/>
      <c r="AH68" s="645"/>
      <c r="AI68" s="645"/>
      <c r="AJ68" s="645"/>
      <c r="AK68" s="645"/>
      <c r="AL68" s="645"/>
      <c r="AM68" s="645"/>
      <c r="AN68" s="645"/>
      <c r="AO68" s="645"/>
      <c r="AP68" s="645"/>
      <c r="AQ68" s="645"/>
      <c r="AR68" s="645"/>
      <c r="AS68" s="645"/>
      <c r="AT68" s="645"/>
      <c r="AU68" s="645"/>
      <c r="AV68" s="645"/>
    </row>
    <row r="69" spans="1:48" ht="15" customHeight="1" x14ac:dyDescent="0.25">
      <c r="A69" s="574">
        <v>1</v>
      </c>
      <c r="B69" s="575"/>
      <c r="C69" s="17" t="s">
        <v>30</v>
      </c>
      <c r="D69" s="17"/>
    </row>
    <row r="70" spans="1:48" ht="18" customHeight="1" x14ac:dyDescent="0.25">
      <c r="A70" s="1"/>
      <c r="B70" s="1"/>
      <c r="C70" s="187" t="s">
        <v>138</v>
      </c>
    </row>
    <row r="71" spans="1:48" ht="15" customHeight="1" x14ac:dyDescent="0.25">
      <c r="A71" s="1"/>
      <c r="B71" s="1"/>
      <c r="C71" s="633" t="s">
        <v>88</v>
      </c>
      <c r="D71" s="634"/>
      <c r="E71" s="634"/>
      <c r="F71" s="634"/>
      <c r="G71" s="634"/>
      <c r="H71" s="634"/>
      <c r="I71" s="634"/>
      <c r="J71" s="634"/>
      <c r="K71" s="634"/>
      <c r="L71" s="634"/>
      <c r="M71" s="634"/>
      <c r="N71" s="634"/>
      <c r="O71" s="634"/>
      <c r="P71" s="634"/>
      <c r="Q71" s="634"/>
      <c r="R71" s="634"/>
      <c r="S71" s="634"/>
      <c r="T71" s="634"/>
      <c r="U71" s="635"/>
      <c r="V71" s="635"/>
      <c r="W71" s="635"/>
      <c r="X71" s="635"/>
      <c r="Y71" s="635"/>
      <c r="Z71" s="635"/>
      <c r="AA71" s="635"/>
      <c r="AB71" s="635"/>
      <c r="AC71" s="635"/>
      <c r="AD71" s="635"/>
      <c r="AE71" s="635"/>
      <c r="AF71" s="635"/>
      <c r="AG71" s="635"/>
      <c r="AH71" s="635"/>
      <c r="AI71" s="635"/>
      <c r="AJ71" s="635"/>
      <c r="AK71" s="635"/>
      <c r="AL71" s="635"/>
      <c r="AM71" s="635"/>
      <c r="AN71" s="635"/>
      <c r="AO71" s="635"/>
      <c r="AP71" s="635"/>
      <c r="AQ71" s="635"/>
      <c r="AR71" s="635"/>
      <c r="AS71" s="635"/>
      <c r="AT71" s="635"/>
      <c r="AU71" s="635"/>
      <c r="AV71" s="635"/>
    </row>
    <row r="72" spans="1:48" s="187" customFormat="1" ht="36.75" customHeight="1" x14ac:dyDescent="0.25">
      <c r="A72" s="196"/>
      <c r="B72" s="196"/>
      <c r="C72" s="639"/>
      <c r="D72" s="639"/>
      <c r="E72" s="639"/>
      <c r="F72" s="639"/>
      <c r="G72" s="639"/>
      <c r="H72" s="639"/>
      <c r="I72" s="639"/>
      <c r="J72" s="639"/>
      <c r="K72" s="639"/>
      <c r="L72" s="639"/>
      <c r="M72" s="639"/>
      <c r="N72" s="639"/>
      <c r="O72" s="639"/>
      <c r="P72" s="639"/>
      <c r="Q72" s="639"/>
      <c r="R72" s="639"/>
      <c r="S72" s="639"/>
      <c r="T72" s="639"/>
      <c r="U72" s="640"/>
      <c r="V72" s="640"/>
      <c r="W72" s="640"/>
      <c r="X72" s="640"/>
      <c r="Y72" s="640"/>
      <c r="Z72" s="640"/>
      <c r="AA72" s="640"/>
      <c r="AB72" s="640"/>
      <c r="AC72" s="640"/>
      <c r="AD72" s="640"/>
      <c r="AE72" s="640"/>
      <c r="AF72" s="640"/>
      <c r="AG72" s="640"/>
      <c r="AH72" s="640"/>
      <c r="AI72" s="640"/>
      <c r="AJ72" s="640"/>
      <c r="AK72" s="640"/>
      <c r="AL72" s="640"/>
      <c r="AM72" s="640"/>
      <c r="AN72" s="640"/>
      <c r="AO72" s="640"/>
      <c r="AP72" s="640"/>
      <c r="AQ72" s="640"/>
      <c r="AR72" s="640"/>
      <c r="AS72" s="640"/>
      <c r="AT72" s="640"/>
      <c r="AU72" s="640"/>
      <c r="AV72" s="640"/>
    </row>
    <row r="73" spans="1:48" s="187" customFormat="1" ht="15" customHeight="1" x14ac:dyDescent="0.25">
      <c r="A73" s="196"/>
      <c r="B73" s="196"/>
      <c r="C73" s="633" t="s">
        <v>86</v>
      </c>
      <c r="D73" s="636"/>
      <c r="E73" s="636"/>
      <c r="F73" s="636"/>
      <c r="G73" s="636"/>
      <c r="H73" s="636"/>
      <c r="I73" s="636"/>
      <c r="J73" s="636"/>
      <c r="K73" s="636"/>
      <c r="L73" s="636"/>
      <c r="M73" s="636"/>
      <c r="N73" s="636"/>
      <c r="O73" s="636"/>
      <c r="P73" s="636"/>
      <c r="Q73" s="636"/>
      <c r="R73" s="636"/>
      <c r="S73" s="636"/>
      <c r="T73" s="636"/>
      <c r="U73" s="552"/>
      <c r="V73" s="552"/>
      <c r="W73" s="552"/>
      <c r="X73" s="552"/>
      <c r="Y73" s="552"/>
      <c r="Z73" s="552"/>
      <c r="AA73" s="552"/>
      <c r="AB73" s="552"/>
      <c r="AC73" s="552"/>
      <c r="AD73" s="552"/>
      <c r="AE73" s="552"/>
      <c r="AF73" s="552"/>
      <c r="AG73" s="552"/>
      <c r="AH73" s="552"/>
      <c r="AI73" s="552"/>
      <c r="AJ73" s="552"/>
      <c r="AK73" s="552"/>
      <c r="AL73" s="552"/>
      <c r="AM73" s="552"/>
      <c r="AN73" s="552"/>
      <c r="AO73" s="552"/>
      <c r="AP73" s="552"/>
      <c r="AQ73" s="552"/>
      <c r="AR73" s="552"/>
      <c r="AS73" s="552"/>
      <c r="AT73" s="552"/>
      <c r="AU73" s="552"/>
      <c r="AV73" s="552"/>
    </row>
    <row r="74" spans="1:48" s="187" customFormat="1" ht="33.75" customHeight="1" x14ac:dyDescent="0.25">
      <c r="A74" s="196"/>
      <c r="B74" s="196"/>
      <c r="C74" s="639"/>
      <c r="D74" s="639"/>
      <c r="E74" s="639"/>
      <c r="F74" s="639"/>
      <c r="G74" s="639"/>
      <c r="H74" s="639"/>
      <c r="I74" s="639"/>
      <c r="J74" s="639"/>
      <c r="K74" s="639"/>
      <c r="L74" s="639"/>
      <c r="M74" s="639"/>
      <c r="N74" s="639"/>
      <c r="O74" s="639"/>
      <c r="P74" s="639"/>
      <c r="Q74" s="639"/>
      <c r="R74" s="639"/>
      <c r="S74" s="639"/>
      <c r="T74" s="639"/>
      <c r="U74" s="640"/>
      <c r="V74" s="640"/>
      <c r="W74" s="640"/>
      <c r="X74" s="640"/>
      <c r="Y74" s="640"/>
      <c r="Z74" s="640"/>
      <c r="AA74" s="640"/>
      <c r="AB74" s="640"/>
      <c r="AC74" s="640"/>
      <c r="AD74" s="640"/>
      <c r="AE74" s="640"/>
      <c r="AF74" s="640"/>
      <c r="AG74" s="640"/>
      <c r="AH74" s="640"/>
      <c r="AI74" s="640"/>
      <c r="AJ74" s="640"/>
      <c r="AK74" s="640"/>
      <c r="AL74" s="640"/>
      <c r="AM74" s="640"/>
      <c r="AN74" s="640"/>
      <c r="AO74" s="640"/>
      <c r="AP74" s="640"/>
      <c r="AQ74" s="640"/>
      <c r="AR74" s="640"/>
      <c r="AS74" s="640"/>
      <c r="AT74" s="640"/>
      <c r="AU74" s="640"/>
      <c r="AV74" s="640"/>
    </row>
    <row r="75" spans="1:48" s="187" customFormat="1" ht="15" customHeight="1" x14ac:dyDescent="0.25">
      <c r="A75" s="196"/>
      <c r="B75" s="196"/>
      <c r="C75" s="633" t="s">
        <v>101</v>
      </c>
      <c r="D75" s="636"/>
      <c r="E75" s="636"/>
      <c r="F75" s="636"/>
      <c r="G75" s="636"/>
      <c r="H75" s="636"/>
      <c r="I75" s="636"/>
      <c r="J75" s="636"/>
      <c r="K75" s="636"/>
      <c r="L75" s="636"/>
      <c r="M75" s="636"/>
      <c r="N75" s="636"/>
      <c r="O75" s="636"/>
      <c r="P75" s="636"/>
      <c r="Q75" s="636"/>
      <c r="R75" s="636"/>
      <c r="S75" s="636"/>
      <c r="T75" s="636"/>
      <c r="U75" s="552"/>
      <c r="V75" s="552"/>
      <c r="W75" s="552"/>
      <c r="X75" s="552"/>
      <c r="Y75" s="552"/>
      <c r="Z75" s="552"/>
      <c r="AA75" s="552"/>
      <c r="AB75" s="552"/>
      <c r="AC75" s="552"/>
      <c r="AD75" s="552"/>
      <c r="AE75" s="552"/>
      <c r="AF75" s="552"/>
      <c r="AG75" s="552"/>
      <c r="AH75" s="552"/>
      <c r="AI75" s="552"/>
      <c r="AJ75" s="552"/>
      <c r="AK75" s="552"/>
      <c r="AL75" s="552"/>
      <c r="AM75" s="552"/>
      <c r="AN75" s="552"/>
      <c r="AO75" s="552"/>
      <c r="AP75" s="552"/>
      <c r="AQ75" s="552"/>
      <c r="AR75" s="552"/>
      <c r="AS75" s="552"/>
      <c r="AT75" s="552"/>
      <c r="AU75" s="552"/>
      <c r="AV75" s="552"/>
    </row>
    <row r="76" spans="1:48" s="187" customFormat="1" ht="28.5" customHeight="1" x14ac:dyDescent="0.25">
      <c r="A76" s="196"/>
      <c r="B76" s="196"/>
      <c r="C76" s="639"/>
      <c r="D76" s="639"/>
      <c r="E76" s="639"/>
      <c r="F76" s="639"/>
      <c r="G76" s="639"/>
      <c r="H76" s="639"/>
      <c r="I76" s="639"/>
      <c r="J76" s="639"/>
      <c r="K76" s="639"/>
      <c r="L76" s="639"/>
      <c r="M76" s="639"/>
      <c r="N76" s="639"/>
      <c r="O76" s="639"/>
      <c r="P76" s="639"/>
      <c r="Q76" s="639"/>
      <c r="R76" s="639"/>
      <c r="S76" s="639"/>
      <c r="T76" s="639"/>
      <c r="U76" s="640"/>
      <c r="V76" s="640"/>
      <c r="W76" s="640"/>
      <c r="X76" s="640"/>
      <c r="Y76" s="640"/>
      <c r="Z76" s="640"/>
      <c r="AA76" s="640"/>
      <c r="AB76" s="640"/>
      <c r="AC76" s="640"/>
      <c r="AD76" s="640"/>
      <c r="AE76" s="640"/>
      <c r="AF76" s="640"/>
      <c r="AG76" s="640"/>
      <c r="AH76" s="640"/>
      <c r="AI76" s="640"/>
      <c r="AJ76" s="640"/>
      <c r="AK76" s="640"/>
      <c r="AL76" s="640"/>
      <c r="AM76" s="640"/>
      <c r="AN76" s="640"/>
      <c r="AO76" s="640"/>
      <c r="AP76" s="640"/>
      <c r="AQ76" s="640"/>
      <c r="AR76" s="640"/>
      <c r="AS76" s="640"/>
      <c r="AT76" s="640"/>
      <c r="AU76" s="640"/>
      <c r="AV76" s="640"/>
    </row>
    <row r="77" spans="1:48" ht="23.25" customHeight="1" x14ac:dyDescent="0.25">
      <c r="A77" s="574">
        <f>1+A69</f>
        <v>2</v>
      </c>
      <c r="B77" s="575"/>
      <c r="C77" s="17" t="s">
        <v>71</v>
      </c>
      <c r="D77" s="17"/>
      <c r="R77" s="187"/>
      <c r="S77" s="84"/>
    </row>
    <row r="78" spans="1:48" s="193" customFormat="1" ht="17.25" hidden="1" customHeight="1" x14ac:dyDescent="0.25">
      <c r="A78" s="221"/>
      <c r="B78" s="221"/>
      <c r="C78" s="637"/>
      <c r="D78" s="637"/>
      <c r="E78" s="637"/>
      <c r="F78" s="637"/>
      <c r="G78" s="637"/>
      <c r="H78" s="637"/>
      <c r="I78" s="637"/>
      <c r="J78" s="637"/>
      <c r="K78" s="637"/>
      <c r="L78" s="637"/>
      <c r="M78" s="637"/>
      <c r="N78" s="637"/>
      <c r="O78" s="637"/>
      <c r="P78" s="637"/>
      <c r="Q78" s="637"/>
      <c r="R78" s="637"/>
      <c r="S78" s="637"/>
      <c r="T78" s="637"/>
      <c r="U78" s="638"/>
      <c r="V78" s="638"/>
      <c r="W78" s="638"/>
      <c r="X78" s="638"/>
      <c r="Y78" s="638"/>
      <c r="Z78" s="638"/>
      <c r="AA78" s="638"/>
      <c r="AB78" s="638"/>
      <c r="AC78" s="638"/>
      <c r="AD78" s="638"/>
      <c r="AE78" s="638"/>
      <c r="AF78" s="638"/>
      <c r="AG78" s="638"/>
      <c r="AH78" s="638"/>
      <c r="AI78" s="638"/>
      <c r="AJ78" s="638"/>
      <c r="AK78" s="638"/>
      <c r="AL78" s="638"/>
      <c r="AM78" s="638"/>
      <c r="AN78" s="638"/>
      <c r="AO78" s="638"/>
      <c r="AP78" s="638"/>
      <c r="AQ78" s="638"/>
      <c r="AR78" s="638"/>
      <c r="AS78" s="638"/>
      <c r="AT78" s="638"/>
      <c r="AU78" s="638"/>
      <c r="AV78" s="638"/>
    </row>
    <row r="79" spans="1:48" s="193" customFormat="1" ht="15" customHeight="1" x14ac:dyDescent="0.25">
      <c r="A79" s="221"/>
      <c r="B79" s="221"/>
      <c r="C79" s="222" t="s">
        <v>104</v>
      </c>
      <c r="D79" s="223"/>
      <c r="E79" s="223"/>
      <c r="F79" s="224"/>
      <c r="G79" s="225" t="s">
        <v>17</v>
      </c>
      <c r="H79" s="221"/>
      <c r="I79" s="224"/>
      <c r="J79" s="224"/>
      <c r="K79" s="224"/>
      <c r="L79" s="224"/>
      <c r="M79" s="224"/>
      <c r="N79" s="224"/>
      <c r="O79" s="224"/>
      <c r="P79" s="224"/>
      <c r="Q79" s="224"/>
      <c r="R79" s="224"/>
      <c r="S79" s="224"/>
      <c r="T79" s="226"/>
      <c r="U79" s="224"/>
      <c r="V79" s="224"/>
      <c r="W79" s="224"/>
      <c r="X79" s="224"/>
      <c r="Y79" s="224"/>
      <c r="Z79" s="224"/>
      <c r="AA79" s="224"/>
      <c r="AB79" s="224"/>
      <c r="AC79" s="224"/>
      <c r="AD79" s="224"/>
      <c r="AE79" s="224"/>
      <c r="AF79" s="224"/>
      <c r="AG79" s="224"/>
      <c r="AH79" s="224"/>
      <c r="AI79" s="224"/>
      <c r="AJ79" s="224"/>
      <c r="AK79" s="224"/>
      <c r="AL79" s="224"/>
      <c r="AM79" s="224"/>
      <c r="AN79" s="224"/>
      <c r="AO79" s="224"/>
      <c r="AP79" s="641"/>
      <c r="AQ79" s="642"/>
      <c r="AR79" s="642"/>
      <c r="AS79" s="642"/>
      <c r="AT79" s="221"/>
      <c r="AU79" s="221"/>
      <c r="AV79" s="221"/>
    </row>
    <row r="80" spans="1:48" s="193" customFormat="1" ht="14.25" customHeight="1" x14ac:dyDescent="0.25">
      <c r="A80" s="221"/>
      <c r="B80" s="221"/>
      <c r="C80" s="556"/>
      <c r="D80" s="619"/>
      <c r="E80" s="619"/>
      <c r="F80" s="619"/>
      <c r="G80" s="619"/>
      <c r="H80" s="619"/>
      <c r="I80" s="619"/>
      <c r="J80" s="619"/>
      <c r="K80" s="619"/>
      <c r="L80" s="619"/>
      <c r="M80" s="619"/>
      <c r="N80" s="619"/>
      <c r="O80" s="619"/>
      <c r="P80" s="619"/>
      <c r="Q80" s="619"/>
      <c r="R80" s="619"/>
      <c r="S80" s="619"/>
      <c r="T80" s="619"/>
      <c r="U80" s="619"/>
      <c r="V80" s="619"/>
      <c r="W80" s="619"/>
      <c r="X80" s="619"/>
      <c r="Y80" s="619"/>
      <c r="Z80" s="619"/>
      <c r="AA80" s="619"/>
      <c r="AB80" s="619"/>
      <c r="AC80" s="619"/>
      <c r="AD80" s="619"/>
      <c r="AE80" s="619"/>
      <c r="AF80" s="619"/>
      <c r="AG80" s="619"/>
      <c r="AH80" s="619"/>
      <c r="AI80" s="619"/>
      <c r="AJ80" s="619"/>
      <c r="AK80" s="619"/>
      <c r="AL80" s="619"/>
      <c r="AM80" s="619"/>
      <c r="AN80" s="619"/>
      <c r="AO80" s="619"/>
      <c r="AP80" s="642"/>
      <c r="AQ80" s="642"/>
      <c r="AR80" s="642"/>
      <c r="AS80" s="642"/>
      <c r="AT80" s="224" t="s">
        <v>102</v>
      </c>
      <c r="AU80" s="220"/>
      <c r="AV80" s="221"/>
    </row>
    <row r="81" spans="1:48" s="193" customFormat="1" ht="15" customHeight="1" x14ac:dyDescent="0.25">
      <c r="A81" s="221"/>
      <c r="B81" s="221"/>
      <c r="C81" s="222" t="s">
        <v>106</v>
      </c>
      <c r="D81" s="227"/>
      <c r="E81" s="227"/>
      <c r="F81" s="226"/>
      <c r="G81" s="224"/>
      <c r="H81" s="225" t="s">
        <v>17</v>
      </c>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24"/>
      <c r="AO81" s="224"/>
      <c r="AP81" s="641"/>
      <c r="AQ81" s="642"/>
      <c r="AR81" s="642"/>
      <c r="AS81" s="642"/>
      <c r="AT81" s="224"/>
      <c r="AU81" s="220"/>
      <c r="AV81" s="221"/>
    </row>
    <row r="82" spans="1:48" s="193" customFormat="1" ht="18" customHeight="1" x14ac:dyDescent="0.25">
      <c r="A82" s="221"/>
      <c r="B82" s="221"/>
      <c r="C82" s="556"/>
      <c r="D82" s="619"/>
      <c r="E82" s="619"/>
      <c r="F82" s="619"/>
      <c r="G82" s="619"/>
      <c r="H82" s="619"/>
      <c r="I82" s="619"/>
      <c r="J82" s="619"/>
      <c r="K82" s="619"/>
      <c r="L82" s="619"/>
      <c r="M82" s="619"/>
      <c r="N82" s="619"/>
      <c r="O82" s="619"/>
      <c r="P82" s="619"/>
      <c r="Q82" s="619"/>
      <c r="R82" s="619"/>
      <c r="S82" s="619"/>
      <c r="T82" s="619"/>
      <c r="U82" s="619"/>
      <c r="V82" s="619"/>
      <c r="W82" s="619"/>
      <c r="X82" s="619"/>
      <c r="Y82" s="619"/>
      <c r="Z82" s="619"/>
      <c r="AA82" s="619"/>
      <c r="AB82" s="619"/>
      <c r="AC82" s="619"/>
      <c r="AD82" s="619"/>
      <c r="AE82" s="619"/>
      <c r="AF82" s="619"/>
      <c r="AG82" s="619"/>
      <c r="AH82" s="619"/>
      <c r="AI82" s="619"/>
      <c r="AJ82" s="619"/>
      <c r="AK82" s="619"/>
      <c r="AL82" s="619"/>
      <c r="AM82" s="619"/>
      <c r="AN82" s="619"/>
      <c r="AO82" s="619"/>
      <c r="AP82" s="642"/>
      <c r="AQ82" s="642"/>
      <c r="AR82" s="642"/>
      <c r="AS82" s="642"/>
      <c r="AT82" s="224" t="s">
        <v>65</v>
      </c>
      <c r="AU82" s="220"/>
      <c r="AV82" s="221"/>
    </row>
    <row r="83" spans="1:48" s="193" customFormat="1" ht="15" customHeight="1" x14ac:dyDescent="0.25">
      <c r="A83" s="221"/>
      <c r="B83" s="221"/>
      <c r="C83" s="222" t="s">
        <v>105</v>
      </c>
      <c r="D83" s="227"/>
      <c r="E83" s="227"/>
      <c r="F83" s="226"/>
      <c r="G83" s="224"/>
      <c r="H83" s="225" t="s">
        <v>17</v>
      </c>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24"/>
      <c r="AO83" s="224"/>
      <c r="AP83" s="641"/>
      <c r="AQ83" s="642"/>
      <c r="AR83" s="642"/>
      <c r="AS83" s="642"/>
      <c r="AT83" s="224"/>
      <c r="AU83" s="220"/>
      <c r="AV83" s="221"/>
    </row>
    <row r="84" spans="1:48" s="193" customFormat="1" ht="18" customHeight="1" x14ac:dyDescent="0.25">
      <c r="A84" s="221"/>
      <c r="B84" s="221"/>
      <c r="C84" s="556"/>
      <c r="D84" s="619"/>
      <c r="E84" s="619"/>
      <c r="F84" s="619"/>
      <c r="G84" s="619"/>
      <c r="H84" s="619"/>
      <c r="I84" s="619"/>
      <c r="J84" s="619"/>
      <c r="K84" s="619"/>
      <c r="L84" s="619"/>
      <c r="M84" s="619"/>
      <c r="N84" s="619"/>
      <c r="O84" s="619"/>
      <c r="P84" s="619"/>
      <c r="Q84" s="619"/>
      <c r="R84" s="619"/>
      <c r="S84" s="619"/>
      <c r="T84" s="619"/>
      <c r="U84" s="619"/>
      <c r="V84" s="619"/>
      <c r="W84" s="619"/>
      <c r="X84" s="619"/>
      <c r="Y84" s="619"/>
      <c r="Z84" s="619"/>
      <c r="AA84" s="619"/>
      <c r="AB84" s="619"/>
      <c r="AC84" s="619"/>
      <c r="AD84" s="619"/>
      <c r="AE84" s="619"/>
      <c r="AF84" s="619"/>
      <c r="AG84" s="619"/>
      <c r="AH84" s="619"/>
      <c r="AI84" s="619"/>
      <c r="AJ84" s="619"/>
      <c r="AK84" s="619"/>
      <c r="AL84" s="619"/>
      <c r="AM84" s="619"/>
      <c r="AN84" s="619"/>
      <c r="AO84" s="619"/>
      <c r="AP84" s="642"/>
      <c r="AQ84" s="642"/>
      <c r="AR84" s="642"/>
      <c r="AS84" s="642"/>
      <c r="AT84" s="224" t="s">
        <v>65</v>
      </c>
      <c r="AU84" s="220"/>
      <c r="AV84" s="221"/>
    </row>
    <row r="85" spans="1:48" s="193" customFormat="1" ht="15" customHeight="1" x14ac:dyDescent="0.25">
      <c r="A85" s="221"/>
      <c r="B85" s="221"/>
      <c r="C85" s="228" t="s">
        <v>107</v>
      </c>
      <c r="D85" s="229"/>
      <c r="E85" s="229"/>
      <c r="F85" s="221"/>
      <c r="G85" s="225" t="s">
        <v>17</v>
      </c>
      <c r="H85" s="221"/>
      <c r="I85" s="230"/>
      <c r="J85" s="230"/>
      <c r="K85" s="230"/>
      <c r="L85" s="230"/>
      <c r="M85" s="230"/>
      <c r="N85" s="230"/>
      <c r="O85" s="230"/>
      <c r="P85" s="230"/>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24"/>
      <c r="AO85" s="224"/>
      <c r="AP85" s="641"/>
      <c r="AQ85" s="642"/>
      <c r="AR85" s="642"/>
      <c r="AS85" s="642"/>
      <c r="AT85" s="224"/>
      <c r="AU85" s="220"/>
      <c r="AV85" s="221"/>
    </row>
    <row r="86" spans="1:48" s="193" customFormat="1" ht="15" customHeight="1" x14ac:dyDescent="0.25">
      <c r="A86" s="221"/>
      <c r="B86" s="221"/>
      <c r="C86" s="556"/>
      <c r="D86" s="619"/>
      <c r="E86" s="619"/>
      <c r="F86" s="619"/>
      <c r="G86" s="619"/>
      <c r="H86" s="619"/>
      <c r="I86" s="619"/>
      <c r="J86" s="619"/>
      <c r="K86" s="619"/>
      <c r="L86" s="619"/>
      <c r="M86" s="619"/>
      <c r="N86" s="619"/>
      <c r="O86" s="619"/>
      <c r="P86" s="619"/>
      <c r="Q86" s="619"/>
      <c r="R86" s="619"/>
      <c r="S86" s="619"/>
      <c r="T86" s="619"/>
      <c r="U86" s="619"/>
      <c r="V86" s="619"/>
      <c r="W86" s="619"/>
      <c r="X86" s="619"/>
      <c r="Y86" s="619"/>
      <c r="Z86" s="619"/>
      <c r="AA86" s="619"/>
      <c r="AB86" s="619"/>
      <c r="AC86" s="619"/>
      <c r="AD86" s="619"/>
      <c r="AE86" s="619"/>
      <c r="AF86" s="619"/>
      <c r="AG86" s="619"/>
      <c r="AH86" s="619"/>
      <c r="AI86" s="619"/>
      <c r="AJ86" s="619"/>
      <c r="AK86" s="619"/>
      <c r="AL86" s="619"/>
      <c r="AM86" s="619"/>
      <c r="AN86" s="619"/>
      <c r="AO86" s="619"/>
      <c r="AP86" s="718"/>
      <c r="AQ86" s="718"/>
      <c r="AR86" s="718"/>
      <c r="AS86" s="718"/>
      <c r="AT86" s="224" t="s">
        <v>65</v>
      </c>
      <c r="AU86" s="220"/>
      <c r="AV86" s="221"/>
    </row>
    <row r="87" spans="1:48" s="193" customFormat="1" ht="15" customHeight="1" thickBot="1" x14ac:dyDescent="0.3">
      <c r="A87" s="221"/>
      <c r="B87" s="221"/>
      <c r="C87" s="231" t="s">
        <v>103</v>
      </c>
      <c r="D87" s="231"/>
      <c r="E87" s="232"/>
      <c r="F87" s="233"/>
      <c r="G87" s="232"/>
      <c r="H87" s="232"/>
      <c r="I87" s="232"/>
      <c r="J87" s="232"/>
      <c r="K87" s="232"/>
      <c r="L87" s="232"/>
      <c r="M87" s="232"/>
      <c r="N87" s="232"/>
      <c r="O87" s="232"/>
      <c r="P87" s="232"/>
      <c r="Q87" s="232"/>
      <c r="R87" s="232"/>
      <c r="S87" s="232"/>
      <c r="T87" s="232"/>
      <c r="U87" s="233"/>
      <c r="V87" s="232"/>
      <c r="W87" s="232"/>
      <c r="X87" s="232"/>
      <c r="Y87" s="232"/>
      <c r="Z87" s="232"/>
      <c r="AA87" s="232"/>
      <c r="AB87" s="233"/>
      <c r="AC87" s="232"/>
      <c r="AD87" s="232"/>
      <c r="AE87" s="232"/>
      <c r="AF87" s="232"/>
      <c r="AG87" s="232"/>
      <c r="AH87" s="232"/>
      <c r="AI87" s="232"/>
      <c r="AJ87" s="232"/>
      <c r="AK87" s="232"/>
      <c r="AL87" s="232"/>
      <c r="AM87" s="233"/>
      <c r="AN87" s="232"/>
      <c r="AO87" s="648">
        <f>SUM(AP79:AS86)</f>
        <v>0</v>
      </c>
      <c r="AP87" s="648"/>
      <c r="AQ87" s="648"/>
      <c r="AR87" s="648"/>
      <c r="AS87" s="648"/>
      <c r="AT87" s="231" t="s">
        <v>102</v>
      </c>
      <c r="AU87" s="231"/>
    </row>
    <row r="88" spans="1:48" ht="24.75" customHeight="1" thickTop="1" x14ac:dyDescent="0.25">
      <c r="A88" s="574">
        <f>A77+1</f>
        <v>3</v>
      </c>
      <c r="B88" s="575"/>
      <c r="C88" s="17" t="s">
        <v>72</v>
      </c>
      <c r="D88" s="17"/>
      <c r="F88" s="22"/>
      <c r="O88" s="187" t="s">
        <v>148</v>
      </c>
      <c r="P88" s="187"/>
    </row>
    <row r="89" spans="1:48" ht="2.4" customHeight="1" x14ac:dyDescent="0.25">
      <c r="A89" s="20"/>
      <c r="B89" s="83"/>
      <c r="C89" s="17"/>
      <c r="D89" s="17"/>
      <c r="F89" s="22"/>
      <c r="P89" s="187"/>
    </row>
    <row r="90" spans="1:48" s="235" customFormat="1" ht="15" customHeight="1" x14ac:dyDescent="0.25">
      <c r="A90" s="236"/>
      <c r="B90" s="237"/>
      <c r="C90" s="235" t="s">
        <v>111</v>
      </c>
      <c r="D90" s="17"/>
      <c r="F90" s="238"/>
      <c r="R90" s="261"/>
      <c r="S90" s="261"/>
      <c r="T90" s="261"/>
      <c r="U90" s="261"/>
      <c r="V90" s="261"/>
      <c r="W90" s="261"/>
      <c r="X90" s="261"/>
      <c r="Y90" s="261"/>
      <c r="Z90" s="239"/>
      <c r="AA90" s="239"/>
      <c r="AB90" s="239"/>
      <c r="AC90" s="239"/>
      <c r="AD90" s="239"/>
      <c r="AO90" s="611"/>
      <c r="AP90" s="612"/>
      <c r="AQ90" s="612"/>
      <c r="AR90" s="612"/>
      <c r="AS90" s="612"/>
      <c r="AT90" s="240" t="s">
        <v>8</v>
      </c>
    </row>
    <row r="91" spans="1:48" s="187" customFormat="1" ht="13.8" x14ac:dyDescent="0.25">
      <c r="A91" s="20"/>
      <c r="B91" s="243"/>
      <c r="C91" s="187" t="s">
        <v>137</v>
      </c>
      <c r="D91" s="17"/>
      <c r="F91" s="244"/>
      <c r="R91" s="262"/>
      <c r="S91" s="262"/>
      <c r="T91" s="262"/>
      <c r="U91" s="262"/>
      <c r="V91" s="262"/>
      <c r="W91" s="262"/>
      <c r="X91" s="262"/>
      <c r="Y91" s="262"/>
      <c r="Z91" s="193"/>
      <c r="AA91" s="193"/>
      <c r="AB91" s="193"/>
      <c r="AC91" s="193"/>
      <c r="AD91" s="193"/>
      <c r="AN91" s="625"/>
      <c r="AO91" s="625"/>
      <c r="AP91" s="625"/>
      <c r="AQ91" s="625"/>
      <c r="AR91" s="625"/>
      <c r="AS91" s="625"/>
      <c r="AT91" s="625"/>
      <c r="AU91" s="625"/>
    </row>
    <row r="92" spans="1:48" s="23" customFormat="1" ht="12.75" customHeight="1" x14ac:dyDescent="0.25">
      <c r="A92" s="196"/>
      <c r="B92" s="196"/>
      <c r="C92" s="381" t="s">
        <v>139</v>
      </c>
      <c r="D92" s="382"/>
      <c r="E92" s="382"/>
      <c r="F92" s="383"/>
      <c r="G92" s="382"/>
      <c r="H92" s="382"/>
      <c r="I92" s="241"/>
      <c r="J92" s="241"/>
      <c r="K92" s="241"/>
      <c r="L92" s="241"/>
      <c r="M92" s="241"/>
      <c r="N92" s="241"/>
      <c r="O92" s="241"/>
      <c r="P92" s="241"/>
      <c r="Q92" s="241"/>
      <c r="R92" s="241"/>
      <c r="S92" s="241"/>
      <c r="T92" s="241"/>
      <c r="U92" s="241"/>
      <c r="V92" s="241"/>
      <c r="W92" s="241"/>
      <c r="X92" s="241"/>
      <c r="Y92" s="241"/>
      <c r="Z92" s="241"/>
      <c r="AA92" s="241"/>
      <c r="AB92" s="241"/>
      <c r="AC92" s="241"/>
      <c r="AD92" s="241"/>
      <c r="AE92" s="241"/>
      <c r="AF92" s="241"/>
      <c r="AG92" s="241"/>
      <c r="AH92" s="241"/>
      <c r="AI92" s="241"/>
      <c r="AJ92" s="241"/>
      <c r="AK92" s="241"/>
      <c r="AL92" s="241"/>
      <c r="AM92" s="241"/>
      <c r="AN92" s="241"/>
      <c r="AO92" s="613"/>
      <c r="AP92" s="614"/>
      <c r="AQ92" s="615"/>
      <c r="AR92" s="615"/>
      <c r="AS92" s="615"/>
      <c r="AT92" s="241" t="s">
        <v>8</v>
      </c>
      <c r="AU92" s="242"/>
    </row>
    <row r="93" spans="1:48" s="355" customFormat="1" ht="13.8" x14ac:dyDescent="0.25">
      <c r="A93" s="353"/>
      <c r="B93" s="354"/>
      <c r="C93" s="355" t="s">
        <v>165</v>
      </c>
      <c r="D93" s="356"/>
      <c r="F93" s="357"/>
      <c r="P93" s="358"/>
      <c r="AO93" s="359"/>
      <c r="AP93" s="753"/>
      <c r="AQ93" s="753"/>
      <c r="AR93" s="753"/>
      <c r="AS93" s="753"/>
      <c r="AT93" s="753"/>
    </row>
    <row r="94" spans="1:48" s="364" customFormat="1" ht="15.6" x14ac:dyDescent="0.25">
      <c r="A94" s="355"/>
      <c r="B94" s="355"/>
      <c r="C94" s="360" t="s">
        <v>166</v>
      </c>
      <c r="D94" s="361"/>
      <c r="E94" s="361"/>
      <c r="F94" s="362"/>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c r="AG94" s="361"/>
      <c r="AH94" s="361"/>
      <c r="AI94" s="361"/>
      <c r="AJ94" s="361"/>
      <c r="AK94" s="361"/>
      <c r="AL94" s="361" t="s">
        <v>18</v>
      </c>
      <c r="AM94" s="361"/>
      <c r="AN94" s="361"/>
      <c r="AO94" s="754">
        <v>0</v>
      </c>
      <c r="AP94" s="755"/>
      <c r="AQ94" s="756"/>
      <c r="AR94" s="756"/>
      <c r="AS94" s="756"/>
      <c r="AT94" s="361" t="s">
        <v>167</v>
      </c>
      <c r="AU94" s="363"/>
    </row>
    <row r="95" spans="1:48" s="355" customFormat="1" ht="13.8" x14ac:dyDescent="0.25">
      <c r="A95" s="353"/>
      <c r="B95" s="354"/>
      <c r="C95" s="355" t="s">
        <v>168</v>
      </c>
      <c r="D95" s="356"/>
      <c r="F95" s="357"/>
      <c r="P95" s="358"/>
      <c r="AO95" s="359"/>
      <c r="AP95" s="753"/>
      <c r="AQ95" s="753"/>
      <c r="AR95" s="753"/>
      <c r="AS95" s="753"/>
      <c r="AT95" s="753"/>
    </row>
    <row r="96" spans="1:48" s="364" customFormat="1" ht="15.6" x14ac:dyDescent="0.25">
      <c r="A96" s="355"/>
      <c r="B96" s="355"/>
      <c r="C96" s="360" t="s">
        <v>169</v>
      </c>
      <c r="D96" s="361"/>
      <c r="E96" s="361"/>
      <c r="F96" s="362"/>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c r="AG96" s="361"/>
      <c r="AH96" s="361"/>
      <c r="AI96" s="361"/>
      <c r="AJ96" s="361"/>
      <c r="AK96" s="361"/>
      <c r="AL96" s="361" t="s">
        <v>18</v>
      </c>
      <c r="AM96" s="361"/>
      <c r="AN96" s="361"/>
      <c r="AO96" s="754">
        <f>+ROUND(AP95*AO90,2)</f>
        <v>0</v>
      </c>
      <c r="AP96" s="755"/>
      <c r="AQ96" s="756"/>
      <c r="AR96" s="756"/>
      <c r="AS96" s="756"/>
      <c r="AT96" s="361" t="s">
        <v>167</v>
      </c>
      <c r="AU96" s="363"/>
    </row>
    <row r="97" spans="1:48" ht="27" customHeight="1" x14ac:dyDescent="0.25">
      <c r="A97" s="574">
        <f>+A88+1</f>
        <v>4</v>
      </c>
      <c r="B97" s="575"/>
      <c r="C97" s="17" t="s">
        <v>73</v>
      </c>
      <c r="D97" s="17"/>
      <c r="F97" s="22"/>
    </row>
    <row r="98" spans="1:48" ht="29.25" customHeight="1" x14ac:dyDescent="0.25">
      <c r="C98" s="555"/>
      <c r="D98" s="556"/>
      <c r="E98" s="556"/>
      <c r="F98" s="556"/>
      <c r="G98" s="556"/>
      <c r="H98" s="556"/>
      <c r="I98" s="556"/>
      <c r="J98" s="556"/>
      <c r="K98" s="556"/>
      <c r="L98" s="556"/>
      <c r="M98" s="556"/>
      <c r="N98" s="556"/>
      <c r="O98" s="556"/>
      <c r="P98" s="556"/>
      <c r="Q98" s="556"/>
      <c r="R98" s="556"/>
      <c r="S98" s="556"/>
      <c r="T98" s="556"/>
      <c r="U98" s="556"/>
      <c r="V98" s="556"/>
      <c r="W98" s="556"/>
      <c r="X98" s="556"/>
      <c r="Y98" s="556"/>
      <c r="Z98" s="556"/>
      <c r="AA98" s="556"/>
      <c r="AB98" s="556"/>
      <c r="AC98" s="556"/>
      <c r="AD98" s="556"/>
      <c r="AE98" s="556"/>
      <c r="AF98" s="556"/>
      <c r="AG98" s="556"/>
      <c r="AH98" s="556"/>
      <c r="AI98" s="556"/>
      <c r="AJ98" s="556"/>
      <c r="AK98" s="556"/>
      <c r="AL98" s="556"/>
      <c r="AM98" s="556"/>
      <c r="AN98" s="556"/>
      <c r="AO98" s="556"/>
      <c r="AP98" s="556"/>
      <c r="AQ98" s="556"/>
      <c r="AR98" s="556"/>
      <c r="AS98" s="556"/>
      <c r="AT98" s="556"/>
      <c r="AU98" s="556"/>
      <c r="AV98" s="556"/>
    </row>
    <row r="99" spans="1:48" s="371" customFormat="1" ht="3.75" customHeight="1" thickBot="1" x14ac:dyDescent="0.3">
      <c r="C99" s="372"/>
      <c r="D99" s="373"/>
      <c r="E99" s="373"/>
      <c r="F99" s="373"/>
      <c r="G99" s="373"/>
      <c r="H99" s="373"/>
      <c r="I99" s="373"/>
      <c r="J99" s="373"/>
      <c r="K99" s="373"/>
      <c r="L99" s="373"/>
      <c r="M99" s="373"/>
      <c r="N99" s="373"/>
      <c r="O99" s="373"/>
      <c r="P99" s="373"/>
      <c r="Q99" s="373"/>
      <c r="R99" s="373"/>
      <c r="S99" s="373"/>
      <c r="T99" s="373"/>
      <c r="U99" s="374"/>
      <c r="V99" s="374"/>
      <c r="W99" s="374"/>
      <c r="X99" s="374"/>
      <c r="Y99" s="374"/>
      <c r="Z99" s="374"/>
      <c r="AA99" s="374"/>
      <c r="AB99" s="374"/>
      <c r="AC99" s="374"/>
      <c r="AD99" s="374"/>
      <c r="AE99" s="374"/>
      <c r="AF99" s="374"/>
      <c r="AG99" s="374"/>
      <c r="AH99" s="374"/>
      <c r="AI99" s="374"/>
      <c r="AJ99" s="374"/>
      <c r="AK99" s="374"/>
      <c r="AL99" s="374"/>
      <c r="AM99" s="374"/>
      <c r="AN99" s="374"/>
      <c r="AO99" s="374"/>
      <c r="AP99" s="374"/>
      <c r="AQ99" s="374"/>
      <c r="AR99" s="374"/>
      <c r="AS99" s="374"/>
      <c r="AT99" s="374"/>
      <c r="AU99" s="374"/>
      <c r="AV99" s="374"/>
    </row>
    <row r="100" spans="1:48" s="375" customFormat="1" ht="13.8" thickBot="1" x14ac:dyDescent="0.3">
      <c r="C100" s="375" t="s">
        <v>181</v>
      </c>
      <c r="E100" s="376"/>
      <c r="F100" s="376"/>
      <c r="G100" s="376"/>
      <c r="H100" s="376"/>
      <c r="M100" s="569"/>
      <c r="N100" s="570"/>
      <c r="P100" s="375" t="s">
        <v>182</v>
      </c>
      <c r="R100" s="376"/>
      <c r="S100" s="376"/>
      <c r="T100" s="376"/>
      <c r="U100" s="376"/>
      <c r="W100" s="569"/>
      <c r="X100" s="570"/>
      <c r="Y100" s="377"/>
      <c r="Z100" s="377"/>
      <c r="AA100" s="377"/>
      <c r="AB100" s="377"/>
      <c r="AC100" s="377"/>
      <c r="AD100" s="377"/>
      <c r="AE100" s="377"/>
      <c r="AF100" s="377"/>
      <c r="AG100" s="377"/>
      <c r="AH100" s="377"/>
      <c r="AI100" s="377"/>
      <c r="AJ100" s="377"/>
      <c r="AK100" s="377"/>
      <c r="AL100" s="377"/>
      <c r="AM100" s="377"/>
      <c r="AN100" s="377"/>
      <c r="AO100" s="377"/>
      <c r="AP100" s="377"/>
      <c r="AQ100" s="377"/>
      <c r="AR100" s="377"/>
      <c r="AS100" s="377"/>
      <c r="AT100" s="377"/>
      <c r="AU100" s="377"/>
      <c r="AV100" s="377"/>
    </row>
    <row r="101" spans="1:48" s="375" customFormat="1" ht="3.75" customHeight="1" thickBot="1" x14ac:dyDescent="0.3">
      <c r="E101" s="376"/>
      <c r="F101" s="376"/>
      <c r="G101" s="376"/>
      <c r="H101" s="376"/>
      <c r="J101" s="378"/>
      <c r="K101" s="378"/>
      <c r="M101" s="376"/>
      <c r="N101" s="376"/>
      <c r="R101" s="376"/>
      <c r="S101" s="376"/>
      <c r="T101" s="376"/>
      <c r="U101" s="376"/>
      <c r="V101" s="378"/>
      <c r="W101" s="378"/>
      <c r="X101" s="377"/>
      <c r="Y101" s="377"/>
      <c r="Z101" s="377"/>
      <c r="AA101" s="377"/>
      <c r="AB101" s="377"/>
      <c r="AC101" s="377"/>
      <c r="AD101" s="377"/>
      <c r="AE101" s="377"/>
      <c r="AF101" s="377"/>
      <c r="AG101" s="377"/>
      <c r="AH101" s="377"/>
      <c r="AI101" s="377"/>
      <c r="AJ101" s="377"/>
      <c r="AK101" s="377"/>
      <c r="AL101" s="377"/>
      <c r="AM101" s="377"/>
      <c r="AN101" s="377"/>
      <c r="AO101" s="377"/>
      <c r="AP101" s="377"/>
      <c r="AQ101" s="377"/>
      <c r="AR101" s="377"/>
      <c r="AS101" s="377"/>
      <c r="AT101" s="377"/>
      <c r="AU101" s="377"/>
      <c r="AV101" s="377"/>
    </row>
    <row r="102" spans="1:48" s="375" customFormat="1" ht="13.8" thickBot="1" x14ac:dyDescent="0.3">
      <c r="C102" s="380" t="s">
        <v>190</v>
      </c>
      <c r="E102" s="376"/>
      <c r="F102" s="376"/>
      <c r="G102" s="376"/>
      <c r="H102" s="376"/>
      <c r="J102" s="379"/>
      <c r="M102" s="569"/>
      <c r="N102" s="570"/>
      <c r="P102" s="375" t="s">
        <v>185</v>
      </c>
      <c r="T102" s="376"/>
      <c r="U102" s="376"/>
      <c r="W102" s="569"/>
      <c r="X102" s="570"/>
      <c r="Y102" s="375" t="s">
        <v>186</v>
      </c>
      <c r="Z102" s="377"/>
      <c r="AD102" s="569"/>
      <c r="AE102" s="570"/>
      <c r="AF102" s="375" t="s">
        <v>187</v>
      </c>
      <c r="AG102" s="377"/>
      <c r="AH102" s="377"/>
      <c r="AI102" s="377"/>
      <c r="AJ102" s="377"/>
      <c r="AK102" s="377"/>
      <c r="AM102" s="569"/>
      <c r="AN102" s="570"/>
      <c r="AO102" s="375" t="s">
        <v>188</v>
      </c>
      <c r="AQ102" s="377"/>
      <c r="AR102" s="377"/>
      <c r="AS102" s="377"/>
      <c r="AT102" s="377"/>
      <c r="AU102" s="377"/>
      <c r="AV102" s="377"/>
    </row>
    <row r="103" spans="1:48" s="375" customFormat="1" ht="6.75" customHeight="1" thickBot="1" x14ac:dyDescent="0.3">
      <c r="C103" s="263"/>
      <c r="D103" s="263"/>
      <c r="E103" s="263"/>
      <c r="F103" s="263"/>
      <c r="G103" s="263"/>
      <c r="H103" s="263"/>
      <c r="I103" s="263"/>
      <c r="J103" s="263"/>
      <c r="K103" s="263"/>
      <c r="L103" s="263"/>
      <c r="M103" s="263"/>
      <c r="N103" s="263"/>
      <c r="O103" s="263"/>
      <c r="P103" s="263"/>
      <c r="Q103" s="263"/>
      <c r="R103" s="263"/>
      <c r="S103" s="263"/>
      <c r="T103" s="263"/>
      <c r="U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377"/>
      <c r="AU103" s="377"/>
      <c r="AV103" s="377"/>
    </row>
    <row r="104" spans="1:48" s="375" customFormat="1" ht="13.8" thickBot="1" x14ac:dyDescent="0.3">
      <c r="C104" s="263" t="s">
        <v>189</v>
      </c>
      <c r="E104" s="376"/>
      <c r="F104" s="376"/>
      <c r="G104" s="376"/>
      <c r="H104" s="376"/>
      <c r="J104" s="379"/>
      <c r="M104" s="569"/>
      <c r="N104" s="570"/>
      <c r="AR104" s="377"/>
      <c r="AS104" s="377"/>
      <c r="AT104" s="377"/>
      <c r="AU104" s="377"/>
      <c r="AV104" s="377"/>
    </row>
    <row r="105" spans="1:48" ht="24.75" customHeight="1" x14ac:dyDescent="0.25">
      <c r="A105" s="574">
        <f>+A97+1</f>
        <v>5</v>
      </c>
      <c r="B105" s="575"/>
      <c r="C105" s="17" t="s">
        <v>74</v>
      </c>
      <c r="D105" s="17"/>
      <c r="F105" s="22"/>
    </row>
    <row r="106" spans="1:48" ht="18" customHeight="1" x14ac:dyDescent="0.25">
      <c r="C106" s="556"/>
      <c r="D106" s="556"/>
      <c r="E106" s="556"/>
      <c r="F106" s="556"/>
      <c r="G106" s="556"/>
      <c r="H106" s="556"/>
      <c r="I106" s="556"/>
      <c r="J106" s="556"/>
      <c r="K106" s="556"/>
      <c r="L106" s="556"/>
      <c r="M106" s="556"/>
      <c r="N106" s="556"/>
      <c r="O106" s="556"/>
      <c r="P106" s="556"/>
      <c r="Q106" s="556"/>
      <c r="R106" s="556"/>
      <c r="S106" s="556"/>
      <c r="T106" s="556"/>
      <c r="U106" s="619"/>
      <c r="V106" s="619"/>
      <c r="W106" s="619"/>
      <c r="X106" s="619"/>
      <c r="Y106" s="619"/>
      <c r="Z106" s="619"/>
      <c r="AA106" s="619"/>
      <c r="AB106" s="619"/>
      <c r="AC106" s="619"/>
      <c r="AD106" s="619"/>
      <c r="AE106" s="619"/>
      <c r="AF106" s="619"/>
      <c r="AG106" s="619"/>
      <c r="AH106" s="619"/>
      <c r="AI106" s="619"/>
      <c r="AJ106" s="619"/>
      <c r="AK106" s="619"/>
      <c r="AL106" s="619"/>
      <c r="AM106" s="619"/>
      <c r="AN106" s="619"/>
      <c r="AO106" s="619"/>
      <c r="AP106" s="619"/>
      <c r="AQ106" s="619"/>
      <c r="AR106" s="619"/>
      <c r="AS106" s="619"/>
      <c r="AT106" s="619"/>
      <c r="AU106" s="619"/>
      <c r="AV106" s="619"/>
    </row>
    <row r="107" spans="1:48" ht="24.75" customHeight="1" x14ac:dyDescent="0.25">
      <c r="A107" s="574">
        <f>+A105+1</f>
        <v>6</v>
      </c>
      <c r="B107" s="575"/>
      <c r="C107" s="17" t="s">
        <v>75</v>
      </c>
      <c r="D107" s="17"/>
      <c r="F107" s="22"/>
    </row>
    <row r="108" spans="1:48" ht="36.75" customHeight="1" x14ac:dyDescent="0.25">
      <c r="C108" s="923" t="s">
        <v>193</v>
      </c>
      <c r="D108" s="923"/>
      <c r="E108" s="923"/>
      <c r="F108" s="923"/>
      <c r="G108" s="923"/>
      <c r="H108" s="923"/>
      <c r="I108" s="923"/>
      <c r="J108" s="923"/>
      <c r="K108" s="923"/>
      <c r="L108" s="923"/>
      <c r="M108" s="923"/>
      <c r="N108" s="923"/>
      <c r="O108" s="923"/>
      <c r="P108" s="923"/>
      <c r="Q108" s="923"/>
      <c r="R108" s="923"/>
      <c r="S108" s="923"/>
      <c r="T108" s="923"/>
      <c r="U108" s="923"/>
      <c r="V108" s="923"/>
      <c r="W108" s="923"/>
      <c r="X108" s="923"/>
      <c r="Y108" s="923"/>
      <c r="Z108" s="923"/>
      <c r="AA108" s="923"/>
      <c r="AB108" s="923"/>
      <c r="AC108" s="923"/>
      <c r="AD108" s="923"/>
      <c r="AE108" s="923"/>
      <c r="AF108" s="923"/>
      <c r="AG108" s="923"/>
      <c r="AH108" s="923"/>
      <c r="AI108" s="923"/>
      <c r="AJ108" s="923"/>
      <c r="AK108" s="923"/>
      <c r="AL108" s="923"/>
      <c r="AM108" s="923"/>
      <c r="AN108" s="923"/>
      <c r="AO108" s="923"/>
      <c r="AP108" s="923"/>
      <c r="AQ108" s="923"/>
      <c r="AR108" s="923"/>
      <c r="AS108" s="923"/>
      <c r="AT108" s="923"/>
      <c r="AU108" s="923"/>
      <c r="AV108" s="923"/>
    </row>
    <row r="109" spans="1:48" x14ac:dyDescent="0.25">
      <c r="C109" s="927" t="s">
        <v>194</v>
      </c>
      <c r="D109" s="927"/>
      <c r="E109" s="927"/>
      <c r="F109" s="927" t="s">
        <v>195</v>
      </c>
      <c r="G109" s="927"/>
      <c r="H109" s="927"/>
      <c r="I109" s="927"/>
      <c r="J109" s="927"/>
      <c r="K109" s="927"/>
      <c r="L109" s="927"/>
      <c r="M109" s="927"/>
      <c r="N109" s="927"/>
      <c r="O109" s="927"/>
      <c r="P109" s="927"/>
      <c r="Q109" s="927"/>
      <c r="R109" s="928" t="s">
        <v>196</v>
      </c>
      <c r="S109" s="929"/>
      <c r="T109" s="929"/>
      <c r="U109" s="929"/>
      <c r="V109" s="929"/>
      <c r="W109" s="929"/>
      <c r="X109" s="930"/>
      <c r="Y109" s="401"/>
      <c r="Z109" s="927" t="s">
        <v>194</v>
      </c>
      <c r="AA109" s="927"/>
      <c r="AB109" s="927"/>
      <c r="AC109" s="927" t="s">
        <v>195</v>
      </c>
      <c r="AD109" s="927"/>
      <c r="AE109" s="927"/>
      <c r="AF109" s="927"/>
      <c r="AG109" s="927"/>
      <c r="AH109" s="927"/>
      <c r="AI109" s="927"/>
      <c r="AJ109" s="927"/>
      <c r="AK109" s="927"/>
      <c r="AL109" s="927"/>
      <c r="AM109" s="927"/>
      <c r="AN109" s="927"/>
      <c r="AO109" s="928" t="s">
        <v>196</v>
      </c>
      <c r="AP109" s="929"/>
      <c r="AQ109" s="929"/>
      <c r="AR109" s="929"/>
      <c r="AS109" s="929"/>
      <c r="AT109" s="929"/>
      <c r="AU109" s="929"/>
      <c r="AV109" s="930"/>
    </row>
    <row r="110" spans="1:48" x14ac:dyDescent="0.25">
      <c r="C110" s="922">
        <v>1</v>
      </c>
      <c r="D110" s="922"/>
      <c r="E110" s="922"/>
      <c r="F110" s="924"/>
      <c r="G110" s="925"/>
      <c r="H110" s="925"/>
      <c r="I110" s="925"/>
      <c r="J110" s="925"/>
      <c r="K110" s="925"/>
      <c r="L110" s="925"/>
      <c r="M110" s="925"/>
      <c r="N110" s="925"/>
      <c r="O110" s="925"/>
      <c r="P110" s="925"/>
      <c r="Q110" s="926"/>
      <c r="R110" s="919"/>
      <c r="S110" s="920"/>
      <c r="T110" s="920"/>
      <c r="U110" s="920"/>
      <c r="V110" s="920"/>
      <c r="W110" s="920"/>
      <c r="X110" s="921"/>
      <c r="Y110" s="402"/>
      <c r="Z110" s="922">
        <v>8</v>
      </c>
      <c r="AA110" s="922"/>
      <c r="AB110" s="922"/>
      <c r="AC110" s="924"/>
      <c r="AD110" s="925"/>
      <c r="AE110" s="925"/>
      <c r="AF110" s="925"/>
      <c r="AG110" s="925"/>
      <c r="AH110" s="925"/>
      <c r="AI110" s="925"/>
      <c r="AJ110" s="925"/>
      <c r="AK110" s="925"/>
      <c r="AL110" s="925"/>
      <c r="AM110" s="925"/>
      <c r="AN110" s="926"/>
      <c r="AO110" s="919"/>
      <c r="AP110" s="920"/>
      <c r="AQ110" s="920"/>
      <c r="AR110" s="920"/>
      <c r="AS110" s="920"/>
      <c r="AT110" s="920"/>
      <c r="AU110" s="920"/>
      <c r="AV110" s="921"/>
    </row>
    <row r="111" spans="1:48" x14ac:dyDescent="0.25">
      <c r="C111" s="922">
        <v>2</v>
      </c>
      <c r="D111" s="922"/>
      <c r="E111" s="922"/>
      <c r="F111" s="924"/>
      <c r="G111" s="925"/>
      <c r="H111" s="925"/>
      <c r="I111" s="925"/>
      <c r="J111" s="925"/>
      <c r="K111" s="925"/>
      <c r="L111" s="925"/>
      <c r="M111" s="925"/>
      <c r="N111" s="925"/>
      <c r="O111" s="925"/>
      <c r="P111" s="925"/>
      <c r="Q111" s="926"/>
      <c r="R111" s="919"/>
      <c r="S111" s="920"/>
      <c r="T111" s="920"/>
      <c r="U111" s="920"/>
      <c r="V111" s="920"/>
      <c r="W111" s="920"/>
      <c r="X111" s="921"/>
      <c r="Y111" s="402"/>
      <c r="Z111" s="922">
        <v>9</v>
      </c>
      <c r="AA111" s="922"/>
      <c r="AB111" s="922"/>
      <c r="AC111" s="924"/>
      <c r="AD111" s="925"/>
      <c r="AE111" s="925"/>
      <c r="AF111" s="925"/>
      <c r="AG111" s="925"/>
      <c r="AH111" s="925"/>
      <c r="AI111" s="925"/>
      <c r="AJ111" s="925"/>
      <c r="AK111" s="925"/>
      <c r="AL111" s="925"/>
      <c r="AM111" s="925"/>
      <c r="AN111" s="926"/>
      <c r="AO111" s="919"/>
      <c r="AP111" s="920"/>
      <c r="AQ111" s="920"/>
      <c r="AR111" s="920"/>
      <c r="AS111" s="920"/>
      <c r="AT111" s="920"/>
      <c r="AU111" s="920"/>
      <c r="AV111" s="921"/>
    </row>
    <row r="112" spans="1:48" x14ac:dyDescent="0.25">
      <c r="C112" s="922">
        <v>3</v>
      </c>
      <c r="D112" s="922"/>
      <c r="E112" s="922"/>
      <c r="F112" s="924"/>
      <c r="G112" s="925"/>
      <c r="H112" s="925"/>
      <c r="I112" s="925"/>
      <c r="J112" s="925"/>
      <c r="K112" s="925"/>
      <c r="L112" s="925"/>
      <c r="M112" s="925"/>
      <c r="N112" s="925"/>
      <c r="O112" s="925"/>
      <c r="P112" s="925"/>
      <c r="Q112" s="926"/>
      <c r="R112" s="919"/>
      <c r="S112" s="920"/>
      <c r="T112" s="920"/>
      <c r="U112" s="920"/>
      <c r="V112" s="920"/>
      <c r="W112" s="920"/>
      <c r="X112" s="921"/>
      <c r="Y112" s="402"/>
      <c r="Z112" s="922">
        <v>10</v>
      </c>
      <c r="AA112" s="922"/>
      <c r="AB112" s="922"/>
      <c r="AC112" s="924"/>
      <c r="AD112" s="925"/>
      <c r="AE112" s="925"/>
      <c r="AF112" s="925"/>
      <c r="AG112" s="925"/>
      <c r="AH112" s="925"/>
      <c r="AI112" s="925"/>
      <c r="AJ112" s="925"/>
      <c r="AK112" s="925"/>
      <c r="AL112" s="925"/>
      <c r="AM112" s="925"/>
      <c r="AN112" s="926"/>
      <c r="AO112" s="919"/>
      <c r="AP112" s="920"/>
      <c r="AQ112" s="920"/>
      <c r="AR112" s="920"/>
      <c r="AS112" s="920"/>
      <c r="AT112" s="920"/>
      <c r="AU112" s="920"/>
      <c r="AV112" s="921"/>
    </row>
    <row r="113" spans="1:48" x14ac:dyDescent="0.25">
      <c r="C113" s="922">
        <v>4</v>
      </c>
      <c r="D113" s="922"/>
      <c r="E113" s="922"/>
      <c r="F113" s="924"/>
      <c r="G113" s="925"/>
      <c r="H113" s="925"/>
      <c r="I113" s="925"/>
      <c r="J113" s="925"/>
      <c r="K113" s="925"/>
      <c r="L113" s="925"/>
      <c r="M113" s="925"/>
      <c r="N113" s="925"/>
      <c r="O113" s="925"/>
      <c r="P113" s="925"/>
      <c r="Q113" s="926"/>
      <c r="R113" s="919"/>
      <c r="S113" s="920"/>
      <c r="T113" s="920"/>
      <c r="U113" s="920"/>
      <c r="V113" s="920"/>
      <c r="W113" s="920"/>
      <c r="X113" s="921"/>
      <c r="Y113" s="402"/>
      <c r="Z113" s="922">
        <v>11</v>
      </c>
      <c r="AA113" s="922"/>
      <c r="AB113" s="922"/>
      <c r="AC113" s="924"/>
      <c r="AD113" s="925"/>
      <c r="AE113" s="925"/>
      <c r="AF113" s="925"/>
      <c r="AG113" s="925"/>
      <c r="AH113" s="925"/>
      <c r="AI113" s="925"/>
      <c r="AJ113" s="925"/>
      <c r="AK113" s="925"/>
      <c r="AL113" s="925"/>
      <c r="AM113" s="925"/>
      <c r="AN113" s="926"/>
      <c r="AO113" s="919"/>
      <c r="AP113" s="920"/>
      <c r="AQ113" s="920"/>
      <c r="AR113" s="920"/>
      <c r="AS113" s="920"/>
      <c r="AT113" s="920"/>
      <c r="AU113" s="920"/>
      <c r="AV113" s="921"/>
    </row>
    <row r="114" spans="1:48" x14ac:dyDescent="0.25">
      <c r="C114" s="922">
        <v>5</v>
      </c>
      <c r="D114" s="922"/>
      <c r="E114" s="922"/>
      <c r="F114" s="924"/>
      <c r="G114" s="925"/>
      <c r="H114" s="925"/>
      <c r="I114" s="925"/>
      <c r="J114" s="925"/>
      <c r="K114" s="925"/>
      <c r="L114" s="925"/>
      <c r="M114" s="925"/>
      <c r="N114" s="925"/>
      <c r="O114" s="925"/>
      <c r="P114" s="925"/>
      <c r="Q114" s="926"/>
      <c r="R114" s="919"/>
      <c r="S114" s="920"/>
      <c r="T114" s="920"/>
      <c r="U114" s="920"/>
      <c r="V114" s="920"/>
      <c r="W114" s="920"/>
      <c r="X114" s="921"/>
      <c r="Y114" s="402"/>
      <c r="Z114" s="922">
        <v>12</v>
      </c>
      <c r="AA114" s="922"/>
      <c r="AB114" s="922"/>
      <c r="AC114" s="924"/>
      <c r="AD114" s="925"/>
      <c r="AE114" s="925"/>
      <c r="AF114" s="925"/>
      <c r="AG114" s="925"/>
      <c r="AH114" s="925"/>
      <c r="AI114" s="925"/>
      <c r="AJ114" s="925"/>
      <c r="AK114" s="925"/>
      <c r="AL114" s="925"/>
      <c r="AM114" s="925"/>
      <c r="AN114" s="926"/>
      <c r="AO114" s="919"/>
      <c r="AP114" s="920"/>
      <c r="AQ114" s="920"/>
      <c r="AR114" s="920"/>
      <c r="AS114" s="920"/>
      <c r="AT114" s="920"/>
      <c r="AU114" s="920"/>
      <c r="AV114" s="921"/>
    </row>
    <row r="115" spans="1:48" x14ac:dyDescent="0.25">
      <c r="C115" s="922">
        <v>6</v>
      </c>
      <c r="D115" s="922"/>
      <c r="E115" s="922"/>
      <c r="F115" s="924"/>
      <c r="G115" s="925"/>
      <c r="H115" s="925"/>
      <c r="I115" s="925"/>
      <c r="J115" s="925"/>
      <c r="K115" s="925"/>
      <c r="L115" s="925"/>
      <c r="M115" s="925"/>
      <c r="N115" s="925"/>
      <c r="O115" s="925"/>
      <c r="P115" s="925"/>
      <c r="Q115" s="926"/>
      <c r="R115" s="919"/>
      <c r="S115" s="920"/>
      <c r="T115" s="920"/>
      <c r="U115" s="920"/>
      <c r="V115" s="920"/>
      <c r="W115" s="920"/>
      <c r="X115" s="921"/>
      <c r="Y115" s="402"/>
      <c r="Z115" s="922">
        <v>13</v>
      </c>
      <c r="AA115" s="922"/>
      <c r="AB115" s="922"/>
      <c r="AC115" s="924"/>
      <c r="AD115" s="925"/>
      <c r="AE115" s="925"/>
      <c r="AF115" s="925"/>
      <c r="AG115" s="925"/>
      <c r="AH115" s="925"/>
      <c r="AI115" s="925"/>
      <c r="AJ115" s="925"/>
      <c r="AK115" s="925"/>
      <c r="AL115" s="925"/>
      <c r="AM115" s="925"/>
      <c r="AN115" s="926"/>
      <c r="AO115" s="919"/>
      <c r="AP115" s="920"/>
      <c r="AQ115" s="920"/>
      <c r="AR115" s="920"/>
      <c r="AS115" s="920"/>
      <c r="AT115" s="920"/>
      <c r="AU115" s="920"/>
      <c r="AV115" s="921"/>
    </row>
    <row r="116" spans="1:48" x14ac:dyDescent="0.25">
      <c r="C116" s="922">
        <v>7</v>
      </c>
      <c r="D116" s="922"/>
      <c r="E116" s="922"/>
      <c r="F116" s="924"/>
      <c r="G116" s="925"/>
      <c r="H116" s="925"/>
      <c r="I116" s="925"/>
      <c r="J116" s="925"/>
      <c r="K116" s="925"/>
      <c r="L116" s="925"/>
      <c r="M116" s="925"/>
      <c r="N116" s="925"/>
      <c r="O116" s="925"/>
      <c r="P116" s="925"/>
      <c r="Q116" s="926"/>
      <c r="R116" s="919"/>
      <c r="S116" s="920"/>
      <c r="T116" s="920"/>
      <c r="U116" s="920"/>
      <c r="V116" s="920"/>
      <c r="W116" s="920"/>
      <c r="X116" s="921"/>
      <c r="Y116" s="402"/>
      <c r="Z116" s="922">
        <v>14</v>
      </c>
      <c r="AA116" s="922"/>
      <c r="AB116" s="922"/>
      <c r="AC116" s="924"/>
      <c r="AD116" s="925"/>
      <c r="AE116" s="925"/>
      <c r="AF116" s="925"/>
      <c r="AG116" s="925"/>
      <c r="AH116" s="925"/>
      <c r="AI116" s="925"/>
      <c r="AJ116" s="925"/>
      <c r="AK116" s="925"/>
      <c r="AL116" s="925"/>
      <c r="AM116" s="925"/>
      <c r="AN116" s="926"/>
      <c r="AO116" s="919"/>
      <c r="AP116" s="920"/>
      <c r="AQ116" s="920"/>
      <c r="AR116" s="920"/>
      <c r="AS116" s="920"/>
      <c r="AT116" s="920"/>
      <c r="AU116" s="920"/>
      <c r="AV116" s="921"/>
    </row>
    <row r="117" spans="1:48" ht="25.5" customHeight="1" x14ac:dyDescent="0.25">
      <c r="A117" s="574">
        <f>+A107+1</f>
        <v>7</v>
      </c>
      <c r="B117" s="574"/>
      <c r="C117" s="17" t="s">
        <v>49</v>
      </c>
      <c r="D117" s="17"/>
      <c r="F117" s="22"/>
      <c r="L117" s="187" t="s">
        <v>92</v>
      </c>
    </row>
    <row r="118" spans="1:48" x14ac:dyDescent="0.25">
      <c r="C118" s="646"/>
      <c r="D118" s="647"/>
      <c r="E118" s="647"/>
      <c r="F118" s="647"/>
      <c r="G118" s="647"/>
      <c r="H118" s="647"/>
      <c r="I118" s="647"/>
      <c r="J118" s="647"/>
      <c r="K118" s="647"/>
      <c r="L118" s="647"/>
      <c r="M118" s="647"/>
      <c r="N118" s="647"/>
      <c r="O118" s="647"/>
      <c r="P118" s="647"/>
      <c r="Q118" s="647"/>
      <c r="R118" s="647"/>
      <c r="S118" s="647"/>
      <c r="T118" s="647"/>
      <c r="U118" s="642"/>
      <c r="V118" s="642"/>
      <c r="W118" s="642"/>
      <c r="X118" s="642"/>
      <c r="Y118" s="642"/>
      <c r="Z118" s="642"/>
      <c r="AA118" s="642"/>
      <c r="AB118" s="642"/>
      <c r="AC118" s="642"/>
      <c r="AD118" s="642"/>
      <c r="AE118" s="642"/>
      <c r="AF118" s="642"/>
      <c r="AG118" s="642"/>
      <c r="AH118" s="642"/>
      <c r="AI118" s="642"/>
      <c r="AJ118" s="642"/>
      <c r="AK118" s="642"/>
      <c r="AL118" s="642"/>
      <c r="AM118" s="642"/>
      <c r="AN118" s="642"/>
      <c r="AO118" s="642"/>
      <c r="AP118" s="642"/>
      <c r="AQ118" s="642"/>
      <c r="AR118" s="642"/>
      <c r="AS118" s="642"/>
      <c r="AT118" s="642"/>
      <c r="AU118" s="642"/>
      <c r="AV118" s="642"/>
    </row>
    <row r="119" spans="1:48" ht="16.5" customHeight="1" x14ac:dyDescent="0.25">
      <c r="C119" s="766" t="s">
        <v>134</v>
      </c>
      <c r="D119" s="636"/>
      <c r="E119" s="636"/>
      <c r="F119" s="636"/>
      <c r="G119" s="636"/>
      <c r="H119" s="636"/>
      <c r="I119" s="636"/>
      <c r="J119" s="636"/>
      <c r="K119" s="636"/>
      <c r="L119" s="636"/>
      <c r="M119" s="636"/>
      <c r="N119" s="636"/>
      <c r="O119" s="636"/>
      <c r="P119" s="636"/>
      <c r="Q119" s="636"/>
      <c r="R119" s="636"/>
      <c r="S119" s="636"/>
      <c r="T119" s="636"/>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row>
    <row r="120" spans="1:48" ht="3" customHeight="1" x14ac:dyDescent="0.25">
      <c r="C120" s="370"/>
      <c r="D120" s="369"/>
      <c r="E120" s="369"/>
      <c r="F120" s="369"/>
      <c r="G120" s="369"/>
      <c r="H120" s="369"/>
      <c r="I120" s="369"/>
      <c r="J120" s="369"/>
      <c r="K120" s="369"/>
      <c r="L120" s="369"/>
      <c r="M120" s="369"/>
      <c r="N120" s="369"/>
      <c r="O120" s="369"/>
      <c r="P120" s="369"/>
      <c r="Q120" s="369"/>
      <c r="R120" s="369"/>
      <c r="S120" s="369"/>
      <c r="T120" s="369"/>
      <c r="U120" s="196"/>
      <c r="V120" s="196"/>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row>
    <row r="121" spans="1:48" ht="16.5" customHeight="1" x14ac:dyDescent="0.25">
      <c r="C121" s="757" t="s">
        <v>183</v>
      </c>
      <c r="D121" s="758"/>
      <c r="E121" s="758"/>
      <c r="F121" s="758"/>
      <c r="G121" s="758"/>
      <c r="H121" s="758"/>
      <c r="I121" s="758"/>
      <c r="J121" s="758"/>
      <c r="K121" s="758"/>
      <c r="L121" s="758"/>
      <c r="M121" s="758"/>
      <c r="N121" s="758"/>
      <c r="O121" s="758"/>
      <c r="P121" s="758"/>
      <c r="Q121" s="758"/>
      <c r="R121" s="758"/>
      <c r="S121" s="758"/>
      <c r="T121" s="758"/>
      <c r="U121" s="758"/>
      <c r="V121" s="758"/>
      <c r="W121" s="758"/>
      <c r="X121" s="758"/>
      <c r="Y121" s="758"/>
      <c r="Z121" s="758"/>
      <c r="AA121" s="758"/>
      <c r="AB121" s="758"/>
      <c r="AC121" s="758"/>
      <c r="AD121" s="758"/>
      <c r="AE121" s="758"/>
      <c r="AF121" s="758"/>
      <c r="AG121" s="758"/>
      <c r="AH121" s="758"/>
      <c r="AI121" s="759"/>
      <c r="AJ121" s="758" t="s">
        <v>184</v>
      </c>
      <c r="AK121" s="758"/>
      <c r="AL121" s="758"/>
      <c r="AM121" s="758"/>
      <c r="AN121" s="758"/>
      <c r="AO121" s="758"/>
      <c r="AP121" s="758"/>
      <c r="AQ121" s="758"/>
      <c r="AR121" s="758"/>
      <c r="AS121" s="758"/>
      <c r="AT121" s="758"/>
      <c r="AU121" s="758"/>
      <c r="AV121" s="759"/>
    </row>
    <row r="122" spans="1:48" ht="16.5" customHeight="1" x14ac:dyDescent="0.25">
      <c r="C122" s="760"/>
      <c r="D122" s="761"/>
      <c r="E122" s="761"/>
      <c r="F122" s="761"/>
      <c r="G122" s="761"/>
      <c r="H122" s="761"/>
      <c r="I122" s="761"/>
      <c r="J122" s="761"/>
      <c r="K122" s="761"/>
      <c r="L122" s="761"/>
      <c r="M122" s="761"/>
      <c r="N122" s="761"/>
      <c r="O122" s="761"/>
      <c r="P122" s="761"/>
      <c r="Q122" s="761"/>
      <c r="R122" s="761"/>
      <c r="S122" s="761"/>
      <c r="T122" s="761"/>
      <c r="U122" s="761"/>
      <c r="V122" s="761"/>
      <c r="W122" s="761"/>
      <c r="X122" s="761"/>
      <c r="Y122" s="761"/>
      <c r="Z122" s="761"/>
      <c r="AA122" s="761"/>
      <c r="AB122" s="761"/>
      <c r="AC122" s="761"/>
      <c r="AD122" s="761"/>
      <c r="AE122" s="761"/>
      <c r="AF122" s="761"/>
      <c r="AG122" s="761"/>
      <c r="AH122" s="761"/>
      <c r="AI122" s="762"/>
      <c r="AJ122" s="761"/>
      <c r="AK122" s="761"/>
      <c r="AL122" s="761"/>
      <c r="AM122" s="761"/>
      <c r="AN122" s="761"/>
      <c r="AO122" s="761"/>
      <c r="AP122" s="761"/>
      <c r="AQ122" s="761"/>
      <c r="AR122" s="761"/>
      <c r="AS122" s="761"/>
      <c r="AT122" s="761"/>
      <c r="AU122" s="761"/>
      <c r="AV122" s="762"/>
    </row>
    <row r="123" spans="1:48" ht="16.5" customHeight="1" x14ac:dyDescent="0.25">
      <c r="C123" s="760"/>
      <c r="D123" s="761"/>
      <c r="E123" s="761"/>
      <c r="F123" s="761"/>
      <c r="G123" s="761"/>
      <c r="H123" s="761"/>
      <c r="I123" s="761"/>
      <c r="J123" s="761"/>
      <c r="K123" s="761"/>
      <c r="L123" s="761"/>
      <c r="M123" s="761"/>
      <c r="N123" s="761"/>
      <c r="O123" s="761"/>
      <c r="P123" s="761"/>
      <c r="Q123" s="761"/>
      <c r="R123" s="761"/>
      <c r="S123" s="761"/>
      <c r="T123" s="761"/>
      <c r="U123" s="761"/>
      <c r="V123" s="761"/>
      <c r="W123" s="761"/>
      <c r="X123" s="761"/>
      <c r="Y123" s="761"/>
      <c r="Z123" s="761"/>
      <c r="AA123" s="761"/>
      <c r="AB123" s="761"/>
      <c r="AC123" s="761"/>
      <c r="AD123" s="761"/>
      <c r="AE123" s="761"/>
      <c r="AF123" s="761"/>
      <c r="AG123" s="761"/>
      <c r="AH123" s="761"/>
      <c r="AI123" s="762"/>
      <c r="AJ123" s="761"/>
      <c r="AK123" s="761"/>
      <c r="AL123" s="761"/>
      <c r="AM123" s="761"/>
      <c r="AN123" s="761"/>
      <c r="AO123" s="761"/>
      <c r="AP123" s="761"/>
      <c r="AQ123" s="761"/>
      <c r="AR123" s="761"/>
      <c r="AS123" s="761"/>
      <c r="AT123" s="761"/>
      <c r="AU123" s="761"/>
      <c r="AV123" s="762"/>
    </row>
    <row r="124" spans="1:48" ht="16.5" customHeight="1" x14ac:dyDescent="0.25">
      <c r="C124" s="760"/>
      <c r="D124" s="761"/>
      <c r="E124" s="761"/>
      <c r="F124" s="761"/>
      <c r="G124" s="761"/>
      <c r="H124" s="761"/>
      <c r="I124" s="761"/>
      <c r="J124" s="761"/>
      <c r="K124" s="761"/>
      <c r="L124" s="761"/>
      <c r="M124" s="761"/>
      <c r="N124" s="761"/>
      <c r="O124" s="761"/>
      <c r="P124" s="761"/>
      <c r="Q124" s="761"/>
      <c r="R124" s="761"/>
      <c r="S124" s="761"/>
      <c r="T124" s="761"/>
      <c r="U124" s="761"/>
      <c r="V124" s="761"/>
      <c r="W124" s="761"/>
      <c r="X124" s="761"/>
      <c r="Y124" s="761"/>
      <c r="Z124" s="761"/>
      <c r="AA124" s="761"/>
      <c r="AB124" s="761"/>
      <c r="AC124" s="761"/>
      <c r="AD124" s="761"/>
      <c r="AE124" s="761"/>
      <c r="AF124" s="761"/>
      <c r="AG124" s="761"/>
      <c r="AH124" s="761"/>
      <c r="AI124" s="762"/>
      <c r="AJ124" s="761"/>
      <c r="AK124" s="761"/>
      <c r="AL124" s="761"/>
      <c r="AM124" s="761"/>
      <c r="AN124" s="761"/>
      <c r="AO124" s="761"/>
      <c r="AP124" s="761"/>
      <c r="AQ124" s="761"/>
      <c r="AR124" s="761"/>
      <c r="AS124" s="761"/>
      <c r="AT124" s="761"/>
      <c r="AU124" s="761"/>
      <c r="AV124" s="762"/>
    </row>
    <row r="125" spans="1:48" ht="16.5" customHeight="1" x14ac:dyDescent="0.25">
      <c r="C125" s="760"/>
      <c r="D125" s="761"/>
      <c r="E125" s="761"/>
      <c r="F125" s="761"/>
      <c r="G125" s="761"/>
      <c r="H125" s="761"/>
      <c r="I125" s="761"/>
      <c r="J125" s="761"/>
      <c r="K125" s="761"/>
      <c r="L125" s="761"/>
      <c r="M125" s="761"/>
      <c r="N125" s="761"/>
      <c r="O125" s="761"/>
      <c r="P125" s="761"/>
      <c r="Q125" s="761"/>
      <c r="R125" s="761"/>
      <c r="S125" s="761"/>
      <c r="T125" s="761"/>
      <c r="U125" s="761"/>
      <c r="V125" s="761"/>
      <c r="W125" s="761"/>
      <c r="X125" s="761"/>
      <c r="Y125" s="761"/>
      <c r="Z125" s="761"/>
      <c r="AA125" s="761"/>
      <c r="AB125" s="761"/>
      <c r="AC125" s="761"/>
      <c r="AD125" s="761"/>
      <c r="AE125" s="761"/>
      <c r="AF125" s="761"/>
      <c r="AG125" s="761"/>
      <c r="AH125" s="761"/>
      <c r="AI125" s="762"/>
      <c r="AJ125" s="761"/>
      <c r="AK125" s="761"/>
      <c r="AL125" s="761"/>
      <c r="AM125" s="761"/>
      <c r="AN125" s="761"/>
      <c r="AO125" s="761"/>
      <c r="AP125" s="761"/>
      <c r="AQ125" s="761"/>
      <c r="AR125" s="761"/>
      <c r="AS125" s="761"/>
      <c r="AT125" s="761"/>
      <c r="AU125" s="761"/>
      <c r="AV125" s="762"/>
    </row>
    <row r="126" spans="1:48" ht="16.5" customHeight="1" x14ac:dyDescent="0.25">
      <c r="C126" s="760"/>
      <c r="D126" s="761"/>
      <c r="E126" s="761"/>
      <c r="F126" s="761"/>
      <c r="G126" s="761"/>
      <c r="H126" s="761"/>
      <c r="I126" s="761"/>
      <c r="J126" s="761"/>
      <c r="K126" s="761"/>
      <c r="L126" s="761"/>
      <c r="M126" s="761"/>
      <c r="N126" s="761"/>
      <c r="O126" s="761"/>
      <c r="P126" s="761"/>
      <c r="Q126" s="761"/>
      <c r="R126" s="761"/>
      <c r="S126" s="761"/>
      <c r="T126" s="761"/>
      <c r="U126" s="761"/>
      <c r="V126" s="761"/>
      <c r="W126" s="761"/>
      <c r="X126" s="761"/>
      <c r="Y126" s="761"/>
      <c r="Z126" s="761"/>
      <c r="AA126" s="761"/>
      <c r="AB126" s="761"/>
      <c r="AC126" s="761"/>
      <c r="AD126" s="761"/>
      <c r="AE126" s="761"/>
      <c r="AF126" s="761"/>
      <c r="AG126" s="761"/>
      <c r="AH126" s="761"/>
      <c r="AI126" s="762"/>
      <c r="AJ126" s="761"/>
      <c r="AK126" s="761"/>
      <c r="AL126" s="761"/>
      <c r="AM126" s="761"/>
      <c r="AN126" s="761"/>
      <c r="AO126" s="761"/>
      <c r="AP126" s="761"/>
      <c r="AQ126" s="761"/>
      <c r="AR126" s="761"/>
      <c r="AS126" s="761"/>
      <c r="AT126" s="761"/>
      <c r="AU126" s="761"/>
      <c r="AV126" s="762"/>
    </row>
    <row r="127" spans="1:48" ht="16.5" customHeight="1" x14ac:dyDescent="0.25">
      <c r="C127" s="760"/>
      <c r="D127" s="761"/>
      <c r="E127" s="761"/>
      <c r="F127" s="761"/>
      <c r="G127" s="761"/>
      <c r="H127" s="761"/>
      <c r="I127" s="761"/>
      <c r="J127" s="761"/>
      <c r="K127" s="761"/>
      <c r="L127" s="761"/>
      <c r="M127" s="761"/>
      <c r="N127" s="761"/>
      <c r="O127" s="761"/>
      <c r="P127" s="761"/>
      <c r="Q127" s="761"/>
      <c r="R127" s="761"/>
      <c r="S127" s="761"/>
      <c r="T127" s="761"/>
      <c r="U127" s="761"/>
      <c r="V127" s="761"/>
      <c r="W127" s="761"/>
      <c r="X127" s="761"/>
      <c r="Y127" s="761"/>
      <c r="Z127" s="761"/>
      <c r="AA127" s="761"/>
      <c r="AB127" s="761"/>
      <c r="AC127" s="761"/>
      <c r="AD127" s="761"/>
      <c r="AE127" s="761"/>
      <c r="AF127" s="761"/>
      <c r="AG127" s="761"/>
      <c r="AH127" s="761"/>
      <c r="AI127" s="762"/>
      <c r="AJ127" s="761"/>
      <c r="AK127" s="761"/>
      <c r="AL127" s="761"/>
      <c r="AM127" s="761"/>
      <c r="AN127" s="761"/>
      <c r="AO127" s="761"/>
      <c r="AP127" s="761"/>
      <c r="AQ127" s="761"/>
      <c r="AR127" s="761"/>
      <c r="AS127" s="761"/>
      <c r="AT127" s="761"/>
      <c r="AU127" s="761"/>
      <c r="AV127" s="762"/>
    </row>
    <row r="128" spans="1:48" ht="16.5" customHeight="1" x14ac:dyDescent="0.25">
      <c r="C128" s="760"/>
      <c r="D128" s="761"/>
      <c r="E128" s="761"/>
      <c r="F128" s="761"/>
      <c r="G128" s="761"/>
      <c r="H128" s="761"/>
      <c r="I128" s="761"/>
      <c r="J128" s="761"/>
      <c r="K128" s="761"/>
      <c r="L128" s="761"/>
      <c r="M128" s="761"/>
      <c r="N128" s="761"/>
      <c r="O128" s="761"/>
      <c r="P128" s="761"/>
      <c r="Q128" s="761"/>
      <c r="R128" s="761"/>
      <c r="S128" s="761"/>
      <c r="T128" s="761"/>
      <c r="U128" s="761"/>
      <c r="V128" s="761"/>
      <c r="W128" s="761"/>
      <c r="X128" s="761"/>
      <c r="Y128" s="761"/>
      <c r="Z128" s="761"/>
      <c r="AA128" s="761"/>
      <c r="AB128" s="761"/>
      <c r="AC128" s="761"/>
      <c r="AD128" s="761"/>
      <c r="AE128" s="761"/>
      <c r="AF128" s="761"/>
      <c r="AG128" s="761"/>
      <c r="AH128" s="761"/>
      <c r="AI128" s="762"/>
      <c r="AJ128" s="761"/>
      <c r="AK128" s="761"/>
      <c r="AL128" s="761"/>
      <c r="AM128" s="761"/>
      <c r="AN128" s="761"/>
      <c r="AO128" s="761"/>
      <c r="AP128" s="761"/>
      <c r="AQ128" s="761"/>
      <c r="AR128" s="761"/>
      <c r="AS128" s="761"/>
      <c r="AT128" s="761"/>
      <c r="AU128" s="761"/>
      <c r="AV128" s="762"/>
    </row>
    <row r="129" spans="1:48" ht="16.5" customHeight="1" x14ac:dyDescent="0.25">
      <c r="C129" s="760"/>
      <c r="D129" s="761"/>
      <c r="E129" s="761"/>
      <c r="F129" s="761"/>
      <c r="G129" s="761"/>
      <c r="H129" s="761"/>
      <c r="I129" s="761"/>
      <c r="J129" s="761"/>
      <c r="K129" s="761"/>
      <c r="L129" s="761"/>
      <c r="M129" s="761"/>
      <c r="N129" s="761"/>
      <c r="O129" s="761"/>
      <c r="P129" s="761"/>
      <c r="Q129" s="761"/>
      <c r="R129" s="761"/>
      <c r="S129" s="761"/>
      <c r="T129" s="761"/>
      <c r="U129" s="761"/>
      <c r="V129" s="761"/>
      <c r="W129" s="761"/>
      <c r="X129" s="761"/>
      <c r="Y129" s="761"/>
      <c r="Z129" s="761"/>
      <c r="AA129" s="761"/>
      <c r="AB129" s="761"/>
      <c r="AC129" s="761"/>
      <c r="AD129" s="761"/>
      <c r="AE129" s="761"/>
      <c r="AF129" s="761"/>
      <c r="AG129" s="761"/>
      <c r="AH129" s="761"/>
      <c r="AI129" s="762"/>
      <c r="AJ129" s="761"/>
      <c r="AK129" s="761"/>
      <c r="AL129" s="761"/>
      <c r="AM129" s="761"/>
      <c r="AN129" s="761"/>
      <c r="AO129" s="761"/>
      <c r="AP129" s="761"/>
      <c r="AQ129" s="761"/>
      <c r="AR129" s="761"/>
      <c r="AS129" s="761"/>
      <c r="AT129" s="761"/>
      <c r="AU129" s="761"/>
      <c r="AV129" s="762"/>
    </row>
    <row r="130" spans="1:48" ht="16.5" customHeight="1" x14ac:dyDescent="0.25">
      <c r="C130" s="760"/>
      <c r="D130" s="761"/>
      <c r="E130" s="761"/>
      <c r="F130" s="761"/>
      <c r="G130" s="761"/>
      <c r="H130" s="761"/>
      <c r="I130" s="761"/>
      <c r="J130" s="761"/>
      <c r="K130" s="761"/>
      <c r="L130" s="761"/>
      <c r="M130" s="761"/>
      <c r="N130" s="761"/>
      <c r="O130" s="761"/>
      <c r="P130" s="761"/>
      <c r="Q130" s="761"/>
      <c r="R130" s="761"/>
      <c r="S130" s="761"/>
      <c r="T130" s="761"/>
      <c r="U130" s="761"/>
      <c r="V130" s="761"/>
      <c r="W130" s="761"/>
      <c r="X130" s="761"/>
      <c r="Y130" s="761"/>
      <c r="Z130" s="761"/>
      <c r="AA130" s="761"/>
      <c r="AB130" s="761"/>
      <c r="AC130" s="761"/>
      <c r="AD130" s="761"/>
      <c r="AE130" s="761"/>
      <c r="AF130" s="761"/>
      <c r="AG130" s="761"/>
      <c r="AH130" s="761"/>
      <c r="AI130" s="762"/>
      <c r="AJ130" s="761"/>
      <c r="AK130" s="761"/>
      <c r="AL130" s="761"/>
      <c r="AM130" s="761"/>
      <c r="AN130" s="761"/>
      <c r="AO130" s="761"/>
      <c r="AP130" s="761"/>
      <c r="AQ130" s="761"/>
      <c r="AR130" s="761"/>
      <c r="AS130" s="761"/>
      <c r="AT130" s="761"/>
      <c r="AU130" s="761"/>
      <c r="AV130" s="762"/>
    </row>
    <row r="131" spans="1:48" ht="16.5" customHeight="1" x14ac:dyDescent="0.25">
      <c r="C131" s="760"/>
      <c r="D131" s="761"/>
      <c r="E131" s="761"/>
      <c r="F131" s="761"/>
      <c r="G131" s="761"/>
      <c r="H131" s="761"/>
      <c r="I131" s="761"/>
      <c r="J131" s="761"/>
      <c r="K131" s="761"/>
      <c r="L131" s="761"/>
      <c r="M131" s="761"/>
      <c r="N131" s="761"/>
      <c r="O131" s="761"/>
      <c r="P131" s="761"/>
      <c r="Q131" s="761"/>
      <c r="R131" s="761"/>
      <c r="S131" s="761"/>
      <c r="T131" s="761"/>
      <c r="U131" s="761"/>
      <c r="V131" s="761"/>
      <c r="W131" s="761"/>
      <c r="X131" s="761"/>
      <c r="Y131" s="761"/>
      <c r="Z131" s="761"/>
      <c r="AA131" s="761"/>
      <c r="AB131" s="761"/>
      <c r="AC131" s="761"/>
      <c r="AD131" s="761"/>
      <c r="AE131" s="761"/>
      <c r="AF131" s="761"/>
      <c r="AG131" s="761"/>
      <c r="AH131" s="761"/>
      <c r="AI131" s="762"/>
      <c r="AJ131" s="761"/>
      <c r="AK131" s="761"/>
      <c r="AL131" s="761"/>
      <c r="AM131" s="761"/>
      <c r="AN131" s="761"/>
      <c r="AO131" s="761"/>
      <c r="AP131" s="761"/>
      <c r="AQ131" s="761"/>
      <c r="AR131" s="761"/>
      <c r="AS131" s="761"/>
      <c r="AT131" s="761"/>
      <c r="AU131" s="761"/>
      <c r="AV131" s="762"/>
    </row>
    <row r="132" spans="1:48" ht="16.5" customHeight="1" x14ac:dyDescent="0.25">
      <c r="C132" s="763"/>
      <c r="D132" s="764"/>
      <c r="E132" s="764"/>
      <c r="F132" s="764"/>
      <c r="G132" s="764"/>
      <c r="H132" s="764"/>
      <c r="I132" s="764"/>
      <c r="J132" s="764"/>
      <c r="K132" s="764"/>
      <c r="L132" s="764"/>
      <c r="M132" s="764"/>
      <c r="N132" s="764"/>
      <c r="O132" s="764"/>
      <c r="P132" s="764"/>
      <c r="Q132" s="764"/>
      <c r="R132" s="764"/>
      <c r="S132" s="764"/>
      <c r="T132" s="764"/>
      <c r="U132" s="764"/>
      <c r="V132" s="764"/>
      <c r="W132" s="764"/>
      <c r="X132" s="764"/>
      <c r="Y132" s="764"/>
      <c r="Z132" s="764"/>
      <c r="AA132" s="764"/>
      <c r="AB132" s="764"/>
      <c r="AC132" s="764"/>
      <c r="AD132" s="764"/>
      <c r="AE132" s="764"/>
      <c r="AF132" s="764"/>
      <c r="AG132" s="764"/>
      <c r="AH132" s="764"/>
      <c r="AI132" s="765"/>
      <c r="AJ132" s="764"/>
      <c r="AK132" s="764"/>
      <c r="AL132" s="764"/>
      <c r="AM132" s="764"/>
      <c r="AN132" s="764"/>
      <c r="AO132" s="764"/>
      <c r="AP132" s="764"/>
      <c r="AQ132" s="764"/>
      <c r="AR132" s="764"/>
      <c r="AS132" s="764"/>
      <c r="AT132" s="764"/>
      <c r="AU132" s="764"/>
      <c r="AV132" s="765"/>
    </row>
    <row r="133" spans="1:48" ht="24.75" customHeight="1" x14ac:dyDescent="0.25">
      <c r="A133" s="574">
        <f>+A117+1</f>
        <v>8</v>
      </c>
      <c r="B133" s="575"/>
      <c r="C133" s="17" t="s">
        <v>6</v>
      </c>
      <c r="D133" s="17"/>
      <c r="F133" s="22"/>
    </row>
    <row r="134" spans="1:48" ht="76.5" customHeight="1" x14ac:dyDescent="0.25">
      <c r="C134" s="616"/>
      <c r="D134" s="617"/>
      <c r="E134" s="617"/>
      <c r="F134" s="617"/>
      <c r="G134" s="617"/>
      <c r="H134" s="617"/>
      <c r="I134" s="617"/>
      <c r="J134" s="617"/>
      <c r="K134" s="617"/>
      <c r="L134" s="617"/>
      <c r="M134" s="617"/>
      <c r="N134" s="617"/>
      <c r="O134" s="617"/>
      <c r="P134" s="617"/>
      <c r="Q134" s="617"/>
      <c r="R134" s="617"/>
      <c r="S134" s="617"/>
      <c r="T134" s="617"/>
      <c r="U134" s="618"/>
      <c r="V134" s="618"/>
      <c r="W134" s="618"/>
      <c r="X134" s="618"/>
      <c r="Y134" s="618"/>
      <c r="Z134" s="618"/>
      <c r="AA134" s="618"/>
      <c r="AB134" s="618"/>
      <c r="AC134" s="618"/>
      <c r="AD134" s="618"/>
      <c r="AE134" s="618"/>
      <c r="AF134" s="618"/>
      <c r="AG134" s="618"/>
      <c r="AH134" s="618"/>
      <c r="AI134" s="618"/>
      <c r="AJ134" s="618"/>
      <c r="AK134" s="618"/>
      <c r="AL134" s="618"/>
      <c r="AM134" s="618"/>
      <c r="AN134" s="618"/>
      <c r="AO134" s="618"/>
      <c r="AP134" s="618"/>
      <c r="AQ134" s="618"/>
      <c r="AR134" s="618"/>
      <c r="AS134" s="618"/>
      <c r="AT134" s="618"/>
      <c r="AU134" s="618"/>
      <c r="AV134" s="618"/>
    </row>
    <row r="135" spans="1:48" s="187" customFormat="1" ht="21.75" customHeight="1" x14ac:dyDescent="0.25">
      <c r="A135" s="574">
        <f>+A133+1</f>
        <v>9</v>
      </c>
      <c r="B135" s="791"/>
      <c r="C135" s="17" t="s">
        <v>112</v>
      </c>
      <c r="D135" s="17"/>
      <c r="F135" s="244"/>
      <c r="U135" s="193"/>
      <c r="V135" s="193"/>
      <c r="W135" s="193"/>
      <c r="X135" s="193"/>
      <c r="Y135" s="193"/>
      <c r="Z135" s="193"/>
      <c r="AA135" s="193"/>
      <c r="AB135" s="193"/>
      <c r="AC135" s="193"/>
      <c r="AD135" s="193"/>
    </row>
    <row r="136" spans="1:48" s="187" customFormat="1" ht="23.25" customHeight="1" x14ac:dyDescent="0.25">
      <c r="A136" s="20"/>
      <c r="B136" s="243"/>
      <c r="C136" s="250" t="s">
        <v>135</v>
      </c>
      <c r="D136" s="17"/>
      <c r="F136" s="244"/>
      <c r="U136" s="193"/>
      <c r="V136" s="193"/>
      <c r="W136" s="193"/>
      <c r="X136" s="193"/>
      <c r="Y136" s="193"/>
      <c r="Z136" s="193"/>
      <c r="AA136" s="193"/>
      <c r="AB136" s="193"/>
      <c r="AC136" s="193"/>
      <c r="AD136" s="193"/>
    </row>
    <row r="137" spans="1:48" s="187" customFormat="1" ht="15.75" customHeight="1" x14ac:dyDescent="0.25">
      <c r="C137" s="636"/>
      <c r="D137" s="636"/>
      <c r="E137" s="636"/>
      <c r="F137" s="636"/>
      <c r="G137" s="636"/>
      <c r="H137" s="636"/>
      <c r="I137" s="636"/>
      <c r="J137" s="636"/>
      <c r="K137" s="636"/>
      <c r="L137" s="636"/>
      <c r="M137" s="636"/>
      <c r="N137" s="636"/>
      <c r="O137" s="636"/>
      <c r="P137" s="636"/>
      <c r="Q137" s="636"/>
      <c r="R137" s="636"/>
      <c r="S137" s="636"/>
      <c r="T137" s="636"/>
      <c r="U137" s="552"/>
      <c r="V137" s="552"/>
      <c r="W137" s="552"/>
      <c r="X137" s="552"/>
      <c r="Y137" s="552"/>
      <c r="Z137" s="552"/>
      <c r="AA137" s="552"/>
      <c r="AB137" s="552"/>
      <c r="AC137" s="552"/>
      <c r="AD137" s="552"/>
      <c r="AE137" s="552"/>
      <c r="AF137" s="552"/>
      <c r="AG137" s="552"/>
      <c r="AH137" s="552"/>
      <c r="AI137" s="552"/>
      <c r="AJ137" s="552"/>
      <c r="AK137" s="552"/>
      <c r="AL137" s="552"/>
      <c r="AM137" s="552"/>
      <c r="AN137" s="552"/>
      <c r="AO137" s="552"/>
      <c r="AP137" s="552"/>
      <c r="AQ137" s="552"/>
      <c r="AR137" s="552"/>
      <c r="AS137" s="552"/>
      <c r="AT137" s="552"/>
      <c r="AU137" s="552"/>
      <c r="AV137" s="552"/>
    </row>
    <row r="138" spans="1:48" s="187" customFormat="1" ht="15" customHeight="1" x14ac:dyDescent="0.25">
      <c r="A138" s="20"/>
      <c r="B138" s="243"/>
      <c r="C138" s="250" t="s">
        <v>136</v>
      </c>
      <c r="D138" s="17"/>
      <c r="F138" s="244"/>
      <c r="U138" s="193"/>
      <c r="V138" s="193"/>
      <c r="W138" s="193"/>
      <c r="X138" s="193"/>
      <c r="Y138" s="193"/>
      <c r="Z138" s="193"/>
      <c r="AA138" s="193"/>
      <c r="AB138" s="193"/>
      <c r="AC138" s="193"/>
      <c r="AD138" s="193"/>
    </row>
    <row r="139" spans="1:48" s="187" customFormat="1" ht="18" customHeight="1" x14ac:dyDescent="0.25">
      <c r="C139" s="636"/>
      <c r="D139" s="636"/>
      <c r="E139" s="636"/>
      <c r="F139" s="636"/>
      <c r="G139" s="636"/>
      <c r="H139" s="636"/>
      <c r="I139" s="636"/>
      <c r="J139" s="636"/>
      <c r="K139" s="636"/>
      <c r="L139" s="636"/>
      <c r="M139" s="636"/>
      <c r="N139" s="636"/>
      <c r="O139" s="636"/>
      <c r="P139" s="636"/>
      <c r="Q139" s="636"/>
      <c r="R139" s="636"/>
      <c r="S139" s="636"/>
      <c r="T139" s="636"/>
      <c r="U139" s="552"/>
      <c r="V139" s="552"/>
      <c r="W139" s="552"/>
      <c r="X139" s="552"/>
      <c r="Y139" s="552"/>
      <c r="Z139" s="552"/>
      <c r="AA139" s="552"/>
      <c r="AB139" s="552"/>
      <c r="AC139" s="552"/>
      <c r="AD139" s="552"/>
      <c r="AE139" s="552"/>
      <c r="AF139" s="552"/>
      <c r="AG139" s="552"/>
      <c r="AH139" s="552"/>
      <c r="AI139" s="552"/>
      <c r="AJ139" s="552"/>
      <c r="AK139" s="552"/>
      <c r="AL139" s="552"/>
      <c r="AM139" s="552"/>
      <c r="AN139" s="552"/>
      <c r="AO139" s="552"/>
      <c r="AP139" s="552"/>
      <c r="AQ139" s="552"/>
      <c r="AR139" s="552"/>
      <c r="AS139" s="552"/>
      <c r="AT139" s="552"/>
      <c r="AU139" s="552"/>
      <c r="AV139" s="552"/>
    </row>
    <row r="140" spans="1:48" s="187" customFormat="1" ht="22.5" customHeight="1" x14ac:dyDescent="0.25">
      <c r="A140" s="574">
        <f>1+A135</f>
        <v>10</v>
      </c>
      <c r="B140" s="791"/>
      <c r="C140" s="17" t="s">
        <v>113</v>
      </c>
      <c r="D140" s="245"/>
      <c r="F140" s="244"/>
      <c r="U140" s="193"/>
      <c r="V140" s="84"/>
      <c r="W140" s="193"/>
      <c r="X140" s="193"/>
      <c r="Y140" s="193"/>
      <c r="Z140" s="193"/>
      <c r="AA140" s="193"/>
      <c r="AB140" s="193"/>
      <c r="AC140" s="193"/>
      <c r="AD140" s="193"/>
    </row>
    <row r="141" spans="1:48" s="187" customFormat="1" ht="6.75" customHeight="1" x14ac:dyDescent="0.25">
      <c r="A141" s="20"/>
      <c r="B141" s="243"/>
      <c r="C141" s="17"/>
      <c r="D141" s="245"/>
      <c r="F141" s="244"/>
      <c r="Q141" s="84"/>
      <c r="U141" s="193"/>
      <c r="V141" s="84"/>
      <c r="W141" s="193"/>
      <c r="X141" s="193"/>
      <c r="Y141" s="193"/>
      <c r="Z141" s="193"/>
      <c r="AA141" s="193"/>
      <c r="AB141" s="193"/>
      <c r="AC141" s="193"/>
      <c r="AD141" s="193"/>
    </row>
    <row r="142" spans="1:48" s="187" customFormat="1" ht="39.75" customHeight="1" x14ac:dyDescent="0.25">
      <c r="A142" s="20"/>
      <c r="B142" s="243"/>
      <c r="C142" s="403" t="s">
        <v>197</v>
      </c>
      <c r="D142" s="404"/>
      <c r="E142" s="949" t="s">
        <v>195</v>
      </c>
      <c r="F142" s="949"/>
      <c r="G142" s="949"/>
      <c r="H142" s="949"/>
      <c r="I142" s="949"/>
      <c r="J142" s="949"/>
      <c r="K142" s="949"/>
      <c r="L142" s="949"/>
      <c r="M142" s="949"/>
      <c r="N142" s="949"/>
      <c r="O142" s="949"/>
      <c r="P142" s="949"/>
      <c r="Q142" s="949"/>
      <c r="R142" s="949"/>
      <c r="S142" s="949"/>
      <c r="T142" s="950"/>
      <c r="U142" s="951" t="s">
        <v>198</v>
      </c>
      <c r="V142" s="952"/>
      <c r="W142" s="952"/>
      <c r="X142" s="952"/>
      <c r="Y142" s="952"/>
      <c r="Z142" s="952"/>
      <c r="AA142" s="953"/>
      <c r="AB142" s="951" t="s">
        <v>199</v>
      </c>
      <c r="AC142" s="952"/>
      <c r="AD142" s="952"/>
      <c r="AE142" s="952"/>
      <c r="AF142" s="952"/>
      <c r="AG142" s="952"/>
      <c r="AH142" s="953"/>
      <c r="AI142" s="951" t="s">
        <v>200</v>
      </c>
      <c r="AJ142" s="952"/>
      <c r="AK142" s="952"/>
      <c r="AL142" s="952"/>
      <c r="AM142" s="952"/>
      <c r="AN142" s="952"/>
      <c r="AO142" s="953"/>
      <c r="AP142" s="951" t="s">
        <v>201</v>
      </c>
      <c r="AQ142" s="952"/>
      <c r="AR142" s="952"/>
      <c r="AS142" s="952"/>
      <c r="AT142" s="952"/>
      <c r="AU142" s="952"/>
      <c r="AV142" s="954"/>
    </row>
    <row r="143" spans="1:48" s="187" customFormat="1" ht="16.5" customHeight="1" x14ac:dyDescent="0.25">
      <c r="A143" s="20"/>
      <c r="B143" s="243"/>
      <c r="C143" s="955">
        <v>1</v>
      </c>
      <c r="D143" s="956"/>
      <c r="E143" s="957" t="s">
        <v>202</v>
      </c>
      <c r="F143" s="958"/>
      <c r="G143" s="958"/>
      <c r="H143" s="958"/>
      <c r="I143" s="958"/>
      <c r="J143" s="958"/>
      <c r="K143" s="958"/>
      <c r="L143" s="958"/>
      <c r="M143" s="958"/>
      <c r="N143" s="958"/>
      <c r="O143" s="958"/>
      <c r="P143" s="958"/>
      <c r="Q143" s="958"/>
      <c r="R143" s="958"/>
      <c r="S143" s="958"/>
      <c r="T143" s="959"/>
      <c r="U143" s="960" t="e">
        <f t="shared" ref="U143:U148" si="1">+AP143/$AP$163</f>
        <v>#DIV/0!</v>
      </c>
      <c r="V143" s="961"/>
      <c r="W143" s="961"/>
      <c r="X143" s="961"/>
      <c r="Y143" s="961"/>
      <c r="Z143" s="961"/>
      <c r="AA143" s="962"/>
      <c r="AB143" s="963" t="e">
        <f t="shared" ref="AB143:AB148" si="2">+AM$120/U143</f>
        <v>#DIV/0!</v>
      </c>
      <c r="AC143" s="964"/>
      <c r="AD143" s="964"/>
      <c r="AE143" s="964"/>
      <c r="AF143" s="964"/>
      <c r="AG143" s="477" t="s">
        <v>26</v>
      </c>
      <c r="AH143" s="477"/>
      <c r="AI143" s="963"/>
      <c r="AJ143" s="964"/>
      <c r="AK143" s="964"/>
      <c r="AL143" s="964"/>
      <c r="AM143" s="964"/>
      <c r="AN143" s="477" t="s">
        <v>26</v>
      </c>
      <c r="AO143" s="477"/>
      <c r="AP143" s="963"/>
      <c r="AQ143" s="964"/>
      <c r="AR143" s="964"/>
      <c r="AS143" s="964"/>
      <c r="AT143" s="964"/>
      <c r="AU143" s="405" t="s">
        <v>26</v>
      </c>
      <c r="AV143" s="406"/>
    </row>
    <row r="144" spans="1:48" s="187" customFormat="1" ht="16.5" customHeight="1" x14ac:dyDescent="0.25">
      <c r="A144" s="20"/>
      <c r="B144" s="243"/>
      <c r="C144" s="965">
        <v>2</v>
      </c>
      <c r="D144" s="966"/>
      <c r="E144" s="967" t="s">
        <v>202</v>
      </c>
      <c r="F144" s="968"/>
      <c r="G144" s="968"/>
      <c r="H144" s="968"/>
      <c r="I144" s="968"/>
      <c r="J144" s="968"/>
      <c r="K144" s="968"/>
      <c r="L144" s="968"/>
      <c r="M144" s="968"/>
      <c r="N144" s="968"/>
      <c r="O144" s="968"/>
      <c r="P144" s="968"/>
      <c r="Q144" s="968"/>
      <c r="R144" s="968"/>
      <c r="S144" s="968"/>
      <c r="T144" s="969"/>
      <c r="U144" s="931" t="e">
        <f t="shared" si="1"/>
        <v>#DIV/0!</v>
      </c>
      <c r="V144" s="932"/>
      <c r="W144" s="932"/>
      <c r="X144" s="932"/>
      <c r="Y144" s="932"/>
      <c r="Z144" s="932"/>
      <c r="AA144" s="933"/>
      <c r="AB144" s="934" t="e">
        <f t="shared" si="2"/>
        <v>#DIV/0!</v>
      </c>
      <c r="AC144" s="935"/>
      <c r="AD144" s="935"/>
      <c r="AE144" s="935"/>
      <c r="AF144" s="935"/>
      <c r="AG144" s="405" t="s">
        <v>26</v>
      </c>
      <c r="AH144" s="405"/>
      <c r="AI144" s="934"/>
      <c r="AJ144" s="935"/>
      <c r="AK144" s="935"/>
      <c r="AL144" s="935"/>
      <c r="AM144" s="935"/>
      <c r="AN144" s="405" t="s">
        <v>26</v>
      </c>
      <c r="AO144" s="405"/>
      <c r="AP144" s="934"/>
      <c r="AQ144" s="935"/>
      <c r="AR144" s="935"/>
      <c r="AS144" s="935"/>
      <c r="AT144" s="935"/>
      <c r="AU144" s="405" t="s">
        <v>26</v>
      </c>
      <c r="AV144" s="406"/>
    </row>
    <row r="145" spans="1:48" s="187" customFormat="1" ht="16.5" customHeight="1" x14ac:dyDescent="0.25">
      <c r="A145" s="20"/>
      <c r="B145" s="243"/>
      <c r="C145" s="965">
        <v>3</v>
      </c>
      <c r="D145" s="966"/>
      <c r="E145" s="967" t="s">
        <v>202</v>
      </c>
      <c r="F145" s="968"/>
      <c r="G145" s="968"/>
      <c r="H145" s="968"/>
      <c r="I145" s="968"/>
      <c r="J145" s="968"/>
      <c r="K145" s="968"/>
      <c r="L145" s="968"/>
      <c r="M145" s="968"/>
      <c r="N145" s="968"/>
      <c r="O145" s="968"/>
      <c r="P145" s="968"/>
      <c r="Q145" s="968"/>
      <c r="R145" s="968"/>
      <c r="S145" s="968"/>
      <c r="T145" s="969"/>
      <c r="U145" s="931" t="e">
        <f t="shared" si="1"/>
        <v>#DIV/0!</v>
      </c>
      <c r="V145" s="932"/>
      <c r="W145" s="932"/>
      <c r="X145" s="932"/>
      <c r="Y145" s="932"/>
      <c r="Z145" s="932"/>
      <c r="AA145" s="933"/>
      <c r="AB145" s="934" t="e">
        <f t="shared" si="2"/>
        <v>#DIV/0!</v>
      </c>
      <c r="AC145" s="935"/>
      <c r="AD145" s="935"/>
      <c r="AE145" s="935"/>
      <c r="AF145" s="935"/>
      <c r="AG145" s="405" t="s">
        <v>26</v>
      </c>
      <c r="AH145" s="405"/>
      <c r="AI145" s="934"/>
      <c r="AJ145" s="935"/>
      <c r="AK145" s="935"/>
      <c r="AL145" s="935"/>
      <c r="AM145" s="935"/>
      <c r="AN145" s="405" t="s">
        <v>26</v>
      </c>
      <c r="AO145" s="405"/>
      <c r="AP145" s="934"/>
      <c r="AQ145" s="935"/>
      <c r="AR145" s="935"/>
      <c r="AS145" s="935"/>
      <c r="AT145" s="935"/>
      <c r="AU145" s="405" t="s">
        <v>26</v>
      </c>
      <c r="AV145" s="406"/>
    </row>
    <row r="146" spans="1:48" s="187" customFormat="1" ht="15" customHeight="1" x14ac:dyDescent="0.25">
      <c r="A146" s="20"/>
      <c r="B146" s="243"/>
      <c r="C146" s="965">
        <v>4</v>
      </c>
      <c r="D146" s="966"/>
      <c r="E146" s="967" t="s">
        <v>202</v>
      </c>
      <c r="F146" s="968"/>
      <c r="G146" s="968"/>
      <c r="H146" s="968"/>
      <c r="I146" s="968"/>
      <c r="J146" s="968"/>
      <c r="K146" s="968"/>
      <c r="L146" s="968"/>
      <c r="M146" s="968"/>
      <c r="N146" s="968"/>
      <c r="O146" s="968"/>
      <c r="P146" s="968"/>
      <c r="Q146" s="968"/>
      <c r="R146" s="968"/>
      <c r="S146" s="968"/>
      <c r="T146" s="969"/>
      <c r="U146" s="931" t="e">
        <f t="shared" si="1"/>
        <v>#DIV/0!</v>
      </c>
      <c r="V146" s="932"/>
      <c r="W146" s="932"/>
      <c r="X146" s="932"/>
      <c r="Y146" s="932"/>
      <c r="Z146" s="932"/>
      <c r="AA146" s="933"/>
      <c r="AB146" s="934" t="e">
        <f t="shared" si="2"/>
        <v>#DIV/0!</v>
      </c>
      <c r="AC146" s="935"/>
      <c r="AD146" s="935"/>
      <c r="AE146" s="935"/>
      <c r="AF146" s="935"/>
      <c r="AG146" s="405" t="s">
        <v>26</v>
      </c>
      <c r="AH146" s="405"/>
      <c r="AI146" s="934"/>
      <c r="AJ146" s="935"/>
      <c r="AK146" s="935"/>
      <c r="AL146" s="935"/>
      <c r="AM146" s="935"/>
      <c r="AN146" s="405" t="s">
        <v>26</v>
      </c>
      <c r="AO146" s="405"/>
      <c r="AP146" s="934"/>
      <c r="AQ146" s="935"/>
      <c r="AR146" s="935"/>
      <c r="AS146" s="935"/>
      <c r="AT146" s="935"/>
      <c r="AU146" s="405" t="s">
        <v>26</v>
      </c>
      <c r="AV146" s="406"/>
    </row>
    <row r="147" spans="1:48" s="187" customFormat="1" ht="16.5" customHeight="1" x14ac:dyDescent="0.25">
      <c r="A147" s="20"/>
      <c r="B147" s="243"/>
      <c r="C147" s="965">
        <v>5</v>
      </c>
      <c r="D147" s="966"/>
      <c r="E147" s="967" t="s">
        <v>203</v>
      </c>
      <c r="F147" s="968"/>
      <c r="G147" s="968"/>
      <c r="H147" s="968"/>
      <c r="I147" s="968"/>
      <c r="J147" s="968"/>
      <c r="K147" s="968"/>
      <c r="L147" s="968"/>
      <c r="M147" s="968"/>
      <c r="N147" s="968"/>
      <c r="O147" s="968"/>
      <c r="P147" s="968"/>
      <c r="Q147" s="968"/>
      <c r="R147" s="968"/>
      <c r="S147" s="968"/>
      <c r="T147" s="969"/>
      <c r="U147" s="931" t="e">
        <f t="shared" si="1"/>
        <v>#DIV/0!</v>
      </c>
      <c r="V147" s="932"/>
      <c r="W147" s="932"/>
      <c r="X147" s="932"/>
      <c r="Y147" s="932"/>
      <c r="Z147" s="932"/>
      <c r="AA147" s="933"/>
      <c r="AB147" s="934" t="e">
        <f t="shared" si="2"/>
        <v>#DIV/0!</v>
      </c>
      <c r="AC147" s="935"/>
      <c r="AD147" s="935"/>
      <c r="AE147" s="935"/>
      <c r="AF147" s="935"/>
      <c r="AG147" s="405" t="s">
        <v>26</v>
      </c>
      <c r="AH147" s="405"/>
      <c r="AI147" s="934"/>
      <c r="AJ147" s="935"/>
      <c r="AK147" s="935"/>
      <c r="AL147" s="935"/>
      <c r="AM147" s="935"/>
      <c r="AN147" s="405" t="s">
        <v>26</v>
      </c>
      <c r="AO147" s="405"/>
      <c r="AP147" s="934"/>
      <c r="AQ147" s="935"/>
      <c r="AR147" s="935"/>
      <c r="AS147" s="935"/>
      <c r="AT147" s="935"/>
      <c r="AU147" s="405" t="s">
        <v>26</v>
      </c>
      <c r="AV147" s="406"/>
    </row>
    <row r="148" spans="1:48" s="187" customFormat="1" ht="16.5" customHeight="1" x14ac:dyDescent="0.25">
      <c r="A148" s="20"/>
      <c r="B148" s="243"/>
      <c r="C148" s="939">
        <v>6</v>
      </c>
      <c r="D148" s="940"/>
      <c r="E148" s="941" t="s">
        <v>203</v>
      </c>
      <c r="F148" s="942"/>
      <c r="G148" s="942"/>
      <c r="H148" s="942"/>
      <c r="I148" s="942"/>
      <c r="J148" s="942"/>
      <c r="K148" s="942"/>
      <c r="L148" s="942"/>
      <c r="M148" s="942"/>
      <c r="N148" s="942"/>
      <c r="O148" s="942"/>
      <c r="P148" s="942"/>
      <c r="Q148" s="942"/>
      <c r="R148" s="942"/>
      <c r="S148" s="942"/>
      <c r="T148" s="943"/>
      <c r="U148" s="944" t="e">
        <f t="shared" si="1"/>
        <v>#DIV/0!</v>
      </c>
      <c r="V148" s="945"/>
      <c r="W148" s="945"/>
      <c r="X148" s="945"/>
      <c r="Y148" s="945"/>
      <c r="Z148" s="945"/>
      <c r="AA148" s="946"/>
      <c r="AB148" s="947" t="e">
        <f t="shared" si="2"/>
        <v>#DIV/0!</v>
      </c>
      <c r="AC148" s="948"/>
      <c r="AD148" s="948"/>
      <c r="AE148" s="948"/>
      <c r="AF148" s="948"/>
      <c r="AG148" s="476" t="s">
        <v>26</v>
      </c>
      <c r="AH148" s="476"/>
      <c r="AI148" s="947"/>
      <c r="AJ148" s="948"/>
      <c r="AK148" s="948"/>
      <c r="AL148" s="948"/>
      <c r="AM148" s="948"/>
      <c r="AN148" s="476" t="s">
        <v>26</v>
      </c>
      <c r="AO148" s="476"/>
      <c r="AP148" s="947"/>
      <c r="AQ148" s="948"/>
      <c r="AR148" s="948"/>
      <c r="AS148" s="948"/>
      <c r="AT148" s="948"/>
      <c r="AU148" s="405" t="s">
        <v>26</v>
      </c>
      <c r="AV148" s="406"/>
    </row>
    <row r="149" spans="1:48" s="187" customFormat="1" ht="39.75" customHeight="1" x14ac:dyDescent="0.25">
      <c r="A149" s="20"/>
      <c r="B149" s="243"/>
      <c r="C149" s="403"/>
      <c r="D149" s="404"/>
      <c r="E149" s="407" t="s">
        <v>204</v>
      </c>
      <c r="F149" s="407"/>
      <c r="G149" s="407"/>
      <c r="H149" s="407"/>
      <c r="I149" s="407"/>
      <c r="J149" s="407"/>
      <c r="K149" s="407"/>
      <c r="L149" s="407"/>
      <c r="M149" s="407"/>
      <c r="N149" s="407"/>
      <c r="O149" s="407"/>
      <c r="P149" s="407"/>
      <c r="Q149" s="407"/>
      <c r="R149" s="407"/>
      <c r="S149" s="407"/>
      <c r="T149" s="407"/>
      <c r="U149" s="972" t="e">
        <f>SUM(U143:AA148)</f>
        <v>#DIV/0!</v>
      </c>
      <c r="V149" s="973"/>
      <c r="W149" s="973"/>
      <c r="X149" s="973"/>
      <c r="Y149" s="973"/>
      <c r="Z149" s="973"/>
      <c r="AA149" s="974"/>
      <c r="AB149" s="970" t="e">
        <f>SUM(AB143:AF148)</f>
        <v>#DIV/0!</v>
      </c>
      <c r="AC149" s="971"/>
      <c r="AD149" s="971"/>
      <c r="AE149" s="971"/>
      <c r="AF149" s="971"/>
      <c r="AG149" s="408" t="s">
        <v>26</v>
      </c>
      <c r="AH149" s="407"/>
      <c r="AI149" s="970">
        <f>SUM(AI143:AM148)</f>
        <v>0</v>
      </c>
      <c r="AJ149" s="971"/>
      <c r="AK149" s="971"/>
      <c r="AL149" s="971"/>
      <c r="AM149" s="971"/>
      <c r="AN149" s="408" t="s">
        <v>26</v>
      </c>
      <c r="AO149" s="407"/>
      <c r="AP149" s="970">
        <f>SUM(AP143:AT148)</f>
        <v>0</v>
      </c>
      <c r="AQ149" s="971"/>
      <c r="AR149" s="971"/>
      <c r="AS149" s="971"/>
      <c r="AT149" s="971"/>
      <c r="AU149" s="409" t="s">
        <v>26</v>
      </c>
      <c r="AV149" s="410"/>
    </row>
    <row r="150" spans="1:48" s="187" customFormat="1" ht="15" customHeight="1" x14ac:dyDescent="0.25">
      <c r="A150" s="20"/>
      <c r="B150" s="243"/>
      <c r="C150" s="965">
        <v>1</v>
      </c>
      <c r="D150" s="966"/>
      <c r="E150" s="967" t="s">
        <v>205</v>
      </c>
      <c r="F150" s="968"/>
      <c r="G150" s="968"/>
      <c r="H150" s="968"/>
      <c r="I150" s="968"/>
      <c r="J150" s="968"/>
      <c r="K150" s="968"/>
      <c r="L150" s="968"/>
      <c r="M150" s="968"/>
      <c r="N150" s="968"/>
      <c r="O150" s="968"/>
      <c r="P150" s="968"/>
      <c r="Q150" s="968" t="s">
        <v>206</v>
      </c>
      <c r="R150" s="968"/>
      <c r="S150" s="968"/>
      <c r="T150" s="969"/>
      <c r="U150" s="931" t="e">
        <f>+AP150/$AP$163</f>
        <v>#DIV/0!</v>
      </c>
      <c r="V150" s="932"/>
      <c r="W150" s="932"/>
      <c r="X150" s="932"/>
      <c r="Y150" s="932"/>
      <c r="Z150" s="932"/>
      <c r="AA150" s="933"/>
      <c r="AB150" s="934" t="e">
        <f t="shared" ref="AB150:AB160" si="3">+AM$120/U150</f>
        <v>#DIV/0!</v>
      </c>
      <c r="AC150" s="935"/>
      <c r="AD150" s="935"/>
      <c r="AE150" s="935"/>
      <c r="AF150" s="935"/>
      <c r="AG150" s="405" t="s">
        <v>26</v>
      </c>
      <c r="AH150" s="405"/>
      <c r="AI150" s="934"/>
      <c r="AJ150" s="935"/>
      <c r="AK150" s="935"/>
      <c r="AL150" s="935"/>
      <c r="AM150" s="935"/>
      <c r="AN150" s="405" t="s">
        <v>26</v>
      </c>
      <c r="AO150" s="405"/>
      <c r="AP150" s="934"/>
      <c r="AQ150" s="935"/>
      <c r="AR150" s="935"/>
      <c r="AS150" s="935"/>
      <c r="AT150" s="935"/>
      <c r="AU150" s="405" t="s">
        <v>26</v>
      </c>
      <c r="AV150" s="406"/>
    </row>
    <row r="151" spans="1:48" s="187" customFormat="1" ht="15" customHeight="1" x14ac:dyDescent="0.25">
      <c r="A151" s="20"/>
      <c r="B151" s="243"/>
      <c r="C151" s="965">
        <v>2</v>
      </c>
      <c r="D151" s="966"/>
      <c r="E151" s="967" t="s">
        <v>205</v>
      </c>
      <c r="F151" s="968"/>
      <c r="G151" s="968"/>
      <c r="H151" s="968"/>
      <c r="I151" s="968"/>
      <c r="J151" s="968"/>
      <c r="K151" s="968"/>
      <c r="L151" s="968"/>
      <c r="M151" s="968"/>
      <c r="N151" s="968"/>
      <c r="O151" s="968"/>
      <c r="P151" s="968"/>
      <c r="Q151" s="968" t="s">
        <v>206</v>
      </c>
      <c r="R151" s="968"/>
      <c r="S151" s="968"/>
      <c r="T151" s="969"/>
      <c r="U151" s="931" t="e">
        <f>+AP151/$AP$163</f>
        <v>#DIV/0!</v>
      </c>
      <c r="V151" s="932"/>
      <c r="W151" s="932"/>
      <c r="X151" s="932"/>
      <c r="Y151" s="932"/>
      <c r="Z151" s="932"/>
      <c r="AA151" s="933"/>
      <c r="AB151" s="934" t="e">
        <f t="shared" si="3"/>
        <v>#DIV/0!</v>
      </c>
      <c r="AC151" s="935"/>
      <c r="AD151" s="935"/>
      <c r="AE151" s="935"/>
      <c r="AF151" s="935"/>
      <c r="AG151" s="405" t="s">
        <v>26</v>
      </c>
      <c r="AH151" s="405"/>
      <c r="AI151" s="934"/>
      <c r="AJ151" s="935"/>
      <c r="AK151" s="935"/>
      <c r="AL151" s="935"/>
      <c r="AM151" s="935"/>
      <c r="AN151" s="405" t="s">
        <v>26</v>
      </c>
      <c r="AO151" s="405"/>
      <c r="AP151" s="934"/>
      <c r="AQ151" s="935"/>
      <c r="AR151" s="935"/>
      <c r="AS151" s="935"/>
      <c r="AT151" s="935"/>
      <c r="AU151" s="405" t="s">
        <v>26</v>
      </c>
      <c r="AV151" s="406"/>
    </row>
    <row r="152" spans="1:48" s="187" customFormat="1" ht="15" customHeight="1" x14ac:dyDescent="0.25">
      <c r="A152" s="20"/>
      <c r="B152" s="243"/>
      <c r="C152" s="965">
        <v>3</v>
      </c>
      <c r="D152" s="966"/>
      <c r="E152" s="967" t="s">
        <v>205</v>
      </c>
      <c r="F152" s="968"/>
      <c r="G152" s="968"/>
      <c r="H152" s="968"/>
      <c r="I152" s="968"/>
      <c r="J152" s="968"/>
      <c r="K152" s="968"/>
      <c r="L152" s="968"/>
      <c r="M152" s="968"/>
      <c r="N152" s="968"/>
      <c r="O152" s="968"/>
      <c r="P152" s="968"/>
      <c r="Q152" s="968" t="s">
        <v>206</v>
      </c>
      <c r="R152" s="968"/>
      <c r="S152" s="968"/>
      <c r="T152" s="969"/>
      <c r="U152" s="931" t="e">
        <f t="shared" ref="U152:U159" si="4">+AP152/$AP$163</f>
        <v>#DIV/0!</v>
      </c>
      <c r="V152" s="932"/>
      <c r="W152" s="932"/>
      <c r="X152" s="932"/>
      <c r="Y152" s="932"/>
      <c r="Z152" s="932"/>
      <c r="AA152" s="933"/>
      <c r="AB152" s="934" t="e">
        <f t="shared" si="3"/>
        <v>#DIV/0!</v>
      </c>
      <c r="AC152" s="935"/>
      <c r="AD152" s="935"/>
      <c r="AE152" s="935"/>
      <c r="AF152" s="935"/>
      <c r="AG152" s="405" t="s">
        <v>26</v>
      </c>
      <c r="AH152" s="405"/>
      <c r="AI152" s="934"/>
      <c r="AJ152" s="935"/>
      <c r="AK152" s="935"/>
      <c r="AL152" s="935"/>
      <c r="AM152" s="935"/>
      <c r="AN152" s="405" t="s">
        <v>26</v>
      </c>
      <c r="AO152" s="405"/>
      <c r="AP152" s="934"/>
      <c r="AQ152" s="935"/>
      <c r="AR152" s="935"/>
      <c r="AS152" s="935"/>
      <c r="AT152" s="935"/>
      <c r="AU152" s="405" t="s">
        <v>26</v>
      </c>
      <c r="AV152" s="406"/>
    </row>
    <row r="153" spans="1:48" s="187" customFormat="1" ht="15" customHeight="1" x14ac:dyDescent="0.25">
      <c r="A153" s="20"/>
      <c r="B153" s="243"/>
      <c r="C153" s="965">
        <v>4</v>
      </c>
      <c r="D153" s="966"/>
      <c r="E153" s="967" t="s">
        <v>205</v>
      </c>
      <c r="F153" s="968"/>
      <c r="G153" s="968"/>
      <c r="H153" s="968"/>
      <c r="I153" s="968"/>
      <c r="J153" s="968"/>
      <c r="K153" s="968"/>
      <c r="L153" s="968"/>
      <c r="M153" s="968"/>
      <c r="N153" s="968"/>
      <c r="O153" s="968"/>
      <c r="P153" s="968"/>
      <c r="Q153" s="968" t="s">
        <v>206</v>
      </c>
      <c r="R153" s="968"/>
      <c r="S153" s="968"/>
      <c r="T153" s="969"/>
      <c r="U153" s="931" t="e">
        <f t="shared" si="4"/>
        <v>#DIV/0!</v>
      </c>
      <c r="V153" s="932"/>
      <c r="W153" s="932"/>
      <c r="X153" s="932"/>
      <c r="Y153" s="932"/>
      <c r="Z153" s="932"/>
      <c r="AA153" s="933"/>
      <c r="AB153" s="934" t="e">
        <f t="shared" si="3"/>
        <v>#DIV/0!</v>
      </c>
      <c r="AC153" s="935"/>
      <c r="AD153" s="935"/>
      <c r="AE153" s="935"/>
      <c r="AF153" s="935"/>
      <c r="AG153" s="405" t="s">
        <v>26</v>
      </c>
      <c r="AH153" s="405"/>
      <c r="AI153" s="934"/>
      <c r="AJ153" s="935"/>
      <c r="AK153" s="935"/>
      <c r="AL153" s="935"/>
      <c r="AM153" s="935"/>
      <c r="AN153" s="405" t="s">
        <v>26</v>
      </c>
      <c r="AO153" s="405"/>
      <c r="AP153" s="934"/>
      <c r="AQ153" s="935"/>
      <c r="AR153" s="935"/>
      <c r="AS153" s="935"/>
      <c r="AT153" s="935"/>
      <c r="AU153" s="405" t="s">
        <v>26</v>
      </c>
      <c r="AV153" s="406"/>
    </row>
    <row r="154" spans="1:48" s="187" customFormat="1" ht="15" customHeight="1" x14ac:dyDescent="0.25">
      <c r="A154" s="20"/>
      <c r="B154" s="243"/>
      <c r="C154" s="965">
        <v>5</v>
      </c>
      <c r="D154" s="966"/>
      <c r="E154" s="967" t="s">
        <v>205</v>
      </c>
      <c r="F154" s="968"/>
      <c r="G154" s="968"/>
      <c r="H154" s="968"/>
      <c r="I154" s="968"/>
      <c r="J154" s="968"/>
      <c r="K154" s="968"/>
      <c r="L154" s="968"/>
      <c r="M154" s="968"/>
      <c r="N154" s="968"/>
      <c r="O154" s="968"/>
      <c r="P154" s="968"/>
      <c r="Q154" s="968" t="s">
        <v>206</v>
      </c>
      <c r="R154" s="968"/>
      <c r="S154" s="968"/>
      <c r="T154" s="969"/>
      <c r="U154" s="931" t="e">
        <f t="shared" si="4"/>
        <v>#DIV/0!</v>
      </c>
      <c r="V154" s="932"/>
      <c r="W154" s="932"/>
      <c r="X154" s="932"/>
      <c r="Y154" s="932"/>
      <c r="Z154" s="932"/>
      <c r="AA154" s="933"/>
      <c r="AB154" s="934" t="e">
        <f t="shared" si="3"/>
        <v>#DIV/0!</v>
      </c>
      <c r="AC154" s="935"/>
      <c r="AD154" s="935"/>
      <c r="AE154" s="935"/>
      <c r="AF154" s="935"/>
      <c r="AG154" s="405" t="s">
        <v>26</v>
      </c>
      <c r="AH154" s="405"/>
      <c r="AI154" s="934"/>
      <c r="AJ154" s="935"/>
      <c r="AK154" s="935"/>
      <c r="AL154" s="935"/>
      <c r="AM154" s="935"/>
      <c r="AN154" s="405" t="s">
        <v>26</v>
      </c>
      <c r="AO154" s="405"/>
      <c r="AP154" s="934"/>
      <c r="AQ154" s="935"/>
      <c r="AR154" s="935"/>
      <c r="AS154" s="935"/>
      <c r="AT154" s="935"/>
      <c r="AU154" s="405" t="s">
        <v>26</v>
      </c>
      <c r="AV154" s="406"/>
    </row>
    <row r="155" spans="1:48" s="187" customFormat="1" ht="15" customHeight="1" x14ac:dyDescent="0.25">
      <c r="A155" s="20"/>
      <c r="B155" s="243"/>
      <c r="C155" s="965">
        <v>6</v>
      </c>
      <c r="D155" s="966"/>
      <c r="E155" s="967" t="s">
        <v>205</v>
      </c>
      <c r="F155" s="968"/>
      <c r="G155" s="968"/>
      <c r="H155" s="968"/>
      <c r="I155" s="968"/>
      <c r="J155" s="968"/>
      <c r="K155" s="968"/>
      <c r="L155" s="968"/>
      <c r="M155" s="968"/>
      <c r="N155" s="968"/>
      <c r="O155" s="968"/>
      <c r="P155" s="968"/>
      <c r="Q155" s="968" t="s">
        <v>206</v>
      </c>
      <c r="R155" s="968"/>
      <c r="S155" s="968"/>
      <c r="T155" s="969"/>
      <c r="U155" s="931" t="e">
        <f t="shared" si="4"/>
        <v>#DIV/0!</v>
      </c>
      <c r="V155" s="932"/>
      <c r="W155" s="932"/>
      <c r="X155" s="932"/>
      <c r="Y155" s="932"/>
      <c r="Z155" s="932"/>
      <c r="AA155" s="933"/>
      <c r="AB155" s="934" t="e">
        <f t="shared" si="3"/>
        <v>#DIV/0!</v>
      </c>
      <c r="AC155" s="935"/>
      <c r="AD155" s="935"/>
      <c r="AE155" s="935"/>
      <c r="AF155" s="935"/>
      <c r="AG155" s="405" t="s">
        <v>26</v>
      </c>
      <c r="AH155" s="405"/>
      <c r="AI155" s="934"/>
      <c r="AJ155" s="935"/>
      <c r="AK155" s="935"/>
      <c r="AL155" s="935"/>
      <c r="AM155" s="935"/>
      <c r="AN155" s="405" t="s">
        <v>26</v>
      </c>
      <c r="AO155" s="405"/>
      <c r="AP155" s="934"/>
      <c r="AQ155" s="935"/>
      <c r="AR155" s="935"/>
      <c r="AS155" s="935"/>
      <c r="AT155" s="935"/>
      <c r="AU155" s="405" t="s">
        <v>26</v>
      </c>
      <c r="AV155" s="406"/>
    </row>
    <row r="156" spans="1:48" s="187" customFormat="1" ht="15" customHeight="1" x14ac:dyDescent="0.25">
      <c r="A156" s="20"/>
      <c r="B156" s="243"/>
      <c r="C156" s="965">
        <v>7</v>
      </c>
      <c r="D156" s="966"/>
      <c r="E156" s="967" t="s">
        <v>205</v>
      </c>
      <c r="F156" s="968"/>
      <c r="G156" s="968"/>
      <c r="H156" s="968"/>
      <c r="I156" s="968"/>
      <c r="J156" s="968"/>
      <c r="K156" s="968"/>
      <c r="L156" s="968"/>
      <c r="M156" s="968"/>
      <c r="N156" s="968"/>
      <c r="O156" s="968"/>
      <c r="P156" s="968"/>
      <c r="Q156" s="968" t="s">
        <v>206</v>
      </c>
      <c r="R156" s="968"/>
      <c r="S156" s="968"/>
      <c r="T156" s="969"/>
      <c r="U156" s="931" t="e">
        <f t="shared" si="4"/>
        <v>#DIV/0!</v>
      </c>
      <c r="V156" s="932"/>
      <c r="W156" s="932"/>
      <c r="X156" s="932"/>
      <c r="Y156" s="932"/>
      <c r="Z156" s="932"/>
      <c r="AA156" s="933"/>
      <c r="AB156" s="934" t="e">
        <f t="shared" si="3"/>
        <v>#DIV/0!</v>
      </c>
      <c r="AC156" s="935"/>
      <c r="AD156" s="935"/>
      <c r="AE156" s="935"/>
      <c r="AF156" s="935"/>
      <c r="AG156" s="405" t="s">
        <v>26</v>
      </c>
      <c r="AH156" s="405"/>
      <c r="AI156" s="934"/>
      <c r="AJ156" s="935"/>
      <c r="AK156" s="935"/>
      <c r="AL156" s="935"/>
      <c r="AM156" s="935"/>
      <c r="AN156" s="405" t="s">
        <v>26</v>
      </c>
      <c r="AO156" s="405"/>
      <c r="AP156" s="934"/>
      <c r="AQ156" s="935"/>
      <c r="AR156" s="935"/>
      <c r="AS156" s="935"/>
      <c r="AT156" s="935"/>
      <c r="AU156" s="405" t="s">
        <v>26</v>
      </c>
      <c r="AV156" s="406"/>
    </row>
    <row r="157" spans="1:48" s="187" customFormat="1" ht="15" customHeight="1" x14ac:dyDescent="0.25">
      <c r="A157" s="20"/>
      <c r="B157" s="243"/>
      <c r="C157" s="965">
        <v>8</v>
      </c>
      <c r="D157" s="966"/>
      <c r="E157" s="967" t="s">
        <v>205</v>
      </c>
      <c r="F157" s="968"/>
      <c r="G157" s="968"/>
      <c r="H157" s="968"/>
      <c r="I157" s="968"/>
      <c r="J157" s="968"/>
      <c r="K157" s="968"/>
      <c r="L157" s="968"/>
      <c r="M157" s="968"/>
      <c r="N157" s="968"/>
      <c r="O157" s="968"/>
      <c r="P157" s="968"/>
      <c r="Q157" s="968" t="s">
        <v>206</v>
      </c>
      <c r="R157" s="968"/>
      <c r="S157" s="968"/>
      <c r="T157" s="969"/>
      <c r="U157" s="931" t="e">
        <f>+AP157/$AP$163</f>
        <v>#DIV/0!</v>
      </c>
      <c r="V157" s="932"/>
      <c r="W157" s="932"/>
      <c r="X157" s="932"/>
      <c r="Y157" s="932"/>
      <c r="Z157" s="932"/>
      <c r="AA157" s="933"/>
      <c r="AB157" s="934" t="e">
        <f t="shared" si="3"/>
        <v>#DIV/0!</v>
      </c>
      <c r="AC157" s="935"/>
      <c r="AD157" s="935"/>
      <c r="AE157" s="935"/>
      <c r="AF157" s="935"/>
      <c r="AG157" s="405" t="s">
        <v>26</v>
      </c>
      <c r="AH157" s="405"/>
      <c r="AI157" s="934"/>
      <c r="AJ157" s="935"/>
      <c r="AK157" s="935"/>
      <c r="AL157" s="935"/>
      <c r="AM157" s="935"/>
      <c r="AN157" s="405" t="s">
        <v>26</v>
      </c>
      <c r="AO157" s="405"/>
      <c r="AP157" s="934"/>
      <c r="AQ157" s="935"/>
      <c r="AR157" s="935"/>
      <c r="AS157" s="935"/>
      <c r="AT157" s="935"/>
      <c r="AU157" s="405" t="s">
        <v>26</v>
      </c>
      <c r="AV157" s="406"/>
    </row>
    <row r="158" spans="1:48" s="187" customFormat="1" ht="15" customHeight="1" x14ac:dyDescent="0.25">
      <c r="A158" s="20"/>
      <c r="B158" s="243"/>
      <c r="C158" s="965">
        <v>9</v>
      </c>
      <c r="D158" s="966"/>
      <c r="E158" s="967" t="s">
        <v>205</v>
      </c>
      <c r="F158" s="968"/>
      <c r="G158" s="968"/>
      <c r="H158" s="968"/>
      <c r="I158" s="968"/>
      <c r="J158" s="968"/>
      <c r="K158" s="968"/>
      <c r="L158" s="968"/>
      <c r="M158" s="968"/>
      <c r="N158" s="968"/>
      <c r="O158" s="968"/>
      <c r="P158" s="968"/>
      <c r="Q158" s="968" t="s">
        <v>206</v>
      </c>
      <c r="R158" s="968"/>
      <c r="S158" s="968"/>
      <c r="T158" s="969"/>
      <c r="U158" s="931" t="e">
        <f>+AP158/$AP$163</f>
        <v>#DIV/0!</v>
      </c>
      <c r="V158" s="932"/>
      <c r="W158" s="932"/>
      <c r="X158" s="932"/>
      <c r="Y158" s="932"/>
      <c r="Z158" s="932"/>
      <c r="AA158" s="933"/>
      <c r="AB158" s="934" t="e">
        <f t="shared" si="3"/>
        <v>#DIV/0!</v>
      </c>
      <c r="AC158" s="935"/>
      <c r="AD158" s="935"/>
      <c r="AE158" s="935"/>
      <c r="AF158" s="935"/>
      <c r="AG158" s="405" t="s">
        <v>26</v>
      </c>
      <c r="AH158" s="405"/>
      <c r="AI158" s="934"/>
      <c r="AJ158" s="935"/>
      <c r="AK158" s="935"/>
      <c r="AL158" s="935"/>
      <c r="AM158" s="935"/>
      <c r="AN158" s="405" t="s">
        <v>26</v>
      </c>
      <c r="AO158" s="405"/>
      <c r="AP158" s="934"/>
      <c r="AQ158" s="935"/>
      <c r="AR158" s="935"/>
      <c r="AS158" s="935"/>
      <c r="AT158" s="935"/>
      <c r="AU158" s="405" t="s">
        <v>26</v>
      </c>
      <c r="AV158" s="406"/>
    </row>
    <row r="159" spans="1:48" s="187" customFormat="1" ht="15" customHeight="1" x14ac:dyDescent="0.25">
      <c r="A159" s="20"/>
      <c r="B159" s="243"/>
      <c r="C159" s="965">
        <v>10</v>
      </c>
      <c r="D159" s="966"/>
      <c r="E159" s="967" t="s">
        <v>205</v>
      </c>
      <c r="F159" s="968"/>
      <c r="G159" s="968"/>
      <c r="H159" s="968"/>
      <c r="I159" s="968"/>
      <c r="J159" s="968"/>
      <c r="K159" s="968"/>
      <c r="L159" s="968"/>
      <c r="M159" s="968"/>
      <c r="N159" s="968"/>
      <c r="O159" s="968"/>
      <c r="P159" s="968"/>
      <c r="Q159" s="968" t="s">
        <v>206</v>
      </c>
      <c r="R159" s="968"/>
      <c r="S159" s="968"/>
      <c r="T159" s="969"/>
      <c r="U159" s="931" t="e">
        <f t="shared" si="4"/>
        <v>#DIV/0!</v>
      </c>
      <c r="V159" s="932"/>
      <c r="W159" s="932"/>
      <c r="X159" s="932"/>
      <c r="Y159" s="932"/>
      <c r="Z159" s="932"/>
      <c r="AA159" s="933"/>
      <c r="AB159" s="934" t="e">
        <f t="shared" si="3"/>
        <v>#DIV/0!</v>
      </c>
      <c r="AC159" s="935"/>
      <c r="AD159" s="935"/>
      <c r="AE159" s="935"/>
      <c r="AF159" s="935"/>
      <c r="AG159" s="405" t="s">
        <v>26</v>
      </c>
      <c r="AH159" s="405"/>
      <c r="AI159" s="934"/>
      <c r="AJ159" s="935"/>
      <c r="AK159" s="935"/>
      <c r="AL159" s="935"/>
      <c r="AM159" s="935"/>
      <c r="AN159" s="405" t="s">
        <v>26</v>
      </c>
      <c r="AO159" s="405"/>
      <c r="AP159" s="934"/>
      <c r="AQ159" s="935"/>
      <c r="AR159" s="935"/>
      <c r="AS159" s="935"/>
      <c r="AT159" s="935"/>
      <c r="AU159" s="405" t="s">
        <v>26</v>
      </c>
      <c r="AV159" s="406"/>
    </row>
    <row r="160" spans="1:48" s="187" customFormat="1" ht="15" customHeight="1" x14ac:dyDescent="0.25">
      <c r="A160" s="20"/>
      <c r="B160" s="243"/>
      <c r="C160" s="965">
        <v>11</v>
      </c>
      <c r="D160" s="966"/>
      <c r="E160" s="967" t="s">
        <v>205</v>
      </c>
      <c r="F160" s="968"/>
      <c r="G160" s="968"/>
      <c r="H160" s="968"/>
      <c r="I160" s="968"/>
      <c r="J160" s="968"/>
      <c r="K160" s="968"/>
      <c r="L160" s="968"/>
      <c r="M160" s="968"/>
      <c r="N160" s="968"/>
      <c r="O160" s="968"/>
      <c r="P160" s="968"/>
      <c r="Q160" s="968" t="s">
        <v>206</v>
      </c>
      <c r="R160" s="968"/>
      <c r="S160" s="968"/>
      <c r="T160" s="969"/>
      <c r="U160" s="931" t="e">
        <f>+AP160/$AP$163</f>
        <v>#DIV/0!</v>
      </c>
      <c r="V160" s="932"/>
      <c r="W160" s="932"/>
      <c r="X160" s="932"/>
      <c r="Y160" s="932"/>
      <c r="Z160" s="932"/>
      <c r="AA160" s="933"/>
      <c r="AB160" s="934" t="e">
        <f t="shared" si="3"/>
        <v>#DIV/0!</v>
      </c>
      <c r="AC160" s="935"/>
      <c r="AD160" s="935"/>
      <c r="AE160" s="935"/>
      <c r="AF160" s="935"/>
      <c r="AG160" s="405" t="s">
        <v>26</v>
      </c>
      <c r="AH160" s="405"/>
      <c r="AI160" s="934"/>
      <c r="AJ160" s="935"/>
      <c r="AK160" s="935"/>
      <c r="AL160" s="935"/>
      <c r="AM160" s="935"/>
      <c r="AN160" s="405" t="s">
        <v>26</v>
      </c>
      <c r="AO160" s="405"/>
      <c r="AP160" s="934"/>
      <c r="AQ160" s="935"/>
      <c r="AR160" s="935"/>
      <c r="AS160" s="935"/>
      <c r="AT160" s="935"/>
      <c r="AU160" s="405" t="s">
        <v>26</v>
      </c>
      <c r="AV160" s="406"/>
    </row>
    <row r="161" spans="1:48" s="187" customFormat="1" ht="16.5" customHeight="1" x14ac:dyDescent="0.25">
      <c r="A161" s="20"/>
      <c r="B161" s="243"/>
      <c r="C161" s="403"/>
      <c r="D161" s="404"/>
      <c r="E161" s="407" t="s">
        <v>207</v>
      </c>
      <c r="F161" s="407"/>
      <c r="G161" s="407"/>
      <c r="H161" s="407"/>
      <c r="I161" s="407"/>
      <c r="J161" s="407"/>
      <c r="K161" s="407"/>
      <c r="L161" s="407"/>
      <c r="M161" s="407"/>
      <c r="N161" s="407"/>
      <c r="O161" s="407"/>
      <c r="P161" s="407"/>
      <c r="Q161" s="407"/>
      <c r="R161" s="407"/>
      <c r="S161" s="407"/>
      <c r="T161" s="407"/>
      <c r="U161" s="972" t="e">
        <f>SUM(U150:AA160)</f>
        <v>#DIV/0!</v>
      </c>
      <c r="V161" s="973"/>
      <c r="W161" s="973"/>
      <c r="X161" s="973"/>
      <c r="Y161" s="973"/>
      <c r="Z161" s="973"/>
      <c r="AA161" s="974"/>
      <c r="AB161" s="970" t="e">
        <f>SUM(AB150:AF160)</f>
        <v>#DIV/0!</v>
      </c>
      <c r="AC161" s="971"/>
      <c r="AD161" s="971"/>
      <c r="AE161" s="971"/>
      <c r="AF161" s="971"/>
      <c r="AG161" s="408" t="s">
        <v>26</v>
      </c>
      <c r="AH161" s="407"/>
      <c r="AI161" s="970">
        <f>SUM(AI150:AM160)</f>
        <v>0</v>
      </c>
      <c r="AJ161" s="971"/>
      <c r="AK161" s="971"/>
      <c r="AL161" s="971"/>
      <c r="AM161" s="971"/>
      <c r="AN161" s="408" t="s">
        <v>26</v>
      </c>
      <c r="AO161" s="407"/>
      <c r="AP161" s="970">
        <f>SUM(AP150:AT160)</f>
        <v>0</v>
      </c>
      <c r="AQ161" s="971"/>
      <c r="AR161" s="971"/>
      <c r="AS161" s="971"/>
      <c r="AT161" s="971"/>
      <c r="AU161" s="409" t="s">
        <v>26</v>
      </c>
      <c r="AV161" s="410"/>
    </row>
    <row r="162" spans="1:48" s="187" customFormat="1" ht="16.5" customHeight="1" x14ac:dyDescent="0.25">
      <c r="A162" s="20"/>
      <c r="B162" s="243"/>
      <c r="C162" s="965">
        <v>1</v>
      </c>
      <c r="D162" s="966"/>
      <c r="E162" s="967" t="s">
        <v>208</v>
      </c>
      <c r="F162" s="968"/>
      <c r="G162" s="968"/>
      <c r="H162" s="968"/>
      <c r="I162" s="968"/>
      <c r="J162" s="968"/>
      <c r="K162" s="968"/>
      <c r="L162" s="968"/>
      <c r="M162" s="968"/>
      <c r="N162" s="968"/>
      <c r="O162" s="968"/>
      <c r="P162" s="968"/>
      <c r="Q162" s="968"/>
      <c r="R162" s="968"/>
      <c r="S162" s="968"/>
      <c r="T162" s="969"/>
      <c r="U162" s="931" t="e">
        <f>+AP162/$AP$163</f>
        <v>#DIV/0!</v>
      </c>
      <c r="V162" s="932"/>
      <c r="W162" s="932"/>
      <c r="X162" s="932"/>
      <c r="Y162" s="932"/>
      <c r="Z162" s="932"/>
      <c r="AA162" s="933"/>
      <c r="AB162" s="934" t="e">
        <f>+AM$120/U162</f>
        <v>#DIV/0!</v>
      </c>
      <c r="AC162" s="935"/>
      <c r="AD162" s="935"/>
      <c r="AE162" s="935"/>
      <c r="AF162" s="935"/>
      <c r="AG162" s="405" t="s">
        <v>26</v>
      </c>
      <c r="AH162" s="405"/>
      <c r="AI162" s="934"/>
      <c r="AJ162" s="935"/>
      <c r="AK162" s="935"/>
      <c r="AL162" s="935"/>
      <c r="AM162" s="935"/>
      <c r="AN162" s="405" t="s">
        <v>26</v>
      </c>
      <c r="AO162" s="405"/>
      <c r="AP162" s="934"/>
      <c r="AQ162" s="935"/>
      <c r="AR162" s="935"/>
      <c r="AS162" s="935"/>
      <c r="AT162" s="935"/>
      <c r="AU162" s="405" t="s">
        <v>26</v>
      </c>
      <c r="AV162" s="406"/>
    </row>
    <row r="163" spans="1:48" s="187" customFormat="1" x14ac:dyDescent="0.25">
      <c r="A163" s="20"/>
      <c r="B163" s="243"/>
      <c r="C163" s="939">
        <v>2</v>
      </c>
      <c r="D163" s="940"/>
      <c r="E163" s="941" t="s">
        <v>208</v>
      </c>
      <c r="F163" s="942"/>
      <c r="G163" s="942"/>
      <c r="H163" s="942"/>
      <c r="I163" s="942"/>
      <c r="J163" s="942"/>
      <c r="K163" s="942"/>
      <c r="L163" s="942"/>
      <c r="M163" s="942"/>
      <c r="N163" s="942"/>
      <c r="O163" s="942"/>
      <c r="P163" s="942"/>
      <c r="Q163" s="942"/>
      <c r="R163" s="942"/>
      <c r="S163" s="942"/>
      <c r="T163" s="943"/>
      <c r="U163" s="944" t="e">
        <f>+AP163/$AP$163</f>
        <v>#DIV/0!</v>
      </c>
      <c r="V163" s="945"/>
      <c r="W163" s="945"/>
      <c r="X163" s="945"/>
      <c r="Y163" s="945"/>
      <c r="Z163" s="945"/>
      <c r="AA163" s="946"/>
      <c r="AB163" s="947" t="e">
        <f>+AM$120/U163</f>
        <v>#DIV/0!</v>
      </c>
      <c r="AC163" s="948"/>
      <c r="AD163" s="948"/>
      <c r="AE163" s="948"/>
      <c r="AF163" s="948"/>
      <c r="AG163" s="476" t="s">
        <v>26</v>
      </c>
      <c r="AH163" s="476"/>
      <c r="AI163" s="947"/>
      <c r="AJ163" s="948"/>
      <c r="AK163" s="948"/>
      <c r="AL163" s="948"/>
      <c r="AM163" s="948"/>
      <c r="AN163" s="476" t="s">
        <v>26</v>
      </c>
      <c r="AO163" s="476"/>
      <c r="AP163" s="947"/>
      <c r="AQ163" s="948"/>
      <c r="AR163" s="948"/>
      <c r="AS163" s="948"/>
      <c r="AT163" s="948"/>
      <c r="AU163" s="405" t="s">
        <v>26</v>
      </c>
      <c r="AV163" s="406"/>
    </row>
    <row r="164" spans="1:48" s="187" customFormat="1" ht="16.5" customHeight="1" thickBot="1" x14ac:dyDescent="0.3">
      <c r="A164" s="20"/>
      <c r="B164" s="243"/>
      <c r="C164" s="403"/>
      <c r="D164" s="404"/>
      <c r="E164" s="407" t="s">
        <v>209</v>
      </c>
      <c r="F164" s="407"/>
      <c r="G164" s="407"/>
      <c r="H164" s="407"/>
      <c r="I164" s="407"/>
      <c r="J164" s="407"/>
      <c r="K164" s="407"/>
      <c r="L164" s="407"/>
      <c r="M164" s="407"/>
      <c r="N164" s="407"/>
      <c r="O164" s="407"/>
      <c r="P164" s="407"/>
      <c r="Q164" s="407"/>
      <c r="R164" s="407"/>
      <c r="S164" s="407"/>
      <c r="T164" s="407"/>
      <c r="U164" s="977" t="e">
        <f>SUM(U162:AA163)</f>
        <v>#DIV/0!</v>
      </c>
      <c r="V164" s="978"/>
      <c r="W164" s="978"/>
      <c r="X164" s="978"/>
      <c r="Y164" s="978"/>
      <c r="Z164" s="978"/>
      <c r="AA164" s="979"/>
      <c r="AB164" s="970" t="e">
        <f>SUM(AB162:AF163)</f>
        <v>#DIV/0!</v>
      </c>
      <c r="AC164" s="971"/>
      <c r="AD164" s="971"/>
      <c r="AE164" s="971"/>
      <c r="AF164" s="971"/>
      <c r="AG164" s="408" t="s">
        <v>26</v>
      </c>
      <c r="AH164" s="407"/>
      <c r="AI164" s="970">
        <f>SUM(AI162:AM163)</f>
        <v>0</v>
      </c>
      <c r="AJ164" s="971"/>
      <c r="AK164" s="971"/>
      <c r="AL164" s="971"/>
      <c r="AM164" s="971"/>
      <c r="AN164" s="408" t="s">
        <v>26</v>
      </c>
      <c r="AO164" s="407"/>
      <c r="AP164" s="970">
        <f>SUM(AP162:AT163)</f>
        <v>0</v>
      </c>
      <c r="AQ164" s="971"/>
      <c r="AR164" s="971"/>
      <c r="AS164" s="971"/>
      <c r="AT164" s="971"/>
      <c r="AU164" s="409" t="s">
        <v>26</v>
      </c>
      <c r="AV164" s="410"/>
    </row>
    <row r="165" spans="1:48" s="187" customFormat="1" ht="16.5" customHeight="1" thickBot="1" x14ac:dyDescent="0.3">
      <c r="A165" s="20"/>
      <c r="B165" s="243"/>
      <c r="C165" s="411" t="s">
        <v>210</v>
      </c>
      <c r="D165" s="412"/>
      <c r="E165" s="412"/>
      <c r="F165" s="412"/>
      <c r="G165" s="412"/>
      <c r="H165" s="412"/>
      <c r="I165" s="412"/>
      <c r="J165" s="412"/>
      <c r="K165" s="412"/>
      <c r="L165" s="412"/>
      <c r="M165" s="412"/>
      <c r="N165" s="412"/>
      <c r="O165" s="412"/>
      <c r="P165" s="412"/>
      <c r="Q165" s="412"/>
      <c r="R165" s="412"/>
      <c r="S165" s="412"/>
      <c r="T165" s="412"/>
      <c r="U165" s="936" t="e">
        <f>+U149+U161+U164</f>
        <v>#DIV/0!</v>
      </c>
      <c r="V165" s="937"/>
      <c r="W165" s="937"/>
      <c r="X165" s="937"/>
      <c r="Y165" s="937"/>
      <c r="Z165" s="937"/>
      <c r="AA165" s="938"/>
      <c r="AB165" s="975" t="e">
        <f>+AB149+AB161+AB164</f>
        <v>#DIV/0!</v>
      </c>
      <c r="AC165" s="976"/>
      <c r="AD165" s="976"/>
      <c r="AE165" s="976"/>
      <c r="AF165" s="976"/>
      <c r="AG165" s="413" t="str">
        <f>+AG161</f>
        <v>m2</v>
      </c>
      <c r="AH165" s="412"/>
      <c r="AI165" s="975">
        <f>+AI149+AI161+AI164</f>
        <v>0</v>
      </c>
      <c r="AJ165" s="976"/>
      <c r="AK165" s="976"/>
      <c r="AL165" s="976"/>
      <c r="AM165" s="976"/>
      <c r="AN165" s="413" t="str">
        <f>+AN161</f>
        <v>m2</v>
      </c>
      <c r="AO165" s="412"/>
      <c r="AP165" s="975">
        <f>+AP149+AP161+AP164</f>
        <v>0</v>
      </c>
      <c r="AQ165" s="976"/>
      <c r="AR165" s="976"/>
      <c r="AS165" s="976"/>
      <c r="AT165" s="976"/>
      <c r="AU165" s="413" t="str">
        <f>+AU149</f>
        <v>m2</v>
      </c>
      <c r="AV165" s="414"/>
    </row>
    <row r="166" spans="1:48" s="187" customFormat="1" ht="21" customHeight="1" x14ac:dyDescent="0.25">
      <c r="A166" s="574">
        <f>+A140+1</f>
        <v>11</v>
      </c>
      <c r="B166" s="574"/>
      <c r="C166" s="17" t="s">
        <v>114</v>
      </c>
      <c r="D166" s="17"/>
      <c r="U166" s="193"/>
      <c r="V166" s="193"/>
      <c r="W166" s="193"/>
      <c r="X166" s="193"/>
      <c r="Y166" s="193"/>
      <c r="Z166" s="193"/>
      <c r="AA166" s="193"/>
      <c r="AB166" s="193"/>
      <c r="AC166" s="193"/>
      <c r="AD166" s="193"/>
    </row>
    <row r="167" spans="1:48" s="187" customFormat="1" ht="4.5" customHeight="1" x14ac:dyDescent="0.25">
      <c r="A167" s="20"/>
      <c r="B167" s="243"/>
      <c r="U167" s="193"/>
      <c r="V167" s="193"/>
      <c r="W167" s="193"/>
      <c r="X167" s="193"/>
      <c r="Y167" s="193"/>
      <c r="Z167" s="193"/>
      <c r="AA167" s="193"/>
      <c r="AB167" s="193"/>
      <c r="AC167" s="193"/>
      <c r="AD167" s="193"/>
    </row>
    <row r="168" spans="1:48" s="187" customFormat="1" ht="20.25" customHeight="1" x14ac:dyDescent="0.25">
      <c r="C168" s="910"/>
      <c r="D168" s="911"/>
      <c r="E168" s="911"/>
      <c r="F168" s="911"/>
      <c r="G168" s="911"/>
      <c r="H168" s="911"/>
      <c r="I168" s="911"/>
      <c r="J168" s="911"/>
      <c r="K168" s="911"/>
      <c r="L168" s="911"/>
      <c r="M168" s="911"/>
      <c r="N168" s="911"/>
      <c r="O168" s="911"/>
      <c r="P168" s="911"/>
      <c r="Q168" s="911"/>
      <c r="R168" s="911"/>
      <c r="S168" s="911"/>
      <c r="T168" s="911"/>
      <c r="U168" s="911"/>
      <c r="V168" s="911"/>
      <c r="W168" s="911"/>
      <c r="X168" s="911"/>
      <c r="Y168" s="911"/>
      <c r="Z168" s="911"/>
      <c r="AA168" s="911"/>
      <c r="AB168" s="911"/>
      <c r="AC168" s="911"/>
      <c r="AD168" s="911"/>
      <c r="AE168" s="911"/>
      <c r="AF168" s="911"/>
      <c r="AG168" s="911"/>
      <c r="AH168" s="911"/>
      <c r="AI168" s="911"/>
      <c r="AJ168" s="911"/>
      <c r="AK168" s="911"/>
      <c r="AL168" s="912"/>
      <c r="AM168" s="529" t="s">
        <v>115</v>
      </c>
      <c r="AN168" s="530"/>
      <c r="AO168" s="530"/>
      <c r="AP168" s="530"/>
      <c r="AQ168" s="530"/>
      <c r="AR168" s="530"/>
      <c r="AS168" s="530"/>
      <c r="AT168" s="530"/>
      <c r="AU168" s="530"/>
      <c r="AV168" s="531"/>
    </row>
    <row r="169" spans="1:48" s="187" customFormat="1" ht="20.25" customHeight="1" x14ac:dyDescent="0.25">
      <c r="C169" s="913"/>
      <c r="D169" s="914"/>
      <c r="E169" s="914"/>
      <c r="F169" s="914"/>
      <c r="G169" s="914"/>
      <c r="H169" s="914"/>
      <c r="I169" s="914"/>
      <c r="J169" s="914"/>
      <c r="K169" s="914"/>
      <c r="L169" s="914"/>
      <c r="M169" s="914"/>
      <c r="N169" s="914"/>
      <c r="O169" s="914"/>
      <c r="P169" s="914"/>
      <c r="Q169" s="914"/>
      <c r="R169" s="914"/>
      <c r="S169" s="914"/>
      <c r="T169" s="914"/>
      <c r="U169" s="914"/>
      <c r="V169" s="914"/>
      <c r="W169" s="914"/>
      <c r="X169" s="914"/>
      <c r="Y169" s="914"/>
      <c r="Z169" s="914"/>
      <c r="AA169" s="914"/>
      <c r="AB169" s="914"/>
      <c r="AC169" s="914"/>
      <c r="AD169" s="914"/>
      <c r="AE169" s="914"/>
      <c r="AF169" s="914"/>
      <c r="AG169" s="914"/>
      <c r="AH169" s="914"/>
      <c r="AI169" s="914"/>
      <c r="AJ169" s="914"/>
      <c r="AK169" s="914"/>
      <c r="AL169" s="915"/>
      <c r="AM169" s="529"/>
      <c r="AN169" s="530"/>
      <c r="AO169" s="530"/>
      <c r="AP169" s="530"/>
      <c r="AQ169" s="894"/>
      <c r="AR169" s="530"/>
      <c r="AS169" s="530"/>
      <c r="AT169" s="530"/>
      <c r="AU169" s="530"/>
      <c r="AV169" s="531"/>
    </row>
    <row r="170" spans="1:48" s="187" customFormat="1" ht="14.25" customHeight="1" x14ac:dyDescent="0.25">
      <c r="A170" s="20"/>
      <c r="B170" s="243"/>
      <c r="C170" s="795" t="s">
        <v>116</v>
      </c>
      <c r="D170" s="796"/>
      <c r="E170" s="796"/>
      <c r="F170" s="796"/>
      <c r="G170" s="796"/>
      <c r="H170" s="796"/>
      <c r="I170" s="796"/>
      <c r="J170" s="796"/>
      <c r="K170" s="796"/>
      <c r="L170" s="796"/>
      <c r="M170" s="796"/>
      <c r="N170" s="796"/>
      <c r="O170" s="796"/>
      <c r="P170" s="796"/>
      <c r="Q170" s="796"/>
      <c r="R170" s="796"/>
      <c r="S170" s="796"/>
      <c r="T170" s="796"/>
      <c r="U170" s="796"/>
      <c r="V170" s="796"/>
      <c r="W170" s="796"/>
      <c r="X170" s="796"/>
      <c r="Y170" s="796"/>
      <c r="Z170" s="796"/>
      <c r="AA170" s="796"/>
      <c r="AB170" s="796"/>
      <c r="AC170" s="796"/>
      <c r="AD170" s="796"/>
      <c r="AE170" s="796"/>
      <c r="AF170" s="796"/>
      <c r="AG170" s="796"/>
      <c r="AH170" s="796"/>
      <c r="AI170" s="796"/>
      <c r="AJ170" s="796"/>
      <c r="AK170" s="796"/>
      <c r="AL170" s="797"/>
      <c r="AM170" s="527"/>
      <c r="AN170" s="527"/>
      <c r="AO170" s="528"/>
      <c r="AP170" s="528"/>
      <c r="AQ170" s="528"/>
      <c r="AR170" s="576"/>
      <c r="AS170" s="577"/>
      <c r="AT170" s="578"/>
      <c r="AU170" s="578"/>
      <c r="AV170" s="579"/>
    </row>
    <row r="171" spans="1:48" s="187" customFormat="1" ht="30" customHeight="1" x14ac:dyDescent="0.25">
      <c r="A171" s="20"/>
      <c r="B171" s="243"/>
      <c r="C171" s="792"/>
      <c r="D171" s="793"/>
      <c r="E171" s="793"/>
      <c r="F171" s="793"/>
      <c r="G171" s="793"/>
      <c r="H171" s="793"/>
      <c r="I171" s="793"/>
      <c r="J171" s="793"/>
      <c r="K171" s="793"/>
      <c r="L171" s="793"/>
      <c r="M171" s="793"/>
      <c r="N171" s="793"/>
      <c r="O171" s="793"/>
      <c r="P171" s="793"/>
      <c r="Q171" s="793"/>
      <c r="R171" s="793"/>
      <c r="S171" s="793"/>
      <c r="T171" s="793"/>
      <c r="U171" s="793"/>
      <c r="V171" s="793"/>
      <c r="W171" s="793"/>
      <c r="X171" s="793"/>
      <c r="Y171" s="793"/>
      <c r="Z171" s="793"/>
      <c r="AA171" s="793"/>
      <c r="AB171" s="793"/>
      <c r="AC171" s="793"/>
      <c r="AD171" s="793"/>
      <c r="AE171" s="793"/>
      <c r="AF171" s="793"/>
      <c r="AG171" s="793"/>
      <c r="AH171" s="793"/>
      <c r="AI171" s="793"/>
      <c r="AJ171" s="793"/>
      <c r="AK171" s="793"/>
      <c r="AL171" s="794"/>
      <c r="AM171" s="527"/>
      <c r="AN171" s="527"/>
      <c r="AO171" s="528"/>
      <c r="AP171" s="528"/>
      <c r="AQ171" s="528"/>
      <c r="AR171" s="598"/>
      <c r="AS171" s="599"/>
      <c r="AT171" s="600"/>
      <c r="AU171" s="600"/>
      <c r="AV171" s="601"/>
    </row>
    <row r="172" spans="1:48" s="187" customFormat="1" ht="15" customHeight="1" x14ac:dyDescent="0.25">
      <c r="A172" s="20"/>
      <c r="B172" s="243"/>
      <c r="C172" s="795" t="s">
        <v>117</v>
      </c>
      <c r="D172" s="796"/>
      <c r="E172" s="796"/>
      <c r="F172" s="796"/>
      <c r="G172" s="796"/>
      <c r="H172" s="796"/>
      <c r="I172" s="796"/>
      <c r="J172" s="796"/>
      <c r="K172" s="796"/>
      <c r="L172" s="796"/>
      <c r="M172" s="796"/>
      <c r="N172" s="796"/>
      <c r="O172" s="796"/>
      <c r="P172" s="796"/>
      <c r="Q172" s="796"/>
      <c r="R172" s="796"/>
      <c r="S172" s="796"/>
      <c r="T172" s="796"/>
      <c r="U172" s="796"/>
      <c r="V172" s="796"/>
      <c r="W172" s="796"/>
      <c r="X172" s="796"/>
      <c r="Y172" s="796"/>
      <c r="Z172" s="796"/>
      <c r="AA172" s="796"/>
      <c r="AB172" s="796"/>
      <c r="AC172" s="796"/>
      <c r="AD172" s="796"/>
      <c r="AE172" s="796"/>
      <c r="AF172" s="796"/>
      <c r="AG172" s="796"/>
      <c r="AH172" s="796"/>
      <c r="AI172" s="796"/>
      <c r="AJ172" s="796"/>
      <c r="AK172" s="796"/>
      <c r="AL172" s="797"/>
      <c r="AM172" s="527"/>
      <c r="AN172" s="527"/>
      <c r="AO172" s="528"/>
      <c r="AP172" s="528"/>
      <c r="AQ172" s="528"/>
      <c r="AR172" s="580"/>
      <c r="AS172" s="581"/>
      <c r="AT172" s="582"/>
      <c r="AU172" s="582"/>
      <c r="AV172" s="583"/>
    </row>
    <row r="173" spans="1:48" s="187" customFormat="1" ht="27" customHeight="1" x14ac:dyDescent="0.25">
      <c r="A173" s="20"/>
      <c r="B173" s="243"/>
      <c r="C173" s="792"/>
      <c r="D173" s="793"/>
      <c r="E173" s="793"/>
      <c r="F173" s="793"/>
      <c r="G173" s="793"/>
      <c r="H173" s="793"/>
      <c r="I173" s="793"/>
      <c r="J173" s="793"/>
      <c r="K173" s="793"/>
      <c r="L173" s="793"/>
      <c r="M173" s="793"/>
      <c r="N173" s="793"/>
      <c r="O173" s="793"/>
      <c r="P173" s="793"/>
      <c r="Q173" s="793"/>
      <c r="R173" s="793"/>
      <c r="S173" s="793"/>
      <c r="T173" s="793"/>
      <c r="U173" s="793"/>
      <c r="V173" s="793"/>
      <c r="W173" s="793"/>
      <c r="X173" s="793"/>
      <c r="Y173" s="793"/>
      <c r="Z173" s="793"/>
      <c r="AA173" s="793"/>
      <c r="AB173" s="793"/>
      <c r="AC173" s="793"/>
      <c r="AD173" s="793"/>
      <c r="AE173" s="793"/>
      <c r="AF173" s="793"/>
      <c r="AG173" s="793"/>
      <c r="AH173" s="793"/>
      <c r="AI173" s="793"/>
      <c r="AJ173" s="793"/>
      <c r="AK173" s="793"/>
      <c r="AL173" s="794"/>
      <c r="AM173" s="527"/>
      <c r="AN173" s="527"/>
      <c r="AO173" s="528"/>
      <c r="AP173" s="528"/>
      <c r="AQ173" s="528"/>
      <c r="AR173" s="598"/>
      <c r="AS173" s="599"/>
      <c r="AT173" s="600"/>
      <c r="AU173" s="600"/>
      <c r="AV173" s="601"/>
    </row>
    <row r="174" spans="1:48" s="187" customFormat="1" ht="15" customHeight="1" x14ac:dyDescent="0.25">
      <c r="A174" s="20"/>
      <c r="B174" s="243"/>
      <c r="C174" s="795" t="s">
        <v>118</v>
      </c>
      <c r="D174" s="796"/>
      <c r="E174" s="796"/>
      <c r="F174" s="796"/>
      <c r="G174" s="796"/>
      <c r="H174" s="796"/>
      <c r="I174" s="796"/>
      <c r="J174" s="796"/>
      <c r="K174" s="796"/>
      <c r="L174" s="796"/>
      <c r="M174" s="796"/>
      <c r="N174" s="796"/>
      <c r="O174" s="796"/>
      <c r="P174" s="796"/>
      <c r="Q174" s="796"/>
      <c r="R174" s="796"/>
      <c r="S174" s="796"/>
      <c r="T174" s="796"/>
      <c r="U174" s="796"/>
      <c r="V174" s="796"/>
      <c r="W174" s="796"/>
      <c r="X174" s="796"/>
      <c r="Y174" s="796"/>
      <c r="Z174" s="796"/>
      <c r="AA174" s="796"/>
      <c r="AB174" s="796"/>
      <c r="AC174" s="796"/>
      <c r="AD174" s="796"/>
      <c r="AE174" s="796"/>
      <c r="AF174" s="796"/>
      <c r="AG174" s="796"/>
      <c r="AH174" s="796"/>
      <c r="AI174" s="796"/>
      <c r="AJ174" s="796"/>
      <c r="AK174" s="796"/>
      <c r="AL174" s="797"/>
      <c r="AM174" s="527"/>
      <c r="AN174" s="527"/>
      <c r="AO174" s="528"/>
      <c r="AP174" s="528"/>
      <c r="AQ174" s="528"/>
      <c r="AR174" s="576"/>
      <c r="AS174" s="577"/>
      <c r="AT174" s="578"/>
      <c r="AU174" s="578"/>
      <c r="AV174" s="579"/>
    </row>
    <row r="175" spans="1:48" s="187" customFormat="1" ht="22.5" customHeight="1" x14ac:dyDescent="0.25">
      <c r="A175" s="20"/>
      <c r="B175" s="243"/>
      <c r="C175" s="792"/>
      <c r="D175" s="793"/>
      <c r="E175" s="793"/>
      <c r="F175" s="793"/>
      <c r="G175" s="793"/>
      <c r="H175" s="793"/>
      <c r="I175" s="793"/>
      <c r="J175" s="793"/>
      <c r="K175" s="793"/>
      <c r="L175" s="793"/>
      <c r="M175" s="793"/>
      <c r="N175" s="793"/>
      <c r="O175" s="793"/>
      <c r="P175" s="793"/>
      <c r="Q175" s="793"/>
      <c r="R175" s="793"/>
      <c r="S175" s="793"/>
      <c r="T175" s="793"/>
      <c r="U175" s="793"/>
      <c r="V175" s="793"/>
      <c r="W175" s="793"/>
      <c r="X175" s="793"/>
      <c r="Y175" s="793"/>
      <c r="Z175" s="793"/>
      <c r="AA175" s="793"/>
      <c r="AB175" s="793"/>
      <c r="AC175" s="793"/>
      <c r="AD175" s="793"/>
      <c r="AE175" s="793"/>
      <c r="AF175" s="793"/>
      <c r="AG175" s="793"/>
      <c r="AH175" s="793"/>
      <c r="AI175" s="793"/>
      <c r="AJ175" s="793"/>
      <c r="AK175" s="793"/>
      <c r="AL175" s="794"/>
      <c r="AM175" s="527"/>
      <c r="AN175" s="527"/>
      <c r="AO175" s="528"/>
      <c r="AP175" s="528"/>
      <c r="AQ175" s="528"/>
      <c r="AR175" s="598"/>
      <c r="AS175" s="599"/>
      <c r="AT175" s="600"/>
      <c r="AU175" s="600"/>
      <c r="AV175" s="601"/>
    </row>
    <row r="176" spans="1:48" s="187" customFormat="1" ht="15" customHeight="1" x14ac:dyDescent="0.25">
      <c r="A176" s="20"/>
      <c r="B176" s="243"/>
      <c r="C176" s="795" t="s">
        <v>119</v>
      </c>
      <c r="D176" s="796"/>
      <c r="E176" s="796"/>
      <c r="F176" s="796"/>
      <c r="G176" s="796"/>
      <c r="H176" s="796"/>
      <c r="I176" s="796"/>
      <c r="J176" s="796"/>
      <c r="K176" s="796"/>
      <c r="L176" s="796"/>
      <c r="M176" s="796"/>
      <c r="N176" s="796"/>
      <c r="O176" s="796"/>
      <c r="P176" s="796"/>
      <c r="Q176" s="796"/>
      <c r="R176" s="796"/>
      <c r="S176" s="796"/>
      <c r="T176" s="796"/>
      <c r="U176" s="796"/>
      <c r="V176" s="796"/>
      <c r="W176" s="796"/>
      <c r="X176" s="796"/>
      <c r="Y176" s="796"/>
      <c r="Z176" s="796"/>
      <c r="AA176" s="796"/>
      <c r="AB176" s="796"/>
      <c r="AC176" s="796"/>
      <c r="AD176" s="796"/>
      <c r="AE176" s="796"/>
      <c r="AF176" s="796"/>
      <c r="AG176" s="796"/>
      <c r="AH176" s="796"/>
      <c r="AI176" s="796"/>
      <c r="AJ176" s="796"/>
      <c r="AK176" s="796"/>
      <c r="AL176" s="797"/>
      <c r="AM176" s="527"/>
      <c r="AN176" s="527"/>
      <c r="AO176" s="528"/>
      <c r="AP176" s="528"/>
      <c r="AQ176" s="528"/>
      <c r="AR176" s="576"/>
      <c r="AS176" s="577"/>
      <c r="AT176" s="578"/>
      <c r="AU176" s="578"/>
      <c r="AV176" s="579"/>
    </row>
    <row r="177" spans="1:48" s="187" customFormat="1" ht="25.5" customHeight="1" x14ac:dyDescent="0.25">
      <c r="A177" s="20"/>
      <c r="B177" s="243"/>
      <c r="C177" s="792"/>
      <c r="D177" s="793"/>
      <c r="E177" s="793"/>
      <c r="F177" s="793"/>
      <c r="G177" s="793"/>
      <c r="H177" s="793"/>
      <c r="I177" s="793"/>
      <c r="J177" s="793"/>
      <c r="K177" s="793"/>
      <c r="L177" s="793"/>
      <c r="M177" s="793"/>
      <c r="N177" s="793"/>
      <c r="O177" s="793"/>
      <c r="P177" s="793"/>
      <c r="Q177" s="793"/>
      <c r="R177" s="793"/>
      <c r="S177" s="793"/>
      <c r="T177" s="793"/>
      <c r="U177" s="793"/>
      <c r="V177" s="793"/>
      <c r="W177" s="793"/>
      <c r="X177" s="793"/>
      <c r="Y177" s="793"/>
      <c r="Z177" s="793"/>
      <c r="AA177" s="793"/>
      <c r="AB177" s="793"/>
      <c r="AC177" s="793"/>
      <c r="AD177" s="793"/>
      <c r="AE177" s="793"/>
      <c r="AF177" s="793"/>
      <c r="AG177" s="793"/>
      <c r="AH177" s="793"/>
      <c r="AI177" s="793"/>
      <c r="AJ177" s="793"/>
      <c r="AK177" s="793"/>
      <c r="AL177" s="794"/>
      <c r="AM177" s="527"/>
      <c r="AN177" s="527"/>
      <c r="AO177" s="528"/>
      <c r="AP177" s="528"/>
      <c r="AQ177" s="528"/>
      <c r="AR177" s="598"/>
      <c r="AS177" s="599"/>
      <c r="AT177" s="600"/>
      <c r="AU177" s="600"/>
      <c r="AV177" s="601"/>
    </row>
    <row r="178" spans="1:48" s="187" customFormat="1" ht="15" customHeight="1" x14ac:dyDescent="0.25">
      <c r="A178" s="20"/>
      <c r="B178" s="243"/>
      <c r="C178" s="795" t="s">
        <v>120</v>
      </c>
      <c r="D178" s="796"/>
      <c r="E178" s="796"/>
      <c r="F178" s="796"/>
      <c r="G178" s="796"/>
      <c r="H178" s="796"/>
      <c r="I178" s="796"/>
      <c r="J178" s="796"/>
      <c r="K178" s="796"/>
      <c r="L178" s="796"/>
      <c r="M178" s="796"/>
      <c r="N178" s="796"/>
      <c r="O178" s="796"/>
      <c r="P178" s="796"/>
      <c r="Q178" s="796"/>
      <c r="R178" s="796"/>
      <c r="S178" s="796"/>
      <c r="T178" s="796"/>
      <c r="U178" s="796"/>
      <c r="V178" s="796"/>
      <c r="W178" s="796"/>
      <c r="X178" s="796"/>
      <c r="Y178" s="796"/>
      <c r="Z178" s="796"/>
      <c r="AA178" s="796"/>
      <c r="AB178" s="796"/>
      <c r="AC178" s="796"/>
      <c r="AD178" s="796"/>
      <c r="AE178" s="796"/>
      <c r="AF178" s="796"/>
      <c r="AG178" s="796"/>
      <c r="AH178" s="796"/>
      <c r="AI178" s="796"/>
      <c r="AJ178" s="796"/>
      <c r="AK178" s="796"/>
      <c r="AL178" s="797"/>
      <c r="AM178" s="527"/>
      <c r="AN178" s="527"/>
      <c r="AO178" s="528"/>
      <c r="AP178" s="528"/>
      <c r="AQ178" s="528"/>
      <c r="AR178" s="576"/>
      <c r="AS178" s="577"/>
      <c r="AT178" s="578"/>
      <c r="AU178" s="578"/>
      <c r="AV178" s="579"/>
    </row>
    <row r="179" spans="1:48" s="187" customFormat="1" ht="23.25" customHeight="1" x14ac:dyDescent="0.25">
      <c r="A179" s="20"/>
      <c r="B179" s="243"/>
      <c r="C179" s="792"/>
      <c r="D179" s="793"/>
      <c r="E179" s="793"/>
      <c r="F179" s="793"/>
      <c r="G179" s="793"/>
      <c r="H179" s="793"/>
      <c r="I179" s="793"/>
      <c r="J179" s="793"/>
      <c r="K179" s="793"/>
      <c r="L179" s="793"/>
      <c r="M179" s="793"/>
      <c r="N179" s="793"/>
      <c r="O179" s="793"/>
      <c r="P179" s="793"/>
      <c r="Q179" s="793"/>
      <c r="R179" s="793"/>
      <c r="S179" s="793"/>
      <c r="T179" s="793"/>
      <c r="U179" s="793"/>
      <c r="V179" s="793"/>
      <c r="W179" s="793"/>
      <c r="X179" s="793"/>
      <c r="Y179" s="793"/>
      <c r="Z179" s="793"/>
      <c r="AA179" s="793"/>
      <c r="AB179" s="793"/>
      <c r="AC179" s="793"/>
      <c r="AD179" s="793"/>
      <c r="AE179" s="793"/>
      <c r="AF179" s="793"/>
      <c r="AG179" s="793"/>
      <c r="AH179" s="793"/>
      <c r="AI179" s="793"/>
      <c r="AJ179" s="793"/>
      <c r="AK179" s="793"/>
      <c r="AL179" s="794"/>
      <c r="AM179" s="527"/>
      <c r="AN179" s="527"/>
      <c r="AO179" s="528"/>
      <c r="AP179" s="528"/>
      <c r="AQ179" s="528"/>
      <c r="AR179" s="598"/>
      <c r="AS179" s="599"/>
      <c r="AT179" s="600"/>
      <c r="AU179" s="600"/>
      <c r="AV179" s="601"/>
    </row>
    <row r="180" spans="1:48" s="187" customFormat="1" ht="15" customHeight="1" x14ac:dyDescent="0.25">
      <c r="A180" s="20"/>
      <c r="B180" s="243"/>
      <c r="C180" s="795" t="s">
        <v>121</v>
      </c>
      <c r="D180" s="796"/>
      <c r="E180" s="796"/>
      <c r="F180" s="796"/>
      <c r="G180" s="796"/>
      <c r="H180" s="796"/>
      <c r="I180" s="796"/>
      <c r="J180" s="796"/>
      <c r="K180" s="796"/>
      <c r="L180" s="796"/>
      <c r="M180" s="796"/>
      <c r="N180" s="796"/>
      <c r="O180" s="796"/>
      <c r="P180" s="796"/>
      <c r="Q180" s="796"/>
      <c r="R180" s="796"/>
      <c r="S180" s="796"/>
      <c r="T180" s="796"/>
      <c r="U180" s="796"/>
      <c r="V180" s="796"/>
      <c r="W180" s="796"/>
      <c r="X180" s="796"/>
      <c r="Y180" s="796"/>
      <c r="Z180" s="796"/>
      <c r="AA180" s="796"/>
      <c r="AB180" s="796"/>
      <c r="AC180" s="796"/>
      <c r="AD180" s="796"/>
      <c r="AE180" s="796"/>
      <c r="AF180" s="796"/>
      <c r="AG180" s="796"/>
      <c r="AH180" s="796"/>
      <c r="AI180" s="796"/>
      <c r="AJ180" s="796"/>
      <c r="AK180" s="796"/>
      <c r="AL180" s="797"/>
      <c r="AM180" s="527"/>
      <c r="AN180" s="527"/>
      <c r="AO180" s="528"/>
      <c r="AP180" s="528"/>
      <c r="AQ180" s="528"/>
      <c r="AR180" s="576"/>
      <c r="AS180" s="577"/>
      <c r="AT180" s="578"/>
      <c r="AU180" s="578"/>
      <c r="AV180" s="579"/>
    </row>
    <row r="181" spans="1:48" s="187" customFormat="1" ht="21.75" customHeight="1" x14ac:dyDescent="0.25">
      <c r="A181" s="20"/>
      <c r="B181" s="243"/>
      <c r="C181" s="792"/>
      <c r="D181" s="793"/>
      <c r="E181" s="793"/>
      <c r="F181" s="793"/>
      <c r="G181" s="793"/>
      <c r="H181" s="793"/>
      <c r="I181" s="793"/>
      <c r="J181" s="793"/>
      <c r="K181" s="793"/>
      <c r="L181" s="793"/>
      <c r="M181" s="793"/>
      <c r="N181" s="793"/>
      <c r="O181" s="793"/>
      <c r="P181" s="793"/>
      <c r="Q181" s="793"/>
      <c r="R181" s="793"/>
      <c r="S181" s="793"/>
      <c r="T181" s="793"/>
      <c r="U181" s="793"/>
      <c r="V181" s="793"/>
      <c r="W181" s="793"/>
      <c r="X181" s="793"/>
      <c r="Y181" s="793"/>
      <c r="Z181" s="793"/>
      <c r="AA181" s="793"/>
      <c r="AB181" s="793"/>
      <c r="AC181" s="793"/>
      <c r="AD181" s="793"/>
      <c r="AE181" s="793"/>
      <c r="AF181" s="793"/>
      <c r="AG181" s="793"/>
      <c r="AH181" s="793"/>
      <c r="AI181" s="793"/>
      <c r="AJ181" s="793"/>
      <c r="AK181" s="793"/>
      <c r="AL181" s="794"/>
      <c r="AM181" s="527"/>
      <c r="AN181" s="527"/>
      <c r="AO181" s="528"/>
      <c r="AP181" s="528"/>
      <c r="AQ181" s="528"/>
      <c r="AR181" s="580"/>
      <c r="AS181" s="581"/>
      <c r="AT181" s="582"/>
      <c r="AU181" s="582"/>
      <c r="AV181" s="583"/>
    </row>
    <row r="182" spans="1:48" s="187" customFormat="1" ht="15" customHeight="1" x14ac:dyDescent="0.25">
      <c r="A182" s="20"/>
      <c r="B182" s="243"/>
      <c r="C182" s="795" t="s">
        <v>122</v>
      </c>
      <c r="D182" s="796"/>
      <c r="E182" s="796"/>
      <c r="F182" s="796"/>
      <c r="G182" s="796"/>
      <c r="H182" s="796"/>
      <c r="I182" s="796"/>
      <c r="J182" s="796"/>
      <c r="K182" s="796"/>
      <c r="L182" s="796"/>
      <c r="M182" s="796"/>
      <c r="N182" s="796"/>
      <c r="O182" s="796"/>
      <c r="P182" s="796"/>
      <c r="Q182" s="796"/>
      <c r="R182" s="796"/>
      <c r="S182" s="796"/>
      <c r="T182" s="796"/>
      <c r="U182" s="796"/>
      <c r="V182" s="796"/>
      <c r="W182" s="796"/>
      <c r="X182" s="796"/>
      <c r="Y182" s="796"/>
      <c r="Z182" s="796"/>
      <c r="AA182" s="796"/>
      <c r="AB182" s="796"/>
      <c r="AC182" s="796"/>
      <c r="AD182" s="796"/>
      <c r="AE182" s="796"/>
      <c r="AF182" s="796"/>
      <c r="AG182" s="796"/>
      <c r="AH182" s="796"/>
      <c r="AI182" s="796"/>
      <c r="AJ182" s="796"/>
      <c r="AK182" s="796"/>
      <c r="AL182" s="797"/>
      <c r="AM182" s="527"/>
      <c r="AN182" s="527"/>
      <c r="AO182" s="528"/>
      <c r="AP182" s="528"/>
      <c r="AQ182" s="528"/>
      <c r="AR182" s="576"/>
      <c r="AS182" s="577"/>
      <c r="AT182" s="578"/>
      <c r="AU182" s="578"/>
      <c r="AV182" s="579"/>
    </row>
    <row r="183" spans="1:48" s="187" customFormat="1" ht="12.75" customHeight="1" thickBot="1" x14ac:dyDescent="0.3">
      <c r="A183" s="20"/>
      <c r="B183" s="243"/>
      <c r="C183" s="792"/>
      <c r="D183" s="793"/>
      <c r="E183" s="793"/>
      <c r="F183" s="793"/>
      <c r="G183" s="793"/>
      <c r="H183" s="793"/>
      <c r="I183" s="793"/>
      <c r="J183" s="793"/>
      <c r="K183" s="793"/>
      <c r="L183" s="793"/>
      <c r="M183" s="793"/>
      <c r="N183" s="793"/>
      <c r="O183" s="793"/>
      <c r="P183" s="793"/>
      <c r="Q183" s="793"/>
      <c r="R183" s="793"/>
      <c r="S183" s="793"/>
      <c r="T183" s="793"/>
      <c r="U183" s="793"/>
      <c r="V183" s="793"/>
      <c r="W183" s="793"/>
      <c r="X183" s="793"/>
      <c r="Y183" s="793"/>
      <c r="Z183" s="793"/>
      <c r="AA183" s="793"/>
      <c r="AB183" s="793"/>
      <c r="AC183" s="793"/>
      <c r="AD183" s="793"/>
      <c r="AE183" s="793"/>
      <c r="AF183" s="793"/>
      <c r="AG183" s="793"/>
      <c r="AH183" s="793"/>
      <c r="AI183" s="793"/>
      <c r="AJ183" s="793"/>
      <c r="AK183" s="793"/>
      <c r="AL183" s="794"/>
      <c r="AM183" s="804"/>
      <c r="AN183" s="804"/>
      <c r="AO183" s="805"/>
      <c r="AP183" s="805"/>
      <c r="AQ183" s="805"/>
      <c r="AR183" s="806"/>
      <c r="AS183" s="807"/>
      <c r="AT183" s="808"/>
      <c r="AU183" s="808"/>
      <c r="AV183" s="809"/>
    </row>
    <row r="184" spans="1:48" s="187" customFormat="1" ht="15" customHeight="1" thickBot="1" x14ac:dyDescent="0.3">
      <c r="A184" s="20"/>
      <c r="B184" s="243"/>
      <c r="C184" s="246" t="s">
        <v>123</v>
      </c>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c r="AC184" s="247"/>
      <c r="AD184" s="247"/>
      <c r="AE184" s="247"/>
      <c r="AF184" s="247"/>
      <c r="AG184" s="247"/>
      <c r="AH184" s="247"/>
      <c r="AI184" s="247"/>
      <c r="AJ184" s="247"/>
      <c r="AK184" s="247"/>
      <c r="AL184" s="247"/>
      <c r="AM184" s="810"/>
      <c r="AN184" s="811"/>
      <c r="AO184" s="812"/>
      <c r="AP184" s="812"/>
      <c r="AQ184" s="812"/>
      <c r="AR184" s="823">
        <f>SUM(AR170:AV183)</f>
        <v>0</v>
      </c>
      <c r="AS184" s="811"/>
      <c r="AT184" s="812"/>
      <c r="AU184" s="812"/>
      <c r="AV184" s="824"/>
    </row>
    <row r="185" spans="1:48" s="187" customFormat="1" ht="28.5" customHeight="1" x14ac:dyDescent="0.25">
      <c r="A185" s="574">
        <f>+A166+1</f>
        <v>12</v>
      </c>
      <c r="B185" s="791"/>
      <c r="C185" s="17" t="s">
        <v>124</v>
      </c>
      <c r="D185" s="17"/>
      <c r="U185" s="193"/>
      <c r="V185" s="193"/>
      <c r="W185" s="193"/>
      <c r="X185" s="193"/>
      <c r="Y185" s="193"/>
      <c r="Z185" s="193"/>
      <c r="AA185" s="193"/>
      <c r="AB185" s="193"/>
      <c r="AC185" s="193"/>
      <c r="AD185" s="193"/>
    </row>
    <row r="186" spans="1:48" s="187" customFormat="1" ht="6.75" customHeight="1" x14ac:dyDescent="0.25">
      <c r="R186" s="828"/>
      <c r="S186" s="828"/>
      <c r="T186" s="552"/>
      <c r="U186" s="552"/>
      <c r="V186" s="552"/>
      <c r="X186" s="193"/>
      <c r="Y186" s="193"/>
      <c r="Z186" s="193"/>
      <c r="AA186" s="193"/>
      <c r="AB186" s="193"/>
      <c r="AC186" s="193"/>
      <c r="AD186" s="193"/>
    </row>
    <row r="187" spans="1:48" s="248" customFormat="1" ht="19.5" customHeight="1" x14ac:dyDescent="0.25">
      <c r="C187" s="785" t="s">
        <v>125</v>
      </c>
      <c r="D187" s="786"/>
      <c r="E187" s="786"/>
      <c r="F187" s="786"/>
      <c r="G187" s="786"/>
      <c r="H187" s="786"/>
      <c r="I187" s="786"/>
      <c r="J187" s="786"/>
      <c r="K187" s="786"/>
      <c r="L187" s="786"/>
      <c r="M187" s="786"/>
      <c r="N187" s="786"/>
      <c r="O187" s="787" t="s">
        <v>126</v>
      </c>
      <c r="P187" s="786"/>
      <c r="Q187" s="786"/>
      <c r="R187" s="786"/>
      <c r="S187" s="786"/>
      <c r="T187" s="788"/>
      <c r="U187" s="785" t="s">
        <v>127</v>
      </c>
      <c r="V187" s="786"/>
      <c r="W187" s="786"/>
      <c r="X187" s="786"/>
      <c r="Y187" s="786"/>
      <c r="Z187" s="786"/>
      <c r="AA187" s="786"/>
      <c r="AB187" s="788"/>
      <c r="AC187" s="789" t="s">
        <v>128</v>
      </c>
      <c r="AD187" s="786"/>
      <c r="AE187" s="786"/>
      <c r="AF187" s="786"/>
      <c r="AG187" s="786"/>
      <c r="AH187" s="786"/>
      <c r="AI187" s="790"/>
    </row>
    <row r="188" spans="1:48" s="249" customFormat="1" ht="15" customHeight="1" x14ac:dyDescent="0.25">
      <c r="C188" s="254"/>
      <c r="D188" s="825"/>
      <c r="E188" s="826"/>
      <c r="F188" s="826"/>
      <c r="G188" s="826"/>
      <c r="H188" s="826"/>
      <c r="I188" s="826"/>
      <c r="J188" s="826"/>
      <c r="K188" s="826"/>
      <c r="L188" s="826"/>
      <c r="M188" s="826"/>
      <c r="N188" s="827"/>
      <c r="O188" s="802"/>
      <c r="P188" s="803"/>
      <c r="Q188" s="803"/>
      <c r="R188" s="255" t="s">
        <v>129</v>
      </c>
      <c r="S188" s="255"/>
      <c r="T188" s="256"/>
      <c r="U188" s="782"/>
      <c r="V188" s="783"/>
      <c r="W188" s="783"/>
      <c r="X188" s="783"/>
      <c r="Y188" s="783"/>
      <c r="Z188" s="783"/>
      <c r="AA188" s="783"/>
      <c r="AB188" s="784"/>
      <c r="AC188" s="819"/>
      <c r="AD188" s="819"/>
      <c r="AE188" s="819"/>
      <c r="AF188" s="819"/>
      <c r="AG188" s="819"/>
      <c r="AH188" s="819"/>
      <c r="AI188" s="820"/>
    </row>
    <row r="189" spans="1:48" s="249" customFormat="1" ht="15" customHeight="1" thickBot="1" x14ac:dyDescent="0.3">
      <c r="C189" s="251"/>
      <c r="D189" s="608"/>
      <c r="E189" s="609"/>
      <c r="F189" s="609"/>
      <c r="G189" s="609"/>
      <c r="H189" s="609"/>
      <c r="I189" s="609"/>
      <c r="J189" s="609"/>
      <c r="K189" s="609"/>
      <c r="L189" s="609"/>
      <c r="M189" s="609"/>
      <c r="N189" s="610"/>
      <c r="O189" s="587"/>
      <c r="P189" s="588"/>
      <c r="Q189" s="588"/>
      <c r="R189" s="252" t="s">
        <v>129</v>
      </c>
      <c r="S189" s="252"/>
      <c r="T189" s="253"/>
      <c r="U189" s="589"/>
      <c r="V189" s="590"/>
      <c r="W189" s="590"/>
      <c r="X189" s="590"/>
      <c r="Y189" s="590"/>
      <c r="Z189" s="590"/>
      <c r="AA189" s="590"/>
      <c r="AB189" s="591"/>
      <c r="AC189" s="592"/>
      <c r="AD189" s="592"/>
      <c r="AE189" s="592"/>
      <c r="AF189" s="592"/>
      <c r="AG189" s="592"/>
      <c r="AH189" s="592"/>
      <c r="AI189" s="593"/>
    </row>
    <row r="190" spans="1:48" ht="24" customHeight="1" x14ac:dyDescent="0.25">
      <c r="A190" s="574">
        <f>A185+1</f>
        <v>13</v>
      </c>
      <c r="B190" s="575"/>
      <c r="C190" s="17" t="s">
        <v>51</v>
      </c>
      <c r="D190" s="17"/>
    </row>
    <row r="191" spans="1:48" ht="15.75" customHeight="1" x14ac:dyDescent="0.25">
      <c r="C191" s="717"/>
      <c r="D191" s="636"/>
      <c r="E191" s="636"/>
      <c r="F191" s="636"/>
      <c r="G191" s="636"/>
      <c r="H191" s="636"/>
      <c r="I191" s="636"/>
      <c r="J191" s="636"/>
      <c r="K191" s="636"/>
      <c r="L191" s="636"/>
      <c r="M191" s="636"/>
      <c r="N191" s="636"/>
      <c r="O191" s="636"/>
      <c r="P191" s="636"/>
      <c r="Q191" s="636"/>
      <c r="R191" s="636"/>
      <c r="S191" s="636"/>
      <c r="T191" s="636"/>
      <c r="U191" s="552"/>
      <c r="V191" s="552"/>
      <c r="W191" s="552"/>
      <c r="X191" s="552"/>
      <c r="Y191" s="552"/>
      <c r="Z191" s="552"/>
      <c r="AA191" s="552"/>
      <c r="AB191" s="552"/>
      <c r="AC191" s="552"/>
      <c r="AD191" s="552"/>
      <c r="AE191" s="552"/>
      <c r="AF191" s="552"/>
      <c r="AG191" s="552"/>
      <c r="AH191" s="552"/>
      <c r="AI191" s="552"/>
      <c r="AJ191" s="552"/>
      <c r="AK191" s="552"/>
      <c r="AL191" s="552"/>
      <c r="AM191" s="552"/>
      <c r="AN191" s="552"/>
      <c r="AO191" s="552"/>
      <c r="AP191" s="552"/>
      <c r="AQ191" s="552"/>
      <c r="AR191" s="552"/>
      <c r="AS191" s="552"/>
      <c r="AT191" s="552"/>
      <c r="AU191" s="552"/>
      <c r="AV191" s="552"/>
    </row>
    <row r="192" spans="1:48" s="3" customFormat="1" ht="18" customHeight="1" x14ac:dyDescent="0.25">
      <c r="A192" s="799">
        <f>+A190+1</f>
        <v>14</v>
      </c>
      <c r="B192" s="800"/>
      <c r="C192" s="917" t="s">
        <v>19</v>
      </c>
      <c r="D192" s="918"/>
      <c r="E192" s="918"/>
      <c r="F192" s="918"/>
      <c r="G192" s="918"/>
      <c r="H192" s="918"/>
      <c r="I192" s="918"/>
      <c r="J192" s="918"/>
      <c r="K192" s="918"/>
      <c r="L192" s="918"/>
      <c r="M192" s="918"/>
      <c r="N192" s="918"/>
      <c r="O192" s="918"/>
      <c r="P192" s="918"/>
      <c r="Q192" s="918"/>
      <c r="R192" s="918"/>
      <c r="S192" s="918"/>
      <c r="T192" s="918"/>
      <c r="U192" s="918"/>
      <c r="V192" s="918"/>
      <c r="W192" s="918"/>
      <c r="X192" s="918"/>
      <c r="Y192" s="918"/>
      <c r="Z192" s="918"/>
      <c r="AA192" s="918"/>
      <c r="AB192" s="918"/>
      <c r="AC192" s="918"/>
      <c r="AD192" s="918"/>
      <c r="AE192" s="918"/>
      <c r="AF192" s="918"/>
      <c r="AG192" s="918"/>
      <c r="AH192" s="918"/>
      <c r="AI192" s="918"/>
      <c r="AJ192" s="918"/>
      <c r="AK192" s="918"/>
      <c r="AL192" s="918"/>
      <c r="AM192" s="918"/>
      <c r="AN192" s="918"/>
      <c r="AO192" s="918"/>
      <c r="AP192" s="918"/>
      <c r="AQ192" s="918"/>
      <c r="AR192" s="918"/>
      <c r="AS192" s="918"/>
      <c r="AT192" s="918"/>
      <c r="AU192" s="918"/>
      <c r="AV192" s="918"/>
    </row>
    <row r="193" spans="1:48" s="3" customFormat="1" ht="24.75" customHeight="1" x14ac:dyDescent="0.25">
      <c r="C193" s="561"/>
      <c r="D193" s="562"/>
      <c r="E193" s="562"/>
      <c r="F193" s="562"/>
      <c r="G193" s="562"/>
      <c r="H193" s="562"/>
      <c r="I193" s="562"/>
      <c r="J193" s="562"/>
      <c r="K193" s="562"/>
      <c r="L193" s="562"/>
      <c r="M193" s="562"/>
      <c r="N193" s="562"/>
      <c r="O193" s="562"/>
      <c r="P193" s="562"/>
      <c r="Q193" s="562"/>
      <c r="R193" s="562"/>
      <c r="S193" s="562"/>
      <c r="T193" s="562"/>
      <c r="U193" s="562"/>
      <c r="V193" s="562"/>
      <c r="W193" s="562"/>
      <c r="X193" s="562"/>
      <c r="Y193" s="562"/>
      <c r="Z193" s="562"/>
      <c r="AA193" s="562"/>
      <c r="AB193" s="562"/>
      <c r="AC193" s="562"/>
      <c r="AD193" s="562"/>
      <c r="AE193" s="562"/>
      <c r="AF193" s="562"/>
      <c r="AG193" s="562"/>
      <c r="AH193" s="562"/>
      <c r="AI193" s="562"/>
      <c r="AJ193" s="562"/>
      <c r="AK193" s="562"/>
      <c r="AL193" s="562"/>
      <c r="AM193" s="562"/>
      <c r="AN193" s="562"/>
      <c r="AO193" s="562"/>
      <c r="AP193" s="562"/>
      <c r="AQ193" s="562"/>
      <c r="AR193" s="562"/>
      <c r="AS193" s="562"/>
      <c r="AT193" s="562"/>
      <c r="AU193" s="562"/>
      <c r="AV193" s="562"/>
    </row>
    <row r="194" spans="1:48" s="3" customFormat="1" ht="30" customHeight="1" x14ac:dyDescent="0.25">
      <c r="A194" s="799">
        <f>A192+1</f>
        <v>15</v>
      </c>
      <c r="B194" s="800"/>
      <c r="C194" s="95" t="s">
        <v>69</v>
      </c>
      <c r="D194" s="2"/>
      <c r="E194" s="2"/>
      <c r="F194" s="2"/>
      <c r="G194" s="2"/>
      <c r="H194" s="2"/>
      <c r="I194" s="2"/>
      <c r="J194" s="2"/>
      <c r="K194" s="2"/>
      <c r="L194" s="2"/>
      <c r="M194" s="2"/>
      <c r="N194" s="2"/>
      <c r="O194" s="2"/>
      <c r="P194" s="2"/>
      <c r="Q194" s="2"/>
      <c r="R194" s="96"/>
      <c r="S194" s="96"/>
      <c r="T194" s="96"/>
      <c r="U194" s="96"/>
      <c r="V194" s="96"/>
      <c r="W194" s="96"/>
      <c r="X194" s="96"/>
      <c r="Y194" s="96"/>
      <c r="Z194" s="96"/>
      <c r="AA194" s="97"/>
      <c r="AB194" s="97"/>
      <c r="AC194" s="2"/>
      <c r="AD194" s="2"/>
      <c r="AE194" s="2"/>
      <c r="AF194" s="2"/>
      <c r="AG194" s="2"/>
      <c r="AH194" s="2"/>
      <c r="AI194" s="2"/>
      <c r="AJ194" s="2"/>
      <c r="AK194" s="2"/>
      <c r="AL194" s="2"/>
      <c r="AM194" s="2"/>
      <c r="AN194" s="2"/>
      <c r="AO194" s="2"/>
      <c r="AP194" s="2"/>
      <c r="AQ194" s="2"/>
      <c r="AR194" s="2"/>
      <c r="AS194" s="2"/>
      <c r="AT194" s="2"/>
      <c r="AU194" s="2"/>
      <c r="AV194" s="2"/>
    </row>
    <row r="195" spans="1:48" s="3" customFormat="1" ht="4.5" customHeight="1" x14ac:dyDescent="0.25">
      <c r="A195" s="98"/>
      <c r="B195" s="2"/>
      <c r="C195" s="2"/>
      <c r="D195" s="2"/>
      <c r="E195" s="2"/>
      <c r="F195" s="2"/>
      <c r="G195" s="2"/>
      <c r="H195" s="2"/>
      <c r="I195" s="2"/>
      <c r="J195" s="2"/>
      <c r="K195" s="2"/>
      <c r="L195" s="2"/>
      <c r="M195" s="2"/>
      <c r="N195" s="2"/>
      <c r="O195" s="2"/>
      <c r="P195" s="2"/>
      <c r="Q195" s="95"/>
      <c r="R195" s="96"/>
      <c r="S195" s="96"/>
      <c r="T195" s="96"/>
      <c r="U195" s="96"/>
      <c r="V195" s="96"/>
      <c r="W195" s="96"/>
      <c r="X195" s="96"/>
      <c r="Y195" s="96"/>
      <c r="Z195" s="96"/>
      <c r="AA195" s="97"/>
      <c r="AB195" s="97"/>
      <c r="AC195" s="2"/>
      <c r="AD195" s="2"/>
      <c r="AE195" s="2"/>
      <c r="AF195" s="2"/>
      <c r="AG195" s="2"/>
      <c r="AH195" s="2"/>
      <c r="AI195" s="2"/>
      <c r="AJ195" s="2"/>
      <c r="AK195" s="2"/>
      <c r="AL195" s="2"/>
      <c r="AM195" s="2"/>
      <c r="AN195" s="2"/>
      <c r="AO195" s="2"/>
      <c r="AP195" s="2"/>
      <c r="AQ195" s="2"/>
      <c r="AR195" s="2"/>
      <c r="AS195" s="2"/>
      <c r="AT195" s="2"/>
      <c r="AU195" s="2"/>
      <c r="AV195" s="2"/>
    </row>
    <row r="196" spans="1:48" s="179" customFormat="1" ht="39.9" hidden="1" customHeight="1" x14ac:dyDescent="0.25">
      <c r="A196" s="173"/>
      <c r="B196" s="174"/>
      <c r="C196" s="540" t="s">
        <v>66</v>
      </c>
      <c r="D196" s="540"/>
      <c r="E196" s="716" t="s">
        <v>11</v>
      </c>
      <c r="F196" s="717"/>
      <c r="G196" s="717"/>
      <c r="H196" s="717"/>
      <c r="I196" s="717"/>
      <c r="J196" s="717"/>
      <c r="K196" s="717"/>
      <c r="L196" s="717"/>
      <c r="M196" s="717"/>
      <c r="N196" s="717"/>
      <c r="O196" s="717"/>
      <c r="P196" s="717"/>
      <c r="Q196" s="717"/>
      <c r="R196" s="717"/>
      <c r="S196" s="717"/>
      <c r="T196" s="717"/>
      <c r="U196" s="717"/>
      <c r="V196" s="717"/>
      <c r="W196" s="717"/>
      <c r="X196" s="717"/>
      <c r="Y196" s="717"/>
      <c r="Z196" s="717"/>
      <c r="AA196" s="717"/>
      <c r="AB196" s="717"/>
      <c r="AC196" s="717"/>
      <c r="AD196" s="717"/>
      <c r="AE196" s="717"/>
      <c r="AF196" s="717"/>
      <c r="AG196" s="717"/>
      <c r="AH196" s="717"/>
      <c r="AI196" s="717"/>
      <c r="AJ196" s="717"/>
      <c r="AK196" s="717"/>
      <c r="AL196" s="717"/>
      <c r="AM196" s="717"/>
      <c r="AN196" s="717"/>
      <c r="AO196" s="717"/>
      <c r="AP196" s="717"/>
      <c r="AQ196" s="717"/>
      <c r="AR196" s="717"/>
      <c r="AS196" s="717"/>
      <c r="AT196" s="717"/>
      <c r="AU196" s="717"/>
      <c r="AV196" s="717"/>
    </row>
    <row r="197" spans="1:48" s="179" customFormat="1" ht="4.5" hidden="1" customHeight="1" x14ac:dyDescent="0.25">
      <c r="A197" s="173"/>
      <c r="B197" s="174"/>
      <c r="C197" s="180"/>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row>
    <row r="198" spans="1:48" s="179" customFormat="1" hidden="1" x14ac:dyDescent="0.25">
      <c r="A198" s="173"/>
      <c r="B198" s="174"/>
      <c r="C198" s="540" t="s">
        <v>66</v>
      </c>
      <c r="D198" s="540"/>
      <c r="E198" s="716" t="s">
        <v>12</v>
      </c>
      <c r="F198" s="717"/>
      <c r="G198" s="717"/>
      <c r="H198" s="717"/>
      <c r="I198" s="717"/>
      <c r="J198" s="717"/>
      <c r="K198" s="717"/>
      <c r="L198" s="717"/>
      <c r="M198" s="717"/>
      <c r="N198" s="717"/>
      <c r="O198" s="717"/>
      <c r="P198" s="717"/>
      <c r="Q198" s="717"/>
      <c r="R198" s="717"/>
      <c r="S198" s="717"/>
      <c r="T198" s="717"/>
      <c r="U198" s="717"/>
      <c r="V198" s="717"/>
      <c r="W198" s="717"/>
      <c r="X198" s="717"/>
      <c r="Y198" s="717"/>
      <c r="Z198" s="717"/>
      <c r="AA198" s="717"/>
      <c r="AB198" s="717"/>
      <c r="AC198" s="717"/>
      <c r="AD198" s="717"/>
      <c r="AE198" s="717"/>
      <c r="AF198" s="717"/>
      <c r="AG198" s="717"/>
      <c r="AH198" s="717"/>
      <c r="AI198" s="717"/>
      <c r="AJ198" s="717"/>
      <c r="AK198" s="717"/>
      <c r="AL198" s="717"/>
      <c r="AM198" s="717"/>
      <c r="AN198" s="717"/>
      <c r="AO198" s="717"/>
      <c r="AP198" s="717"/>
      <c r="AQ198" s="717"/>
      <c r="AR198" s="717"/>
      <c r="AS198" s="717"/>
      <c r="AT198" s="717"/>
      <c r="AU198" s="717"/>
      <c r="AV198" s="717"/>
    </row>
    <row r="199" spans="1:48" s="179" customFormat="1" ht="4.5" hidden="1" customHeight="1" x14ac:dyDescent="0.25">
      <c r="A199" s="173"/>
      <c r="B199" s="174"/>
      <c r="C199" s="176"/>
      <c r="D199" s="176"/>
      <c r="E199" s="177"/>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row>
    <row r="200" spans="1:48" s="179" customFormat="1" ht="39.9" hidden="1" customHeight="1" x14ac:dyDescent="0.25">
      <c r="A200" s="173"/>
      <c r="B200" s="174"/>
      <c r="C200" s="540" t="s">
        <v>66</v>
      </c>
      <c r="D200" s="540"/>
      <c r="E200" s="716" t="s">
        <v>14</v>
      </c>
      <c r="F200" s="717"/>
      <c r="G200" s="717"/>
      <c r="H200" s="717"/>
      <c r="I200" s="717"/>
      <c r="J200" s="717"/>
      <c r="K200" s="717"/>
      <c r="L200" s="717"/>
      <c r="M200" s="717"/>
      <c r="N200" s="717"/>
      <c r="O200" s="717"/>
      <c r="P200" s="717"/>
      <c r="Q200" s="717"/>
      <c r="R200" s="717"/>
      <c r="S200" s="717"/>
      <c r="T200" s="717"/>
      <c r="U200" s="717"/>
      <c r="V200" s="717"/>
      <c r="W200" s="717"/>
      <c r="X200" s="717"/>
      <c r="Y200" s="717"/>
      <c r="Z200" s="717"/>
      <c r="AA200" s="717"/>
      <c r="AB200" s="717"/>
      <c r="AC200" s="717"/>
      <c r="AD200" s="717"/>
      <c r="AE200" s="717"/>
      <c r="AF200" s="717"/>
      <c r="AG200" s="717"/>
      <c r="AH200" s="717"/>
      <c r="AI200" s="717"/>
      <c r="AJ200" s="717"/>
      <c r="AK200" s="717"/>
      <c r="AL200" s="717"/>
      <c r="AM200" s="717"/>
      <c r="AN200" s="717"/>
      <c r="AO200" s="717"/>
      <c r="AP200" s="717"/>
      <c r="AQ200" s="717"/>
      <c r="AR200" s="717"/>
      <c r="AS200" s="717"/>
      <c r="AT200" s="717"/>
      <c r="AU200" s="717"/>
      <c r="AV200" s="717"/>
    </row>
    <row r="201" spans="1:48" s="188" customFormat="1" ht="36.75" customHeight="1" x14ac:dyDescent="0.25">
      <c r="C201" s="673" t="s">
        <v>66</v>
      </c>
      <c r="D201" s="673"/>
      <c r="E201" s="716" t="s">
        <v>93</v>
      </c>
      <c r="F201" s="542"/>
      <c r="G201" s="542"/>
      <c r="H201" s="542"/>
      <c r="I201" s="542"/>
      <c r="J201" s="542"/>
      <c r="K201" s="542"/>
      <c r="L201" s="542"/>
      <c r="M201" s="542"/>
      <c r="N201" s="542"/>
      <c r="O201" s="542"/>
      <c r="P201" s="542"/>
      <c r="Q201" s="542"/>
      <c r="R201" s="542"/>
      <c r="S201" s="542"/>
      <c r="T201" s="542"/>
      <c r="U201" s="542"/>
      <c r="V201" s="542"/>
      <c r="W201" s="542"/>
      <c r="X201" s="542"/>
      <c r="Y201" s="542"/>
      <c r="Z201" s="542"/>
      <c r="AA201" s="542"/>
      <c r="AB201" s="542"/>
      <c r="AC201" s="542"/>
      <c r="AD201" s="542"/>
      <c r="AE201" s="542"/>
      <c r="AF201" s="542"/>
      <c r="AG201" s="542"/>
      <c r="AH201" s="542"/>
      <c r="AI201" s="542"/>
      <c r="AJ201" s="542"/>
      <c r="AK201" s="542"/>
      <c r="AL201" s="542"/>
      <c r="AM201" s="542"/>
      <c r="AN201" s="542"/>
      <c r="AO201" s="542"/>
      <c r="AP201" s="542"/>
      <c r="AQ201" s="542"/>
      <c r="AR201" s="542"/>
      <c r="AS201" s="542"/>
      <c r="AT201" s="542"/>
      <c r="AU201" s="542"/>
      <c r="AV201" s="542"/>
    </row>
    <row r="202" spans="1:48" s="3" customFormat="1" ht="4.5" customHeight="1" x14ac:dyDescent="0.25">
      <c r="A202" s="2"/>
      <c r="B202" s="2"/>
      <c r="C202" s="100"/>
      <c r="D202" s="101"/>
      <c r="E202" s="21"/>
      <c r="F202" s="21"/>
      <c r="G202" s="21"/>
      <c r="H202" s="21"/>
      <c r="I202" s="21"/>
      <c r="J202" s="21"/>
      <c r="K202" s="21"/>
      <c r="L202" s="21"/>
      <c r="M202" s="21"/>
      <c r="N202" s="21"/>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row>
    <row r="203" spans="1:48" s="3" customFormat="1" ht="18.899999999999999" customHeight="1" x14ac:dyDescent="0.25">
      <c r="A203" s="2"/>
      <c r="B203" s="2"/>
      <c r="C203" s="540" t="s">
        <v>66</v>
      </c>
      <c r="D203" s="540"/>
      <c r="E203" s="99" t="s">
        <v>67</v>
      </c>
      <c r="F203" s="99"/>
      <c r="G203" s="99"/>
      <c r="H203" s="99"/>
      <c r="I203" s="99"/>
      <c r="J203" s="99"/>
      <c r="K203" s="99"/>
      <c r="L203" s="99"/>
      <c r="M203" s="99"/>
      <c r="N203" s="99"/>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row>
    <row r="204" spans="1:48" s="3" customFormat="1" ht="4.5" customHeight="1" x14ac:dyDescent="0.25">
      <c r="A204" s="2"/>
      <c r="B204" s="2"/>
      <c r="C204" s="100"/>
      <c r="D204" s="101"/>
      <c r="E204" s="21"/>
      <c r="F204" s="21"/>
      <c r="G204" s="21"/>
      <c r="H204" s="21"/>
      <c r="I204" s="21"/>
      <c r="J204" s="21"/>
      <c r="K204" s="21"/>
      <c r="L204" s="21"/>
      <c r="M204" s="21"/>
      <c r="N204" s="21"/>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row>
    <row r="205" spans="1:48" s="3" customFormat="1" ht="18.899999999999999" customHeight="1" x14ac:dyDescent="0.25">
      <c r="A205" s="2"/>
      <c r="B205" s="2"/>
      <c r="C205" s="540" t="s">
        <v>66</v>
      </c>
      <c r="D205" s="540"/>
      <c r="E205" s="99" t="s">
        <v>68</v>
      </c>
      <c r="F205" s="99"/>
      <c r="G205" s="99"/>
      <c r="H205" s="99"/>
      <c r="I205" s="99"/>
      <c r="J205" s="99"/>
      <c r="K205" s="99"/>
      <c r="L205" s="99"/>
      <c r="M205" s="99"/>
      <c r="N205" s="99"/>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row>
    <row r="206" spans="1:48" s="3" customFormat="1" ht="4.5" customHeight="1" x14ac:dyDescent="0.25">
      <c r="A206" s="2"/>
      <c r="B206" s="2"/>
      <c r="C206" s="102"/>
      <c r="D206" s="101"/>
      <c r="E206" s="99"/>
      <c r="F206" s="99"/>
      <c r="G206" s="99"/>
      <c r="H206" s="99"/>
      <c r="I206" s="99"/>
      <c r="J206" s="99"/>
      <c r="K206" s="99"/>
      <c r="L206" s="99"/>
      <c r="M206" s="99"/>
      <c r="N206" s="99"/>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row>
    <row r="207" spans="1:48" s="3" customFormat="1" ht="29.25" customHeight="1" x14ac:dyDescent="0.25">
      <c r="A207" s="2"/>
      <c r="B207" s="2"/>
      <c r="C207" s="540" t="s">
        <v>66</v>
      </c>
      <c r="D207" s="540"/>
      <c r="E207" s="541" t="s">
        <v>99</v>
      </c>
      <c r="F207" s="542"/>
      <c r="G207" s="542"/>
      <c r="H207" s="542"/>
      <c r="I207" s="542"/>
      <c r="J207" s="542"/>
      <c r="K207" s="542"/>
      <c r="L207" s="542"/>
      <c r="M207" s="542"/>
      <c r="N207" s="542"/>
      <c r="O207" s="542"/>
      <c r="P207" s="542"/>
      <c r="Q207" s="542"/>
      <c r="R207" s="542"/>
      <c r="S207" s="542"/>
      <c r="T207" s="542"/>
      <c r="U207" s="542"/>
      <c r="V207" s="542"/>
      <c r="W207" s="542"/>
      <c r="X207" s="542"/>
      <c r="Y207" s="542"/>
      <c r="Z207" s="542"/>
      <c r="AA207" s="542"/>
      <c r="AB207" s="542"/>
      <c r="AC207" s="542"/>
      <c r="AD207" s="542"/>
      <c r="AE207" s="542"/>
      <c r="AF207" s="542"/>
      <c r="AG207" s="542"/>
      <c r="AH207" s="542"/>
      <c r="AI207" s="542"/>
      <c r="AJ207" s="542"/>
      <c r="AK207" s="542"/>
      <c r="AL207" s="542"/>
      <c r="AM207" s="542"/>
      <c r="AN207" s="542"/>
      <c r="AO207" s="542"/>
      <c r="AP207" s="542"/>
      <c r="AQ207" s="542"/>
      <c r="AR207" s="542"/>
      <c r="AS207" s="542"/>
      <c r="AT207" s="542"/>
      <c r="AU207" s="542"/>
      <c r="AV207" s="542"/>
    </row>
    <row r="208" spans="1:48" s="3" customFormat="1" ht="4.5" customHeight="1" x14ac:dyDescent="0.25">
      <c r="A208" s="2"/>
      <c r="B208" s="2"/>
      <c r="C208" s="102"/>
      <c r="D208" s="101"/>
      <c r="E208" s="99"/>
      <c r="F208" s="99"/>
      <c r="G208" s="99"/>
      <c r="H208" s="99"/>
      <c r="I208" s="99"/>
      <c r="J208" s="99"/>
      <c r="K208" s="99"/>
      <c r="L208" s="99"/>
      <c r="M208" s="99"/>
      <c r="N208" s="99"/>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row>
    <row r="209" spans="1:48" s="3" customFormat="1" ht="45.6" customHeight="1" x14ac:dyDescent="0.25">
      <c r="A209" s="2"/>
      <c r="B209" s="2"/>
      <c r="C209" s="540" t="s">
        <v>66</v>
      </c>
      <c r="D209" s="540"/>
      <c r="E209" s="541" t="s">
        <v>255</v>
      </c>
      <c r="F209" s="542"/>
      <c r="G209" s="542"/>
      <c r="H209" s="542"/>
      <c r="I209" s="542"/>
      <c r="J209" s="542"/>
      <c r="K209" s="542"/>
      <c r="L209" s="542"/>
      <c r="M209" s="542"/>
      <c r="N209" s="542"/>
      <c r="O209" s="542"/>
      <c r="P209" s="542"/>
      <c r="Q209" s="542"/>
      <c r="R209" s="542"/>
      <c r="S209" s="542"/>
      <c r="T209" s="542"/>
      <c r="U209" s="542"/>
      <c r="V209" s="542"/>
      <c r="W209" s="542"/>
      <c r="X209" s="542"/>
      <c r="Y209" s="542"/>
      <c r="Z209" s="542"/>
      <c r="AA209" s="542"/>
      <c r="AB209" s="542"/>
      <c r="AC209" s="542"/>
      <c r="AD209" s="542"/>
      <c r="AE209" s="542"/>
      <c r="AF209" s="542"/>
      <c r="AG209" s="542"/>
      <c r="AH209" s="542"/>
      <c r="AI209" s="542"/>
      <c r="AJ209" s="542"/>
      <c r="AK209" s="542"/>
      <c r="AL209" s="542"/>
      <c r="AM209" s="542"/>
      <c r="AN209" s="542"/>
      <c r="AO209" s="542"/>
      <c r="AP209" s="542"/>
      <c r="AQ209" s="542"/>
      <c r="AR209" s="542"/>
      <c r="AS209" s="542"/>
      <c r="AT209" s="542"/>
      <c r="AU209" s="542"/>
      <c r="AV209" s="542"/>
    </row>
    <row r="210" spans="1:48" s="3" customFormat="1" ht="18.899999999999999" customHeight="1" x14ac:dyDescent="0.25">
      <c r="A210" s="679" t="s">
        <v>84</v>
      </c>
      <c r="B210" s="680"/>
      <c r="C210" s="680"/>
      <c r="D210" s="680"/>
      <c r="E210" s="680"/>
      <c r="F210" s="680"/>
      <c r="G210" s="680"/>
      <c r="H210" s="680"/>
      <c r="I210" s="680"/>
      <c r="J210" s="680"/>
      <c r="K210" s="680"/>
      <c r="L210" s="680"/>
      <c r="M210" s="680"/>
      <c r="N210" s="680"/>
      <c r="O210" s="680"/>
      <c r="P210" s="680"/>
      <c r="Q210" s="680"/>
      <c r="R210" s="680"/>
      <c r="S210" s="680"/>
      <c r="T210" s="680"/>
      <c r="U210" s="680"/>
      <c r="V210" s="680"/>
      <c r="W210" s="680"/>
      <c r="X210" s="680"/>
      <c r="Y210" s="680"/>
      <c r="Z210" s="680"/>
      <c r="AA210" s="680"/>
      <c r="AB210" s="680"/>
      <c r="AC210" s="680"/>
      <c r="AD210" s="680"/>
      <c r="AE210" s="680"/>
      <c r="AF210" s="680"/>
      <c r="AG210" s="680"/>
      <c r="AH210" s="680"/>
      <c r="AI210" s="680"/>
      <c r="AJ210" s="680"/>
      <c r="AK210" s="680"/>
      <c r="AL210" s="680"/>
      <c r="AM210" s="680"/>
      <c r="AN210" s="680"/>
      <c r="AO210" s="680"/>
      <c r="AP210" s="680"/>
      <c r="AQ210" s="680"/>
      <c r="AR210" s="680"/>
      <c r="AS210" s="680"/>
      <c r="AT210" s="680"/>
      <c r="AU210" s="680"/>
      <c r="AV210" s="680"/>
    </row>
    <row r="211" spans="1:48" s="1" customFormat="1" ht="14.1" customHeight="1" x14ac:dyDescent="0.25">
      <c r="A211" s="798" t="s">
        <v>48</v>
      </c>
      <c r="B211" s="635"/>
      <c r="C211" s="653" t="s">
        <v>0</v>
      </c>
      <c r="D211" s="675"/>
      <c r="E211" s="675"/>
      <c r="F211" s="675"/>
      <c r="G211" s="675"/>
      <c r="H211" s="675"/>
      <c r="I211" s="675"/>
      <c r="J211" s="675"/>
      <c r="K211" s="675"/>
      <c r="L211" s="675"/>
      <c r="M211" s="675"/>
      <c r="N211" s="675"/>
      <c r="O211" s="675"/>
      <c r="P211" s="675"/>
      <c r="Q211" s="675"/>
      <c r="R211" s="675"/>
      <c r="S211" s="675"/>
      <c r="T211" s="675"/>
      <c r="U211" s="675"/>
      <c r="V211" s="675"/>
      <c r="W211" s="675"/>
      <c r="X211" s="675"/>
      <c r="Y211" s="675"/>
      <c r="Z211" s="675"/>
      <c r="AA211" s="675"/>
      <c r="AB211" s="675"/>
      <c r="AC211" s="675"/>
      <c r="AD211" s="675"/>
      <c r="AE211" s="675"/>
      <c r="AF211" s="675"/>
      <c r="AG211" s="675"/>
      <c r="AH211" s="675"/>
      <c r="AI211" s="675"/>
      <c r="AJ211" s="675"/>
      <c r="AK211" s="675"/>
      <c r="AL211" s="675"/>
      <c r="AM211" s="675"/>
      <c r="AN211" s="675"/>
      <c r="AO211" s="675"/>
      <c r="AP211" s="675"/>
      <c r="AQ211" s="675"/>
      <c r="AR211" s="675"/>
      <c r="AS211" s="675"/>
      <c r="AT211" s="675"/>
      <c r="AU211" s="675"/>
      <c r="AV211" s="675"/>
    </row>
    <row r="212" spans="1:48" ht="12.9" customHeight="1" x14ac:dyDescent="0.25">
      <c r="C212" s="7"/>
      <c r="D212" s="7"/>
      <c r="H212" s="8"/>
      <c r="J212" s="9"/>
      <c r="S212" s="9" t="str">
        <f>+R56</f>
        <v>INFORME N° 25</v>
      </c>
      <c r="U212" s="10"/>
      <c r="V212" s="11"/>
      <c r="AB212" s="655">
        <f>+AB56</f>
        <v>0</v>
      </c>
      <c r="AC212" s="674"/>
      <c r="AD212" s="674"/>
      <c r="AE212" s="674"/>
      <c r="AF212" s="674"/>
    </row>
    <row r="213" spans="1:48" s="29" customFormat="1" ht="24.9" customHeight="1" x14ac:dyDescent="0.3">
      <c r="A213" s="523">
        <v>1</v>
      </c>
      <c r="B213" s="524"/>
      <c r="C213" s="27" t="s">
        <v>52</v>
      </c>
      <c r="D213" s="15"/>
      <c r="E213" s="15"/>
      <c r="F213" s="15"/>
      <c r="G213" s="15"/>
      <c r="H213" s="15"/>
      <c r="I213" s="15"/>
      <c r="J213" s="28" t="s">
        <v>62</v>
      </c>
      <c r="K213" s="15"/>
      <c r="L213" s="15"/>
      <c r="M213" s="15"/>
      <c r="N213" s="15"/>
      <c r="O213" s="15"/>
      <c r="U213" s="30"/>
      <c r="V213" s="30"/>
      <c r="W213" s="30"/>
      <c r="X213" s="30"/>
      <c r="Y213" s="30"/>
      <c r="Z213" s="30"/>
      <c r="AA213" s="30"/>
      <c r="AB213" s="30"/>
      <c r="AC213" s="30"/>
      <c r="AD213" s="30"/>
    </row>
    <row r="214" spans="1:48" ht="52.5" customHeight="1" x14ac:dyDescent="0.25">
      <c r="C214" s="603" t="s">
        <v>143</v>
      </c>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c r="AA214" s="604"/>
      <c r="AB214" s="604"/>
      <c r="AC214" s="604"/>
      <c r="AD214" s="604"/>
      <c r="AE214" s="604"/>
      <c r="AF214" s="604"/>
      <c r="AG214" s="604"/>
      <c r="AH214" s="604"/>
      <c r="AI214" s="604"/>
      <c r="AJ214" s="604"/>
      <c r="AK214" s="604"/>
      <c r="AL214" s="604"/>
      <c r="AM214" s="604"/>
      <c r="AN214" s="604"/>
      <c r="AO214" s="604"/>
      <c r="AP214" s="604"/>
      <c r="AQ214" s="604"/>
      <c r="AR214" s="604"/>
      <c r="AS214" s="604"/>
      <c r="AT214" s="604"/>
      <c r="AU214" s="604"/>
      <c r="AV214" s="604"/>
    </row>
    <row r="215" spans="1:48" ht="5.0999999999999996" customHeight="1" x14ac:dyDescent="0.25"/>
    <row r="216" spans="1:48" s="263" customFormat="1" ht="13.8" x14ac:dyDescent="0.25">
      <c r="C216" s="813" t="s">
        <v>28</v>
      </c>
      <c r="D216" s="814"/>
      <c r="E216" s="814"/>
      <c r="F216" s="814"/>
      <c r="G216" s="814"/>
      <c r="H216" s="814"/>
      <c r="I216" s="814"/>
      <c r="J216" s="814"/>
      <c r="K216" s="814"/>
      <c r="L216" s="814"/>
      <c r="M216" s="814"/>
      <c r="N216" s="814"/>
      <c r="O216" s="814"/>
      <c r="P216" s="814"/>
      <c r="Q216" s="814"/>
      <c r="R216" s="814"/>
      <c r="S216" s="814"/>
      <c r="T216" s="814"/>
      <c r="U216" s="814"/>
      <c r="V216" s="814"/>
      <c r="W216" s="814"/>
      <c r="X216" s="814"/>
      <c r="Y216" s="814"/>
      <c r="Z216" s="814"/>
      <c r="AA216" s="814"/>
      <c r="AB216" s="814"/>
      <c r="AC216" s="814"/>
      <c r="AD216" s="814"/>
      <c r="AE216" s="814"/>
      <c r="AF216" s="814"/>
      <c r="AG216" s="814"/>
      <c r="AH216" s="814"/>
      <c r="AI216" s="814"/>
      <c r="AJ216" s="814"/>
      <c r="AK216" s="814"/>
      <c r="AL216" s="814"/>
      <c r="AM216" s="814"/>
      <c r="AN216" s="814"/>
      <c r="AO216" s="814"/>
      <c r="AP216" s="814"/>
      <c r="AQ216" s="814"/>
      <c r="AR216" s="814"/>
      <c r="AS216" s="814"/>
      <c r="AT216" s="814"/>
      <c r="AU216" s="814"/>
      <c r="AV216" s="815"/>
    </row>
    <row r="217" spans="1:48" s="187" customFormat="1" ht="3" customHeight="1" x14ac:dyDescent="0.25">
      <c r="M217" s="264"/>
      <c r="N217" s="264"/>
      <c r="O217" s="264"/>
      <c r="P217" s="264"/>
      <c r="Q217" s="264"/>
      <c r="R217" s="264"/>
      <c r="S217" s="264"/>
      <c r="T217" s="264"/>
      <c r="U217" s="193"/>
      <c r="V217" s="193"/>
      <c r="W217" s="193"/>
      <c r="X217" s="193"/>
      <c r="Y217" s="193"/>
      <c r="Z217" s="193"/>
      <c r="AA217" s="193"/>
      <c r="AB217" s="193"/>
      <c r="AC217" s="193"/>
      <c r="AD217" s="193"/>
    </row>
    <row r="218" spans="1:48" s="31" customFormat="1" ht="81.75" customHeight="1" x14ac:dyDescent="0.25">
      <c r="C218" s="821" t="s">
        <v>30</v>
      </c>
      <c r="D218" s="822"/>
      <c r="E218" s="822"/>
      <c r="F218" s="822"/>
      <c r="G218" s="822"/>
      <c r="H218" s="822"/>
      <c r="I218" s="822"/>
      <c r="J218" s="822"/>
      <c r="K218" s="822"/>
      <c r="L218" s="822"/>
      <c r="M218" s="822"/>
      <c r="N218" s="822"/>
      <c r="O218" s="822"/>
      <c r="P218" s="822"/>
      <c r="Q218" s="822"/>
      <c r="R218" s="774" t="s">
        <v>140</v>
      </c>
      <c r="S218" s="775"/>
      <c r="T218" s="776"/>
      <c r="U218" s="774" t="s">
        <v>126</v>
      </c>
      <c r="V218" s="775"/>
      <c r="W218" s="776"/>
      <c r="X218" s="501" t="s">
        <v>141</v>
      </c>
      <c r="Y218" s="502"/>
      <c r="Z218" s="503"/>
      <c r="AA218" s="501" t="s">
        <v>142</v>
      </c>
      <c r="AB218" s="502"/>
      <c r="AC218" s="503"/>
      <c r="AD218" s="777" t="s">
        <v>41</v>
      </c>
      <c r="AE218" s="778"/>
      <c r="AF218" s="779"/>
      <c r="AG218" s="779"/>
      <c r="AH218" s="779"/>
      <c r="AI218" s="777" t="s">
        <v>42</v>
      </c>
      <c r="AJ218" s="778"/>
      <c r="AK218" s="779"/>
      <c r="AL218" s="779"/>
      <c r="AM218" s="779"/>
      <c r="AN218" s="777" t="s">
        <v>40</v>
      </c>
      <c r="AO218" s="780"/>
      <c r="AP218" s="780"/>
      <c r="AQ218" s="780"/>
      <c r="AR218" s="780"/>
      <c r="AS218" s="496" t="s">
        <v>29</v>
      </c>
      <c r="AT218" s="497"/>
      <c r="AU218" s="498"/>
      <c r="AV218" s="498"/>
    </row>
    <row r="219" spans="1:48" s="31" customFormat="1" x14ac:dyDescent="0.25">
      <c r="C219" s="916" t="s">
        <v>191</v>
      </c>
      <c r="D219" s="892"/>
      <c r="E219" s="892"/>
      <c r="F219" s="892"/>
      <c r="G219" s="892"/>
      <c r="H219" s="892"/>
      <c r="I219" s="892"/>
      <c r="J219" s="892"/>
      <c r="K219" s="892"/>
      <c r="L219" s="892"/>
      <c r="M219" s="892"/>
      <c r="N219" s="892"/>
      <c r="O219" s="892"/>
      <c r="P219" s="892"/>
      <c r="Q219" s="892"/>
      <c r="R219" s="892"/>
      <c r="S219" s="892"/>
      <c r="T219" s="892"/>
      <c r="U219" s="892"/>
      <c r="V219" s="892"/>
      <c r="W219" s="892"/>
      <c r="X219" s="892"/>
      <c r="Y219" s="892"/>
      <c r="Z219" s="892"/>
      <c r="AA219" s="892"/>
      <c r="AB219" s="892"/>
      <c r="AC219" s="892"/>
      <c r="AD219" s="892"/>
      <c r="AE219" s="892"/>
      <c r="AF219" s="892"/>
      <c r="AG219" s="892"/>
      <c r="AH219" s="892"/>
      <c r="AI219" s="892"/>
      <c r="AJ219" s="892"/>
      <c r="AK219" s="892"/>
      <c r="AL219" s="892"/>
      <c r="AM219" s="892"/>
      <c r="AN219" s="892"/>
      <c r="AO219" s="892"/>
      <c r="AP219" s="892"/>
      <c r="AQ219" s="892"/>
      <c r="AR219" s="892"/>
      <c r="AS219" s="892"/>
      <c r="AT219" s="892"/>
      <c r="AU219" s="892"/>
      <c r="AV219" s="893"/>
    </row>
    <row r="220" spans="1:48" s="32" customFormat="1" ht="80.25" customHeight="1" x14ac:dyDescent="0.25">
      <c r="C220" s="568"/>
      <c r="D220" s="568"/>
      <c r="E220" s="568"/>
      <c r="F220" s="568"/>
      <c r="G220" s="568"/>
      <c r="H220" s="568"/>
      <c r="I220" s="568"/>
      <c r="J220" s="568"/>
      <c r="K220" s="568"/>
      <c r="L220" s="568"/>
      <c r="M220" s="568"/>
      <c r="N220" s="568"/>
      <c r="O220" s="568"/>
      <c r="P220" s="568"/>
      <c r="Q220" s="568"/>
      <c r="R220" s="841"/>
      <c r="S220" s="841"/>
      <c r="T220" s="841"/>
      <c r="U220" s="841"/>
      <c r="V220" s="841"/>
      <c r="W220" s="841"/>
      <c r="X220" s="801"/>
      <c r="Y220" s="801"/>
      <c r="Z220" s="801"/>
      <c r="AA220" s="801"/>
      <c r="AB220" s="801"/>
      <c r="AC220" s="801"/>
      <c r="AD220" s="829"/>
      <c r="AE220" s="829"/>
      <c r="AF220" s="829"/>
      <c r="AG220" s="829"/>
      <c r="AH220" s="829"/>
      <c r="AI220" s="829"/>
      <c r="AJ220" s="829"/>
      <c r="AK220" s="829"/>
      <c r="AL220" s="829"/>
      <c r="AM220" s="829"/>
      <c r="AN220" s="499">
        <f>+AD220-AI220</f>
        <v>0</v>
      </c>
      <c r="AO220" s="500"/>
      <c r="AP220" s="500"/>
      <c r="AQ220" s="500"/>
      <c r="AR220" s="500"/>
      <c r="AS220" s="506" t="e">
        <f>+AN220/X220</f>
        <v>#DIV/0!</v>
      </c>
      <c r="AT220" s="507"/>
      <c r="AU220" s="508"/>
      <c r="AV220" s="508"/>
    </row>
    <row r="221" spans="1:48" s="32" customFormat="1" ht="93.75" customHeight="1" x14ac:dyDescent="0.25">
      <c r="C221" s="568"/>
      <c r="D221" s="568"/>
      <c r="E221" s="568"/>
      <c r="F221" s="568"/>
      <c r="G221" s="568"/>
      <c r="H221" s="568"/>
      <c r="I221" s="568"/>
      <c r="J221" s="568"/>
      <c r="K221" s="568"/>
      <c r="L221" s="568"/>
      <c r="M221" s="568"/>
      <c r="N221" s="568"/>
      <c r="O221" s="568"/>
      <c r="P221" s="568"/>
      <c r="Q221" s="568"/>
      <c r="R221" s="841"/>
      <c r="S221" s="841"/>
      <c r="T221" s="841"/>
      <c r="U221" s="841"/>
      <c r="V221" s="841"/>
      <c r="W221" s="841"/>
      <c r="X221" s="801"/>
      <c r="Y221" s="801"/>
      <c r="Z221" s="801"/>
      <c r="AA221" s="801"/>
      <c r="AB221" s="801"/>
      <c r="AC221" s="801"/>
      <c r="AD221" s="829"/>
      <c r="AE221" s="829"/>
      <c r="AF221" s="829"/>
      <c r="AG221" s="829"/>
      <c r="AH221" s="829"/>
      <c r="AI221" s="829"/>
      <c r="AJ221" s="829"/>
      <c r="AK221" s="829"/>
      <c r="AL221" s="829"/>
      <c r="AM221" s="829"/>
      <c r="AN221" s="499">
        <f>+AD221-AI221</f>
        <v>0</v>
      </c>
      <c r="AO221" s="500"/>
      <c r="AP221" s="500"/>
      <c r="AQ221" s="500"/>
      <c r="AR221" s="500"/>
      <c r="AS221" s="506" t="e">
        <f>+AN221/X221</f>
        <v>#DIV/0!</v>
      </c>
      <c r="AT221" s="507"/>
      <c r="AU221" s="508"/>
      <c r="AV221" s="508"/>
    </row>
    <row r="222" spans="1:48" s="32" customFormat="1" ht="93.75" customHeight="1" x14ac:dyDescent="0.25">
      <c r="C222" s="904"/>
      <c r="D222" s="905"/>
      <c r="E222" s="905"/>
      <c r="F222" s="905"/>
      <c r="G222" s="905"/>
      <c r="H222" s="905"/>
      <c r="I222" s="905"/>
      <c r="J222" s="905"/>
      <c r="K222" s="905"/>
      <c r="L222" s="905"/>
      <c r="M222" s="905"/>
      <c r="N222" s="905"/>
      <c r="O222" s="905"/>
      <c r="P222" s="905"/>
      <c r="Q222" s="906"/>
      <c r="R222" s="907"/>
      <c r="S222" s="908"/>
      <c r="T222" s="909"/>
      <c r="U222" s="816"/>
      <c r="V222" s="817"/>
      <c r="W222" s="818"/>
      <c r="X222" s="816"/>
      <c r="Y222" s="817"/>
      <c r="Z222" s="818"/>
      <c r="AA222" s="816"/>
      <c r="AB222" s="817"/>
      <c r="AC222" s="818"/>
      <c r="AD222" s="830"/>
      <c r="AE222" s="830"/>
      <c r="AF222" s="831"/>
      <c r="AG222" s="831"/>
      <c r="AH222" s="831"/>
      <c r="AI222" s="830"/>
      <c r="AJ222" s="830"/>
      <c r="AK222" s="830"/>
      <c r="AL222" s="830"/>
      <c r="AM222" s="830"/>
      <c r="AN222" s="499">
        <f>+AD222-AI222</f>
        <v>0</v>
      </c>
      <c r="AO222" s="500"/>
      <c r="AP222" s="500"/>
      <c r="AQ222" s="500"/>
      <c r="AR222" s="500"/>
      <c r="AS222" s="832" t="e">
        <f>+AN222/X222</f>
        <v>#DIV/0!</v>
      </c>
      <c r="AT222" s="833"/>
      <c r="AU222" s="834"/>
      <c r="AV222" s="834"/>
    </row>
    <row r="223" spans="1:48" s="31" customFormat="1" ht="28.5" customHeight="1" x14ac:dyDescent="0.25">
      <c r="C223" s="891" t="s">
        <v>192</v>
      </c>
      <c r="D223" s="892"/>
      <c r="E223" s="892"/>
      <c r="F223" s="892"/>
      <c r="G223" s="892"/>
      <c r="H223" s="892"/>
      <c r="I223" s="892"/>
      <c r="J223" s="892"/>
      <c r="K223" s="892"/>
      <c r="L223" s="892"/>
      <c r="M223" s="892"/>
      <c r="N223" s="892"/>
      <c r="O223" s="892"/>
      <c r="P223" s="892"/>
      <c r="Q223" s="892"/>
      <c r="R223" s="892"/>
      <c r="S223" s="892"/>
      <c r="T223" s="892"/>
      <c r="U223" s="892"/>
      <c r="V223" s="892"/>
      <c r="W223" s="892"/>
      <c r="X223" s="892"/>
      <c r="Y223" s="892"/>
      <c r="Z223" s="892"/>
      <c r="AA223" s="892"/>
      <c r="AB223" s="892"/>
      <c r="AC223" s="892"/>
      <c r="AD223" s="892"/>
      <c r="AE223" s="892"/>
      <c r="AF223" s="892"/>
      <c r="AG223" s="892"/>
      <c r="AH223" s="892"/>
      <c r="AI223" s="892"/>
      <c r="AJ223" s="892"/>
      <c r="AK223" s="892"/>
      <c r="AL223" s="892"/>
      <c r="AM223" s="892"/>
      <c r="AN223" s="892"/>
      <c r="AO223" s="892"/>
      <c r="AP223" s="892"/>
      <c r="AQ223" s="892"/>
      <c r="AR223" s="892"/>
      <c r="AS223" s="892"/>
      <c r="AT223" s="892"/>
      <c r="AU223" s="892"/>
      <c r="AV223" s="893"/>
    </row>
    <row r="224" spans="1:48" s="32" customFormat="1" ht="80.25" customHeight="1" thickBot="1" x14ac:dyDescent="0.3">
      <c r="C224" s="899"/>
      <c r="D224" s="899"/>
      <c r="E224" s="899"/>
      <c r="F224" s="899"/>
      <c r="G224" s="899"/>
      <c r="H224" s="899"/>
      <c r="I224" s="899"/>
      <c r="J224" s="899"/>
      <c r="K224" s="899"/>
      <c r="L224" s="899"/>
      <c r="M224" s="899"/>
      <c r="N224" s="899"/>
      <c r="O224" s="899"/>
      <c r="P224" s="899"/>
      <c r="Q224" s="899"/>
      <c r="R224" s="900"/>
      <c r="S224" s="900"/>
      <c r="T224" s="900"/>
      <c r="U224" s="900"/>
      <c r="V224" s="900"/>
      <c r="W224" s="900"/>
      <c r="X224" s="895"/>
      <c r="Y224" s="895"/>
      <c r="Z224" s="895"/>
      <c r="AA224" s="895"/>
      <c r="AB224" s="895"/>
      <c r="AC224" s="895"/>
      <c r="AD224" s="840"/>
      <c r="AE224" s="840"/>
      <c r="AF224" s="840"/>
      <c r="AG224" s="840"/>
      <c r="AH224" s="840"/>
      <c r="AI224" s="840"/>
      <c r="AJ224" s="840"/>
      <c r="AK224" s="840"/>
      <c r="AL224" s="840"/>
      <c r="AM224" s="840"/>
      <c r="AN224" s="838">
        <f>+AD224-AI224</f>
        <v>0</v>
      </c>
      <c r="AO224" s="839"/>
      <c r="AP224" s="839"/>
      <c r="AQ224" s="839"/>
      <c r="AR224" s="839"/>
      <c r="AS224" s="835" t="e">
        <f>+AN224/X224</f>
        <v>#DIV/0!</v>
      </c>
      <c r="AT224" s="836"/>
      <c r="AU224" s="837"/>
      <c r="AV224" s="837"/>
    </row>
    <row r="225" spans="1:48" s="183" customFormat="1" ht="21" customHeight="1" thickTop="1" x14ac:dyDescent="0.25">
      <c r="A225" s="266" t="s">
        <v>16</v>
      </c>
      <c r="B225" s="267"/>
      <c r="C225" s="517"/>
      <c r="D225" s="518"/>
      <c r="E225" s="518"/>
      <c r="F225" s="518"/>
      <c r="G225" s="518"/>
      <c r="H225" s="518"/>
      <c r="I225" s="518"/>
      <c r="J225" s="518"/>
      <c r="K225" s="518"/>
      <c r="L225" s="518"/>
      <c r="M225" s="518"/>
      <c r="N225" s="518"/>
      <c r="O225" s="518"/>
      <c r="P225" s="518"/>
      <c r="Q225" s="518"/>
      <c r="R225" s="518"/>
      <c r="S225" s="518"/>
      <c r="T225" s="518"/>
      <c r="U225" s="518"/>
      <c r="V225" s="518"/>
      <c r="W225" s="518"/>
      <c r="X225" s="518"/>
      <c r="Y225" s="518"/>
      <c r="Z225" s="518"/>
      <c r="AA225" s="518"/>
      <c r="AB225" s="518"/>
      <c r="AC225" s="518"/>
      <c r="AD225" s="518"/>
      <c r="AE225" s="518"/>
      <c r="AF225" s="518"/>
      <c r="AG225" s="518"/>
      <c r="AH225" s="518"/>
      <c r="AI225" s="518"/>
      <c r="AJ225" s="518"/>
      <c r="AK225" s="518"/>
      <c r="AL225" s="518"/>
      <c r="AM225" s="518"/>
      <c r="AN225" s="518"/>
      <c r="AO225" s="518"/>
      <c r="AP225" s="518"/>
      <c r="AQ225" s="518"/>
      <c r="AR225" s="518"/>
      <c r="AS225" s="518"/>
      <c r="AT225" s="518"/>
      <c r="AU225" s="518"/>
      <c r="AV225" s="519"/>
    </row>
    <row r="226" spans="1:48" s="183" customFormat="1" ht="21" customHeight="1" x14ac:dyDescent="0.25">
      <c r="A226" s="268"/>
      <c r="B226" s="267"/>
      <c r="C226" s="517"/>
      <c r="D226" s="518"/>
      <c r="E226" s="518"/>
      <c r="F226" s="518"/>
      <c r="G226" s="518"/>
      <c r="H226" s="518"/>
      <c r="I226" s="518"/>
      <c r="J226" s="518"/>
      <c r="K226" s="518"/>
      <c r="L226" s="518"/>
      <c r="M226" s="518"/>
      <c r="N226" s="518"/>
      <c r="O226" s="518"/>
      <c r="P226" s="518"/>
      <c r="Q226" s="518"/>
      <c r="R226" s="518"/>
      <c r="S226" s="518"/>
      <c r="T226" s="518"/>
      <c r="U226" s="518"/>
      <c r="V226" s="518"/>
      <c r="W226" s="518"/>
      <c r="X226" s="518"/>
      <c r="Y226" s="518"/>
      <c r="Z226" s="518"/>
      <c r="AA226" s="518"/>
      <c r="AB226" s="518"/>
      <c r="AC226" s="518"/>
      <c r="AD226" s="518"/>
      <c r="AE226" s="518"/>
      <c r="AF226" s="518"/>
      <c r="AG226" s="518"/>
      <c r="AH226" s="518"/>
      <c r="AI226" s="518"/>
      <c r="AJ226" s="518"/>
      <c r="AK226" s="518"/>
      <c r="AL226" s="518"/>
      <c r="AM226" s="518"/>
      <c r="AN226" s="518"/>
      <c r="AO226" s="518"/>
      <c r="AP226" s="518"/>
      <c r="AQ226" s="518"/>
      <c r="AR226" s="518"/>
      <c r="AS226" s="518"/>
      <c r="AT226" s="518"/>
      <c r="AU226" s="518"/>
      <c r="AV226" s="519"/>
    </row>
    <row r="227" spans="1:48" s="183" customFormat="1" ht="21" customHeight="1" x14ac:dyDescent="0.25">
      <c r="A227" s="268"/>
      <c r="B227" s="267"/>
      <c r="C227" s="517"/>
      <c r="D227" s="518"/>
      <c r="E227" s="518"/>
      <c r="F227" s="518"/>
      <c r="G227" s="518"/>
      <c r="H227" s="518"/>
      <c r="I227" s="518"/>
      <c r="J227" s="518"/>
      <c r="K227" s="518"/>
      <c r="L227" s="518"/>
      <c r="M227" s="518"/>
      <c r="N227" s="518"/>
      <c r="O227" s="518"/>
      <c r="P227" s="518"/>
      <c r="Q227" s="518"/>
      <c r="R227" s="518"/>
      <c r="S227" s="518"/>
      <c r="T227" s="518"/>
      <c r="U227" s="518"/>
      <c r="V227" s="518"/>
      <c r="W227" s="518"/>
      <c r="X227" s="518"/>
      <c r="Y227" s="518"/>
      <c r="Z227" s="518"/>
      <c r="AA227" s="518"/>
      <c r="AB227" s="518"/>
      <c r="AC227" s="518"/>
      <c r="AD227" s="518"/>
      <c r="AE227" s="518"/>
      <c r="AF227" s="518"/>
      <c r="AG227" s="518"/>
      <c r="AH227" s="518"/>
      <c r="AI227" s="518"/>
      <c r="AJ227" s="518"/>
      <c r="AK227" s="518"/>
      <c r="AL227" s="518"/>
      <c r="AM227" s="518"/>
      <c r="AN227" s="518"/>
      <c r="AO227" s="518"/>
      <c r="AP227" s="518"/>
      <c r="AQ227" s="518"/>
      <c r="AR227" s="518"/>
      <c r="AS227" s="518"/>
      <c r="AT227" s="518"/>
      <c r="AU227" s="518"/>
      <c r="AV227" s="519"/>
    </row>
    <row r="228" spans="1:48" s="183" customFormat="1" ht="21" customHeight="1" x14ac:dyDescent="0.25">
      <c r="A228" s="268"/>
      <c r="B228" s="267"/>
      <c r="C228" s="517"/>
      <c r="D228" s="518"/>
      <c r="E228" s="518"/>
      <c r="F228" s="518"/>
      <c r="G228" s="518"/>
      <c r="H228" s="518"/>
      <c r="I228" s="518"/>
      <c r="J228" s="518"/>
      <c r="K228" s="518"/>
      <c r="L228" s="518"/>
      <c r="M228" s="518"/>
      <c r="N228" s="518"/>
      <c r="O228" s="518"/>
      <c r="P228" s="518"/>
      <c r="Q228" s="518"/>
      <c r="R228" s="518"/>
      <c r="S228" s="518"/>
      <c r="T228" s="518"/>
      <c r="U228" s="518"/>
      <c r="V228" s="518"/>
      <c r="W228" s="518"/>
      <c r="X228" s="518"/>
      <c r="Y228" s="518"/>
      <c r="Z228" s="518"/>
      <c r="AA228" s="518"/>
      <c r="AB228" s="518"/>
      <c r="AC228" s="518"/>
      <c r="AD228" s="518"/>
      <c r="AE228" s="518"/>
      <c r="AF228" s="518"/>
      <c r="AG228" s="518"/>
      <c r="AH228" s="518"/>
      <c r="AI228" s="518"/>
      <c r="AJ228" s="518"/>
      <c r="AK228" s="518"/>
      <c r="AL228" s="518"/>
      <c r="AM228" s="518"/>
      <c r="AN228" s="518"/>
      <c r="AO228" s="518"/>
      <c r="AP228" s="518"/>
      <c r="AQ228" s="518"/>
      <c r="AR228" s="518"/>
      <c r="AS228" s="518"/>
      <c r="AT228" s="518"/>
      <c r="AU228" s="518"/>
      <c r="AV228" s="519"/>
    </row>
    <row r="229" spans="1:48" s="183" customFormat="1" ht="21" customHeight="1" x14ac:dyDescent="0.25">
      <c r="A229" s="268"/>
      <c r="B229" s="267"/>
      <c r="C229" s="517"/>
      <c r="D229" s="518"/>
      <c r="E229" s="518"/>
      <c r="F229" s="518"/>
      <c r="G229" s="518"/>
      <c r="H229" s="518"/>
      <c r="I229" s="518"/>
      <c r="J229" s="518"/>
      <c r="K229" s="518"/>
      <c r="L229" s="518"/>
      <c r="M229" s="518"/>
      <c r="N229" s="518"/>
      <c r="O229" s="518"/>
      <c r="P229" s="518"/>
      <c r="Q229" s="518"/>
      <c r="R229" s="518"/>
      <c r="S229" s="518"/>
      <c r="T229" s="518"/>
      <c r="U229" s="518"/>
      <c r="V229" s="518"/>
      <c r="W229" s="518"/>
      <c r="X229" s="518"/>
      <c r="Y229" s="518"/>
      <c r="Z229" s="518"/>
      <c r="AA229" s="518"/>
      <c r="AB229" s="518"/>
      <c r="AC229" s="518"/>
      <c r="AD229" s="518"/>
      <c r="AE229" s="518"/>
      <c r="AF229" s="518"/>
      <c r="AG229" s="518"/>
      <c r="AH229" s="518"/>
      <c r="AI229" s="518"/>
      <c r="AJ229" s="518"/>
      <c r="AK229" s="518"/>
      <c r="AL229" s="518"/>
      <c r="AM229" s="518"/>
      <c r="AN229" s="518"/>
      <c r="AO229" s="518"/>
      <c r="AP229" s="518"/>
      <c r="AQ229" s="518"/>
      <c r="AR229" s="518"/>
      <c r="AS229" s="518"/>
      <c r="AT229" s="518"/>
      <c r="AU229" s="518"/>
      <c r="AV229" s="519"/>
    </row>
    <row r="230" spans="1:48" s="183" customFormat="1" ht="21" customHeight="1" x14ac:dyDescent="0.25">
      <c r="A230" s="266"/>
      <c r="B230" s="267"/>
      <c r="C230" s="517"/>
      <c r="D230" s="518"/>
      <c r="E230" s="518"/>
      <c r="F230" s="518"/>
      <c r="G230" s="518"/>
      <c r="H230" s="518"/>
      <c r="I230" s="518"/>
      <c r="J230" s="518"/>
      <c r="K230" s="518"/>
      <c r="L230" s="518"/>
      <c r="M230" s="518"/>
      <c r="N230" s="518"/>
      <c r="O230" s="518"/>
      <c r="P230" s="518"/>
      <c r="Q230" s="518"/>
      <c r="R230" s="518"/>
      <c r="S230" s="518"/>
      <c r="T230" s="518"/>
      <c r="U230" s="518"/>
      <c r="V230" s="518"/>
      <c r="W230" s="518"/>
      <c r="X230" s="518"/>
      <c r="Y230" s="518"/>
      <c r="Z230" s="518"/>
      <c r="AA230" s="518"/>
      <c r="AB230" s="518"/>
      <c r="AC230" s="518"/>
      <c r="AD230" s="518"/>
      <c r="AE230" s="518"/>
      <c r="AF230" s="518"/>
      <c r="AG230" s="518"/>
      <c r="AH230" s="518"/>
      <c r="AI230" s="518"/>
      <c r="AJ230" s="518"/>
      <c r="AK230" s="518"/>
      <c r="AL230" s="518"/>
      <c r="AM230" s="518"/>
      <c r="AN230" s="518"/>
      <c r="AO230" s="518"/>
      <c r="AP230" s="518"/>
      <c r="AQ230" s="518"/>
      <c r="AR230" s="518"/>
      <c r="AS230" s="518"/>
      <c r="AT230" s="518"/>
      <c r="AU230" s="518"/>
      <c r="AV230" s="519"/>
    </row>
    <row r="231" spans="1:48" s="183" customFormat="1" ht="21" customHeight="1" x14ac:dyDescent="0.25">
      <c r="A231" s="268"/>
      <c r="B231" s="267"/>
      <c r="C231" s="517"/>
      <c r="D231" s="518"/>
      <c r="E231" s="518"/>
      <c r="F231" s="518"/>
      <c r="G231" s="518"/>
      <c r="H231" s="518"/>
      <c r="I231" s="518"/>
      <c r="J231" s="518"/>
      <c r="K231" s="518"/>
      <c r="L231" s="518"/>
      <c r="M231" s="518"/>
      <c r="N231" s="518"/>
      <c r="O231" s="518"/>
      <c r="P231" s="518"/>
      <c r="Q231" s="518"/>
      <c r="R231" s="518"/>
      <c r="S231" s="518"/>
      <c r="T231" s="518"/>
      <c r="U231" s="518"/>
      <c r="V231" s="518"/>
      <c r="W231" s="518"/>
      <c r="X231" s="518"/>
      <c r="Y231" s="518"/>
      <c r="Z231" s="518"/>
      <c r="AA231" s="518"/>
      <c r="AB231" s="518"/>
      <c r="AC231" s="518"/>
      <c r="AD231" s="518"/>
      <c r="AE231" s="518"/>
      <c r="AF231" s="518"/>
      <c r="AG231" s="518"/>
      <c r="AH231" s="518"/>
      <c r="AI231" s="518"/>
      <c r="AJ231" s="518"/>
      <c r="AK231" s="518"/>
      <c r="AL231" s="518"/>
      <c r="AM231" s="518"/>
      <c r="AN231" s="518"/>
      <c r="AO231" s="518"/>
      <c r="AP231" s="518"/>
      <c r="AQ231" s="518"/>
      <c r="AR231" s="518"/>
      <c r="AS231" s="518"/>
      <c r="AT231" s="518"/>
      <c r="AU231" s="518"/>
      <c r="AV231" s="519"/>
    </row>
    <row r="232" spans="1:48" s="183" customFormat="1" ht="21" customHeight="1" x14ac:dyDescent="0.25">
      <c r="A232" s="268"/>
      <c r="B232" s="267"/>
      <c r="C232" s="517"/>
      <c r="D232" s="518"/>
      <c r="E232" s="518"/>
      <c r="F232" s="518"/>
      <c r="G232" s="518"/>
      <c r="H232" s="518"/>
      <c r="I232" s="518"/>
      <c r="J232" s="518"/>
      <c r="K232" s="518"/>
      <c r="L232" s="518"/>
      <c r="M232" s="518"/>
      <c r="N232" s="518"/>
      <c r="O232" s="518"/>
      <c r="P232" s="518"/>
      <c r="Q232" s="518"/>
      <c r="R232" s="518"/>
      <c r="S232" s="518"/>
      <c r="T232" s="518"/>
      <c r="U232" s="518"/>
      <c r="V232" s="518"/>
      <c r="W232" s="518"/>
      <c r="X232" s="518"/>
      <c r="Y232" s="518"/>
      <c r="Z232" s="518"/>
      <c r="AA232" s="518"/>
      <c r="AB232" s="518"/>
      <c r="AC232" s="518"/>
      <c r="AD232" s="518"/>
      <c r="AE232" s="518"/>
      <c r="AF232" s="518"/>
      <c r="AG232" s="518"/>
      <c r="AH232" s="518"/>
      <c r="AI232" s="518"/>
      <c r="AJ232" s="518"/>
      <c r="AK232" s="518"/>
      <c r="AL232" s="518"/>
      <c r="AM232" s="518"/>
      <c r="AN232" s="518"/>
      <c r="AO232" s="518"/>
      <c r="AP232" s="518"/>
      <c r="AQ232" s="518"/>
      <c r="AR232" s="518"/>
      <c r="AS232" s="518"/>
      <c r="AT232" s="518"/>
      <c r="AU232" s="518"/>
      <c r="AV232" s="519"/>
    </row>
    <row r="233" spans="1:48" s="183" customFormat="1" ht="21" customHeight="1" x14ac:dyDescent="0.25">
      <c r="A233" s="268"/>
      <c r="B233" s="267"/>
      <c r="C233" s="517"/>
      <c r="D233" s="518"/>
      <c r="E233" s="518"/>
      <c r="F233" s="518"/>
      <c r="G233" s="518"/>
      <c r="H233" s="518"/>
      <c r="I233" s="518"/>
      <c r="J233" s="518"/>
      <c r="K233" s="518"/>
      <c r="L233" s="518"/>
      <c r="M233" s="518"/>
      <c r="N233" s="518"/>
      <c r="O233" s="518"/>
      <c r="P233" s="518"/>
      <c r="Q233" s="518"/>
      <c r="R233" s="518"/>
      <c r="S233" s="518"/>
      <c r="T233" s="518"/>
      <c r="U233" s="518"/>
      <c r="V233" s="518"/>
      <c r="W233" s="518"/>
      <c r="X233" s="518"/>
      <c r="Y233" s="518"/>
      <c r="Z233" s="518"/>
      <c r="AA233" s="518"/>
      <c r="AB233" s="518"/>
      <c r="AC233" s="518"/>
      <c r="AD233" s="518"/>
      <c r="AE233" s="518"/>
      <c r="AF233" s="518"/>
      <c r="AG233" s="518"/>
      <c r="AH233" s="518"/>
      <c r="AI233" s="518"/>
      <c r="AJ233" s="518"/>
      <c r="AK233" s="518"/>
      <c r="AL233" s="518"/>
      <c r="AM233" s="518"/>
      <c r="AN233" s="518"/>
      <c r="AO233" s="518"/>
      <c r="AP233" s="518"/>
      <c r="AQ233" s="518"/>
      <c r="AR233" s="518"/>
      <c r="AS233" s="518"/>
      <c r="AT233" s="518"/>
      <c r="AU233" s="518"/>
      <c r="AV233" s="519"/>
    </row>
    <row r="234" spans="1:48" s="183" customFormat="1" ht="21" customHeight="1" x14ac:dyDescent="0.25">
      <c r="A234" s="271"/>
      <c r="B234" s="270"/>
      <c r="C234" s="517"/>
      <c r="D234" s="518"/>
      <c r="E234" s="518"/>
      <c r="F234" s="518"/>
      <c r="G234" s="518"/>
      <c r="H234" s="518"/>
      <c r="I234" s="518"/>
      <c r="J234" s="518"/>
      <c r="K234" s="518"/>
      <c r="L234" s="518"/>
      <c r="M234" s="518"/>
      <c r="N234" s="518"/>
      <c r="O234" s="518"/>
      <c r="P234" s="518"/>
      <c r="Q234" s="518"/>
      <c r="R234" s="518"/>
      <c r="S234" s="518"/>
      <c r="T234" s="518"/>
      <c r="U234" s="518"/>
      <c r="V234" s="518"/>
      <c r="W234" s="518"/>
      <c r="X234" s="518"/>
      <c r="Y234" s="518"/>
      <c r="Z234" s="518"/>
      <c r="AA234" s="518"/>
      <c r="AB234" s="518"/>
      <c r="AC234" s="518"/>
      <c r="AD234" s="518"/>
      <c r="AE234" s="518"/>
      <c r="AF234" s="518"/>
      <c r="AG234" s="518"/>
      <c r="AH234" s="518"/>
      <c r="AI234" s="518"/>
      <c r="AJ234" s="518"/>
      <c r="AK234" s="518"/>
      <c r="AL234" s="518"/>
      <c r="AM234" s="518"/>
      <c r="AN234" s="518"/>
      <c r="AO234" s="518"/>
      <c r="AP234" s="518"/>
      <c r="AQ234" s="518"/>
      <c r="AR234" s="518"/>
      <c r="AS234" s="518"/>
      <c r="AT234" s="518"/>
      <c r="AU234" s="518"/>
      <c r="AV234" s="519"/>
    </row>
    <row r="235" spans="1:48" s="183" customFormat="1" ht="21" customHeight="1" x14ac:dyDescent="0.25">
      <c r="A235" s="269"/>
      <c r="B235" s="270"/>
      <c r="C235" s="517"/>
      <c r="D235" s="518"/>
      <c r="E235" s="518"/>
      <c r="F235" s="518"/>
      <c r="G235" s="518"/>
      <c r="H235" s="518"/>
      <c r="I235" s="518"/>
      <c r="J235" s="518"/>
      <c r="K235" s="518"/>
      <c r="L235" s="518"/>
      <c r="M235" s="518"/>
      <c r="N235" s="518"/>
      <c r="O235" s="518"/>
      <c r="P235" s="518"/>
      <c r="Q235" s="518"/>
      <c r="R235" s="518"/>
      <c r="S235" s="518"/>
      <c r="T235" s="518"/>
      <c r="U235" s="518"/>
      <c r="V235" s="518"/>
      <c r="W235" s="518"/>
      <c r="X235" s="518"/>
      <c r="Y235" s="518"/>
      <c r="Z235" s="518"/>
      <c r="AA235" s="518"/>
      <c r="AB235" s="518"/>
      <c r="AC235" s="518"/>
      <c r="AD235" s="518"/>
      <c r="AE235" s="518"/>
      <c r="AF235" s="518"/>
      <c r="AG235" s="518"/>
      <c r="AH235" s="518"/>
      <c r="AI235" s="518"/>
      <c r="AJ235" s="518"/>
      <c r="AK235" s="518"/>
      <c r="AL235" s="518"/>
      <c r="AM235" s="518"/>
      <c r="AN235" s="518"/>
      <c r="AO235" s="518"/>
      <c r="AP235" s="518"/>
      <c r="AQ235" s="518"/>
      <c r="AR235" s="518"/>
      <c r="AS235" s="518"/>
      <c r="AT235" s="518"/>
      <c r="AU235" s="518"/>
      <c r="AV235" s="519"/>
    </row>
    <row r="236" spans="1:48" s="183" customFormat="1" ht="21" customHeight="1" thickBot="1" x14ac:dyDescent="0.3">
      <c r="A236" s="271"/>
      <c r="B236" s="270"/>
      <c r="C236" s="520"/>
      <c r="D236" s="521"/>
      <c r="E236" s="521"/>
      <c r="F236" s="521"/>
      <c r="G236" s="521"/>
      <c r="H236" s="521"/>
      <c r="I236" s="521"/>
      <c r="J236" s="521"/>
      <c r="K236" s="521"/>
      <c r="L236" s="521"/>
      <c r="M236" s="521"/>
      <c r="N236" s="521"/>
      <c r="O236" s="521"/>
      <c r="P236" s="521"/>
      <c r="Q236" s="521"/>
      <c r="R236" s="521"/>
      <c r="S236" s="521"/>
      <c r="T236" s="521"/>
      <c r="U236" s="521"/>
      <c r="V236" s="521"/>
      <c r="W236" s="521"/>
      <c r="X236" s="521"/>
      <c r="Y236" s="521"/>
      <c r="Z236" s="521"/>
      <c r="AA236" s="521"/>
      <c r="AB236" s="521"/>
      <c r="AC236" s="521"/>
      <c r="AD236" s="521"/>
      <c r="AE236" s="521"/>
      <c r="AF236" s="521"/>
      <c r="AG236" s="521"/>
      <c r="AH236" s="521"/>
      <c r="AI236" s="521"/>
      <c r="AJ236" s="521"/>
      <c r="AK236" s="521"/>
      <c r="AL236" s="521"/>
      <c r="AM236" s="521"/>
      <c r="AN236" s="521"/>
      <c r="AO236" s="521"/>
      <c r="AP236" s="521"/>
      <c r="AQ236" s="521"/>
      <c r="AR236" s="521"/>
      <c r="AS236" s="521"/>
      <c r="AT236" s="521"/>
      <c r="AU236" s="521"/>
      <c r="AV236" s="522"/>
    </row>
    <row r="237" spans="1:48" s="13" customFormat="1" ht="63.75" customHeight="1" thickTop="1" x14ac:dyDescent="0.25">
      <c r="C237" s="596"/>
      <c r="D237" s="597"/>
      <c r="E237" s="597"/>
      <c r="F237" s="597"/>
      <c r="G237" s="597"/>
      <c r="H237" s="597"/>
      <c r="I237" s="597"/>
      <c r="J237" s="597"/>
      <c r="K237" s="597"/>
      <c r="L237" s="597"/>
      <c r="M237" s="597"/>
      <c r="N237" s="597"/>
      <c r="O237" s="597"/>
      <c r="P237" s="597"/>
      <c r="Q237" s="597"/>
      <c r="R237" s="597"/>
      <c r="S237" s="597"/>
      <c r="T237" s="597"/>
      <c r="U237" s="597"/>
      <c r="V237" s="597"/>
      <c r="W237" s="597"/>
      <c r="X237" s="597"/>
      <c r="Y237" s="597"/>
      <c r="Z237" s="597"/>
      <c r="AA237" s="597"/>
      <c r="AB237" s="597"/>
      <c r="AC237" s="597"/>
      <c r="AD237" s="597"/>
      <c r="AE237" s="597"/>
      <c r="AF237" s="597"/>
      <c r="AG237" s="597"/>
      <c r="AH237" s="597"/>
      <c r="AI237" s="597"/>
      <c r="AJ237" s="597"/>
      <c r="AK237" s="597"/>
      <c r="AL237" s="597"/>
      <c r="AM237" s="597"/>
      <c r="AN237" s="597"/>
      <c r="AO237" s="597"/>
      <c r="AP237" s="597"/>
      <c r="AQ237" s="597"/>
      <c r="AR237" s="597"/>
      <c r="AS237" s="597"/>
      <c r="AT237" s="597"/>
      <c r="AU237" s="597"/>
      <c r="AV237" s="597"/>
    </row>
    <row r="238" spans="1:48" s="1" customFormat="1" ht="15.9" customHeight="1" x14ac:dyDescent="0.25">
      <c r="C238" s="594"/>
      <c r="D238" s="595"/>
      <c r="E238" s="595"/>
      <c r="F238" s="595"/>
      <c r="G238" s="595"/>
      <c r="H238" s="595"/>
      <c r="I238" s="595"/>
      <c r="J238" s="595"/>
      <c r="K238" s="595"/>
      <c r="L238" s="595"/>
      <c r="M238" s="595"/>
      <c r="N238" s="595"/>
      <c r="O238" s="595"/>
      <c r="P238" s="595"/>
      <c r="Q238" s="595"/>
      <c r="R238" s="595"/>
      <c r="S238" s="595"/>
      <c r="T238" s="595"/>
      <c r="U238" s="595"/>
      <c r="V238" s="605"/>
      <c r="W238" s="606"/>
      <c r="X238" s="606"/>
      <c r="Y238" s="595"/>
      <c r="Z238" s="595"/>
      <c r="AA238" s="595"/>
      <c r="AB238" s="595"/>
      <c r="AC238" s="482" t="s">
        <v>31</v>
      </c>
      <c r="AD238" s="595"/>
      <c r="AE238" s="595"/>
      <c r="AF238" s="595"/>
      <c r="AG238" s="620"/>
      <c r="AH238" s="620"/>
      <c r="AI238" s="620"/>
      <c r="AJ238" s="620"/>
      <c r="AK238" s="620"/>
      <c r="AL238" s="620"/>
      <c r="AM238" s="620"/>
      <c r="AN238" s="595"/>
      <c r="AO238" s="595"/>
      <c r="AP238" s="595"/>
      <c r="AQ238" s="595"/>
      <c r="AR238" s="595"/>
      <c r="AS238" s="595"/>
      <c r="AT238" s="595"/>
      <c r="AU238" s="595"/>
      <c r="AV238" s="621"/>
    </row>
    <row r="239" spans="1:48" ht="20.100000000000001" customHeight="1" x14ac:dyDescent="0.25">
      <c r="C239" s="26" t="s">
        <v>53</v>
      </c>
      <c r="E239" s="1"/>
      <c r="F239" s="1"/>
      <c r="I239" s="36" t="str">
        <f>+J213</f>
        <v>TERRENO</v>
      </c>
      <c r="J239" s="4"/>
    </row>
    <row r="240" spans="1:48" s="33" customFormat="1" ht="15" customHeight="1" x14ac:dyDescent="0.25">
      <c r="C240" s="607">
        <f>+AO92</f>
        <v>0</v>
      </c>
      <c r="D240" s="607"/>
      <c r="E240" s="607"/>
      <c r="F240" s="607"/>
      <c r="G240" s="607"/>
      <c r="H240" s="103" t="s">
        <v>26</v>
      </c>
      <c r="L240" s="33" t="s">
        <v>21</v>
      </c>
      <c r="M240" s="34"/>
      <c r="N240" s="533">
        <f>+V238</f>
        <v>0</v>
      </c>
      <c r="O240" s="533"/>
      <c r="P240" s="560"/>
      <c r="Q240" s="534"/>
      <c r="R240" s="534"/>
      <c r="S240" s="534"/>
      <c r="T240" s="162"/>
      <c r="V240" s="94"/>
      <c r="W240" s="104"/>
      <c r="X240" s="122"/>
      <c r="Y240" s="122"/>
      <c r="Z240" s="122"/>
      <c r="AA240" s="122"/>
      <c r="AB240" s="122"/>
      <c r="AC240" s="103"/>
      <c r="AD240" s="34"/>
      <c r="AE240" s="34"/>
      <c r="AF240" s="34"/>
      <c r="AM240" s="93" t="s">
        <v>18</v>
      </c>
      <c r="AO240" s="533">
        <f>+C240*N240</f>
        <v>0</v>
      </c>
      <c r="AP240" s="533"/>
      <c r="AQ240" s="533"/>
      <c r="AR240" s="534"/>
      <c r="AS240" s="534"/>
      <c r="AT240" s="534"/>
      <c r="AU240" s="534"/>
      <c r="AV240" s="534"/>
    </row>
    <row r="241" spans="1:48" s="37" customFormat="1" ht="14.4" thickBot="1" x14ac:dyDescent="0.3">
      <c r="C241" s="38" t="str">
        <f>+C213</f>
        <v>VALOR DEL</v>
      </c>
      <c r="D241" s="6"/>
      <c r="E241" s="6"/>
      <c r="F241" s="6"/>
      <c r="G241" s="39"/>
      <c r="H241" s="40"/>
      <c r="I241" s="41"/>
      <c r="J241" s="41"/>
      <c r="K241" s="42" t="str">
        <f>+J213</f>
        <v>TERRENO</v>
      </c>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43" t="s">
        <v>18</v>
      </c>
      <c r="AN241" s="39"/>
      <c r="AO241" s="566">
        <f>SUM(AO240:AV240)</f>
        <v>0</v>
      </c>
      <c r="AP241" s="566"/>
      <c r="AQ241" s="566"/>
      <c r="AR241" s="567"/>
      <c r="AS241" s="567"/>
      <c r="AT241" s="567"/>
      <c r="AU241" s="567"/>
      <c r="AV241" s="567"/>
    </row>
    <row r="242" spans="1:48" ht="20.25" customHeight="1" thickTop="1" x14ac:dyDescent="0.25">
      <c r="A242" s="574">
        <f>1+A213</f>
        <v>2</v>
      </c>
      <c r="B242" s="602"/>
      <c r="C242" s="17" t="s">
        <v>70</v>
      </c>
    </row>
    <row r="243" spans="1:48" s="187" customFormat="1" ht="20.25" customHeight="1" x14ac:dyDescent="0.25">
      <c r="A243" s="20"/>
      <c r="B243" s="257"/>
      <c r="C243" s="322" t="str">
        <f>+E143</f>
        <v>Departamento Flat Nº</v>
      </c>
      <c r="U243" s="193"/>
      <c r="V243" s="193"/>
      <c r="W243" s="193"/>
      <c r="X243" s="193"/>
      <c r="Y243" s="193"/>
      <c r="Z243" s="193"/>
      <c r="AA243" s="193"/>
      <c r="AB243" s="193"/>
      <c r="AC243" s="193"/>
      <c r="AD243" s="193"/>
    </row>
    <row r="244" spans="1:48" s="234" customFormat="1" x14ac:dyDescent="0.25">
      <c r="C244" s="571">
        <f>+P143</f>
        <v>0</v>
      </c>
      <c r="D244" s="572"/>
      <c r="E244" s="572"/>
      <c r="F244" s="572"/>
      <c r="G244" s="572"/>
      <c r="H244" s="572"/>
      <c r="I244" s="234" t="s">
        <v>26</v>
      </c>
      <c r="L244" s="234" t="s">
        <v>21</v>
      </c>
      <c r="M244" s="258"/>
      <c r="N244" s="551">
        <f>+AM184</f>
        <v>0</v>
      </c>
      <c r="O244" s="551"/>
      <c r="P244" s="573"/>
      <c r="Q244" s="552"/>
      <c r="R244" s="552"/>
      <c r="S244" s="552"/>
      <c r="T244" s="259" t="s">
        <v>32</v>
      </c>
      <c r="Y244" s="258" t="s">
        <v>21</v>
      </c>
      <c r="AA244" s="586">
        <f>1-AC188</f>
        <v>1</v>
      </c>
      <c r="AB244" s="586"/>
      <c r="AC244" s="552"/>
      <c r="AD244" s="552"/>
      <c r="AM244" s="259" t="s">
        <v>18</v>
      </c>
      <c r="AO244" s="551">
        <f>+C244*N244*AA244</f>
        <v>0</v>
      </c>
      <c r="AP244" s="551"/>
      <c r="AQ244" s="551"/>
      <c r="AR244" s="552"/>
      <c r="AS244" s="552"/>
      <c r="AT244" s="552"/>
      <c r="AU244" s="552"/>
      <c r="AV244" s="552"/>
    </row>
    <row r="245" spans="1:48" s="187" customFormat="1" ht="20.25" customHeight="1" x14ac:dyDescent="0.25">
      <c r="A245" s="20"/>
      <c r="B245" s="257"/>
      <c r="C245" s="322" t="str">
        <f>+E144</f>
        <v>Departamento Flat Nº</v>
      </c>
      <c r="U245" s="193"/>
      <c r="V245" s="193"/>
      <c r="W245" s="193"/>
      <c r="X245" s="193"/>
      <c r="Y245" s="193"/>
      <c r="Z245" s="193"/>
      <c r="AA245" s="193"/>
      <c r="AB245" s="193"/>
      <c r="AC245" s="193"/>
      <c r="AD245" s="193"/>
    </row>
    <row r="246" spans="1:48" s="234" customFormat="1" x14ac:dyDescent="0.25">
      <c r="C246" s="571">
        <f>+W144</f>
        <v>0</v>
      </c>
      <c r="D246" s="572"/>
      <c r="E246" s="572"/>
      <c r="F246" s="572"/>
      <c r="G246" s="572"/>
      <c r="H246" s="572"/>
      <c r="I246" s="234" t="s">
        <v>26</v>
      </c>
      <c r="L246" s="234" t="s">
        <v>21</v>
      </c>
      <c r="M246" s="258"/>
      <c r="N246" s="551">
        <f>+AR184</f>
        <v>0</v>
      </c>
      <c r="O246" s="551"/>
      <c r="P246" s="573"/>
      <c r="Q246" s="552"/>
      <c r="R246" s="552"/>
      <c r="S246" s="552"/>
      <c r="T246" s="259" t="s">
        <v>32</v>
      </c>
      <c r="Y246" s="258" t="s">
        <v>21</v>
      </c>
      <c r="AA246" s="586">
        <f>1-AC189</f>
        <v>1</v>
      </c>
      <c r="AB246" s="586"/>
      <c r="AC246" s="552"/>
      <c r="AD246" s="552"/>
      <c r="AM246" s="259" t="s">
        <v>18</v>
      </c>
      <c r="AO246" s="551">
        <f>+C246*N246*AA246</f>
        <v>0</v>
      </c>
      <c r="AP246" s="551"/>
      <c r="AQ246" s="551"/>
      <c r="AR246" s="552"/>
      <c r="AS246" s="552"/>
      <c r="AT246" s="552"/>
      <c r="AU246" s="552"/>
      <c r="AV246" s="552"/>
    </row>
    <row r="247" spans="1:48" s="187" customFormat="1" ht="20.25" customHeight="1" x14ac:dyDescent="0.25">
      <c r="A247" s="20"/>
      <c r="B247" s="257"/>
      <c r="C247" s="322" t="str">
        <f>+E145</f>
        <v>Departamento Flat Nº</v>
      </c>
      <c r="U247" s="193"/>
      <c r="V247" s="193"/>
      <c r="W247" s="193"/>
      <c r="X247" s="193"/>
      <c r="Y247" s="193"/>
      <c r="Z247" s="193"/>
      <c r="AA247" s="193"/>
      <c r="AB247" s="193"/>
      <c r="AC247" s="193"/>
      <c r="AD247" s="193"/>
    </row>
    <row r="248" spans="1:48" s="234" customFormat="1" x14ac:dyDescent="0.25">
      <c r="C248" s="571">
        <f>+P147</f>
        <v>0</v>
      </c>
      <c r="D248" s="572"/>
      <c r="E248" s="572"/>
      <c r="F248" s="572"/>
      <c r="G248" s="572"/>
      <c r="H248" s="572"/>
      <c r="I248" s="234" t="s">
        <v>26</v>
      </c>
      <c r="L248" s="234" t="s">
        <v>21</v>
      </c>
      <c r="M248" s="258"/>
      <c r="N248" s="551">
        <f>+AM188</f>
        <v>0</v>
      </c>
      <c r="O248" s="551"/>
      <c r="P248" s="573"/>
      <c r="Q248" s="552"/>
      <c r="R248" s="552"/>
      <c r="S248" s="552"/>
      <c r="T248" s="259" t="s">
        <v>32</v>
      </c>
      <c r="Y248" s="258" t="s">
        <v>21</v>
      </c>
      <c r="AA248" s="586">
        <f>1-AC192</f>
        <v>1</v>
      </c>
      <c r="AB248" s="586"/>
      <c r="AC248" s="552"/>
      <c r="AD248" s="552"/>
      <c r="AM248" s="259" t="s">
        <v>18</v>
      </c>
      <c r="AO248" s="551">
        <f>+C248*N248*AA248</f>
        <v>0</v>
      </c>
      <c r="AP248" s="551"/>
      <c r="AQ248" s="551"/>
      <c r="AR248" s="552"/>
      <c r="AS248" s="552"/>
      <c r="AT248" s="552"/>
      <c r="AU248" s="552"/>
      <c r="AV248" s="552"/>
    </row>
    <row r="249" spans="1:48" s="44" customFormat="1" ht="15" customHeight="1" thickBot="1" x14ac:dyDescent="0.3">
      <c r="C249" s="45" t="str">
        <f>+C242</f>
        <v>VALOR DE LA EDIFICACIÓN</v>
      </c>
      <c r="D249" s="46"/>
      <c r="E249" s="46"/>
      <c r="F249" s="46"/>
      <c r="G249" s="47"/>
      <c r="H249" s="48"/>
      <c r="I249" s="49"/>
      <c r="J249" s="50"/>
      <c r="K249" s="51"/>
      <c r="L249" s="47"/>
      <c r="M249" s="47"/>
      <c r="N249" s="195"/>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52" t="s">
        <v>18</v>
      </c>
      <c r="AN249" s="47"/>
      <c r="AO249" s="535">
        <f>SUM(AO244:AV248)</f>
        <v>0</v>
      </c>
      <c r="AP249" s="535"/>
      <c r="AQ249" s="535"/>
      <c r="AR249" s="536"/>
      <c r="AS249" s="536"/>
      <c r="AT249" s="536"/>
      <c r="AU249" s="536"/>
      <c r="AV249" s="536"/>
    </row>
    <row r="250" spans="1:48" ht="24.75" customHeight="1" thickTop="1" x14ac:dyDescent="0.25">
      <c r="A250" s="574">
        <f>+A242+1</f>
        <v>3</v>
      </c>
      <c r="B250" s="602"/>
      <c r="C250" s="17" t="s">
        <v>94</v>
      </c>
    </row>
    <row r="251" spans="1:48" s="33" customFormat="1" x14ac:dyDescent="0.25">
      <c r="C251" s="681">
        <v>0.15</v>
      </c>
      <c r="D251" s="682"/>
      <c r="E251" s="682"/>
      <c r="F251" s="682"/>
      <c r="G251" s="682"/>
      <c r="H251" s="682"/>
      <c r="L251" s="33" t="s">
        <v>21</v>
      </c>
      <c r="M251" s="34"/>
      <c r="N251" s="532">
        <f>+AO249</f>
        <v>0</v>
      </c>
      <c r="O251" s="532"/>
      <c r="P251" s="532"/>
      <c r="Q251" s="532"/>
      <c r="R251" s="532"/>
      <c r="S251" s="532"/>
      <c r="T251" s="532"/>
      <c r="U251" s="532"/>
      <c r="Y251" s="34"/>
      <c r="AA251" s="683"/>
      <c r="AB251" s="683"/>
      <c r="AC251" s="534"/>
      <c r="AD251" s="534"/>
      <c r="AM251" s="35" t="s">
        <v>18</v>
      </c>
      <c r="AO251" s="533">
        <f>+C251*N251</f>
        <v>0</v>
      </c>
      <c r="AP251" s="533"/>
      <c r="AQ251" s="533"/>
      <c r="AR251" s="534"/>
      <c r="AS251" s="534"/>
      <c r="AT251" s="534"/>
      <c r="AU251" s="534"/>
      <c r="AV251" s="534"/>
    </row>
    <row r="252" spans="1:48" s="44" customFormat="1" ht="14.4" thickBot="1" x14ac:dyDescent="0.3">
      <c r="C252" s="45" t="str">
        <f>+C250</f>
        <v>VALOR DE LAS AREAS COMUNES</v>
      </c>
      <c r="D252" s="46"/>
      <c r="E252" s="46"/>
      <c r="F252" s="46"/>
      <c r="G252" s="47"/>
      <c r="H252" s="48"/>
      <c r="I252" s="49"/>
      <c r="J252" s="50"/>
      <c r="K252" s="51"/>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52" t="s">
        <v>18</v>
      </c>
      <c r="AN252" s="47"/>
      <c r="AO252" s="535">
        <f>SUM(AO251:AV251)</f>
        <v>0</v>
      </c>
      <c r="AP252" s="535"/>
      <c r="AQ252" s="535"/>
      <c r="AR252" s="536"/>
      <c r="AS252" s="536"/>
      <c r="AT252" s="536"/>
      <c r="AU252" s="536"/>
      <c r="AV252" s="536"/>
    </row>
    <row r="253" spans="1:48" ht="27.9" customHeight="1" thickTop="1" x14ac:dyDescent="0.25">
      <c r="A253" s="574">
        <f>1+A242</f>
        <v>3</v>
      </c>
      <c r="B253" s="602"/>
      <c r="C253" s="17" t="s">
        <v>3</v>
      </c>
    </row>
    <row r="254" spans="1:48" s="44" customFormat="1" ht="29.25" customHeight="1" x14ac:dyDescent="0.25">
      <c r="A254" s="163"/>
      <c r="B254" s="163"/>
      <c r="C254" s="773" t="s">
        <v>78</v>
      </c>
      <c r="D254" s="553"/>
      <c r="E254" s="553"/>
      <c r="F254" s="553"/>
      <c r="G254" s="553"/>
      <c r="H254" s="553"/>
      <c r="I254" s="553"/>
      <c r="J254" s="553"/>
      <c r="K254" s="553"/>
      <c r="L254" s="553"/>
      <c r="M254" s="553"/>
      <c r="N254" s="553"/>
      <c r="O254" s="553"/>
      <c r="P254" s="553"/>
      <c r="Q254" s="553"/>
      <c r="R254" s="553"/>
      <c r="S254" s="553"/>
      <c r="T254" s="553"/>
      <c r="U254" s="781" t="s">
        <v>79</v>
      </c>
      <c r="V254" s="553"/>
      <c r="W254" s="553"/>
      <c r="X254" s="553"/>
      <c r="Y254" s="553"/>
      <c r="Z254" s="554"/>
      <c r="AA254" s="903" t="s">
        <v>80</v>
      </c>
      <c r="AB254" s="553"/>
      <c r="AC254" s="553"/>
      <c r="AD254" s="553"/>
      <c r="AE254" s="553"/>
      <c r="AF254" s="773" t="s">
        <v>81</v>
      </c>
      <c r="AG254" s="553"/>
      <c r="AH254" s="553"/>
      <c r="AI254" s="553"/>
      <c r="AJ254" s="554"/>
      <c r="AK254" s="553" t="s">
        <v>82</v>
      </c>
      <c r="AL254" s="553"/>
      <c r="AM254" s="553"/>
      <c r="AN254" s="553"/>
      <c r="AO254" s="553"/>
      <c r="AP254" s="554"/>
    </row>
    <row r="255" spans="1:48" s="44" customFormat="1" ht="15" customHeight="1" x14ac:dyDescent="0.25">
      <c r="A255" s="164"/>
      <c r="B255" s="164"/>
      <c r="C255" s="557"/>
      <c r="D255" s="558"/>
      <c r="E255" s="558"/>
      <c r="F255" s="558"/>
      <c r="G255" s="558"/>
      <c r="H255" s="558"/>
      <c r="I255" s="558"/>
      <c r="J255" s="558"/>
      <c r="K255" s="558"/>
      <c r="L255" s="558"/>
      <c r="M255" s="558"/>
      <c r="N255" s="558"/>
      <c r="O255" s="558"/>
      <c r="P255" s="558"/>
      <c r="Q255" s="558"/>
      <c r="R255" s="558"/>
      <c r="S255" s="558"/>
      <c r="T255" s="559"/>
      <c r="U255" s="671"/>
      <c r="V255" s="672"/>
      <c r="W255" s="672"/>
      <c r="X255" s="672"/>
      <c r="Y255" s="584" t="s">
        <v>65</v>
      </c>
      <c r="Z255" s="585"/>
      <c r="AA255" s="563"/>
      <c r="AB255" s="564"/>
      <c r="AC255" s="564"/>
      <c r="AD255" s="564"/>
      <c r="AE255" s="565"/>
      <c r="AF255" s="537">
        <f>+AA244</f>
        <v>1</v>
      </c>
      <c r="AG255" s="538"/>
      <c r="AH255" s="538"/>
      <c r="AI255" s="538"/>
      <c r="AJ255" s="539"/>
      <c r="AK255" s="548">
        <f>+U255*AA255*AF255</f>
        <v>0</v>
      </c>
      <c r="AL255" s="549"/>
      <c r="AM255" s="549"/>
      <c r="AN255" s="549"/>
      <c r="AO255" s="549"/>
      <c r="AP255" s="550"/>
    </row>
    <row r="256" spans="1:48" s="44" customFormat="1" ht="15" customHeight="1" x14ac:dyDescent="0.25">
      <c r="A256" s="164"/>
      <c r="B256" s="164"/>
      <c r="C256" s="557"/>
      <c r="D256" s="558"/>
      <c r="E256" s="558"/>
      <c r="F256" s="558"/>
      <c r="G256" s="558"/>
      <c r="H256" s="558"/>
      <c r="I256" s="558"/>
      <c r="J256" s="558"/>
      <c r="K256" s="558"/>
      <c r="L256" s="558"/>
      <c r="M256" s="558"/>
      <c r="N256" s="558"/>
      <c r="O256" s="558"/>
      <c r="P256" s="558"/>
      <c r="Q256" s="558"/>
      <c r="R256" s="558"/>
      <c r="S256" s="558"/>
      <c r="T256" s="559"/>
      <c r="U256" s="671"/>
      <c r="V256" s="672"/>
      <c r="W256" s="672"/>
      <c r="X256" s="672"/>
      <c r="Y256" s="584" t="s">
        <v>26</v>
      </c>
      <c r="Z256" s="585"/>
      <c r="AA256" s="563"/>
      <c r="AB256" s="564"/>
      <c r="AC256" s="564"/>
      <c r="AD256" s="564"/>
      <c r="AE256" s="565"/>
      <c r="AF256" s="537">
        <f>+AF255</f>
        <v>1</v>
      </c>
      <c r="AG256" s="538"/>
      <c r="AH256" s="538"/>
      <c r="AI256" s="538"/>
      <c r="AJ256" s="539"/>
      <c r="AK256" s="548">
        <f>+U256*AA256*AF256</f>
        <v>0</v>
      </c>
      <c r="AL256" s="549"/>
      <c r="AM256" s="549"/>
      <c r="AN256" s="549"/>
      <c r="AO256" s="549"/>
      <c r="AP256" s="550"/>
    </row>
    <row r="257" spans="1:48" s="44" customFormat="1" ht="15" customHeight="1" x14ac:dyDescent="0.25">
      <c r="A257" s="164"/>
      <c r="B257" s="164"/>
      <c r="C257" s="557"/>
      <c r="D257" s="558"/>
      <c r="E257" s="558"/>
      <c r="F257" s="558"/>
      <c r="G257" s="558"/>
      <c r="H257" s="558"/>
      <c r="I257" s="558"/>
      <c r="J257" s="558"/>
      <c r="K257" s="558"/>
      <c r="L257" s="558"/>
      <c r="M257" s="558"/>
      <c r="N257" s="558"/>
      <c r="O257" s="558"/>
      <c r="P257" s="558"/>
      <c r="Q257" s="558"/>
      <c r="R257" s="558"/>
      <c r="S257" s="558"/>
      <c r="T257" s="559"/>
      <c r="U257" s="671"/>
      <c r="V257" s="672"/>
      <c r="W257" s="672"/>
      <c r="X257" s="672"/>
      <c r="Y257" s="584" t="s">
        <v>15</v>
      </c>
      <c r="Z257" s="585"/>
      <c r="AA257" s="563"/>
      <c r="AB257" s="564"/>
      <c r="AC257" s="564"/>
      <c r="AD257" s="564"/>
      <c r="AE257" s="565"/>
      <c r="AF257" s="537">
        <f>+AF256</f>
        <v>1</v>
      </c>
      <c r="AG257" s="538"/>
      <c r="AH257" s="538"/>
      <c r="AI257" s="538"/>
      <c r="AJ257" s="539"/>
      <c r="AK257" s="548">
        <f>+U257*AA257*AF257</f>
        <v>0</v>
      </c>
      <c r="AL257" s="549"/>
      <c r="AM257" s="549"/>
      <c r="AN257" s="549"/>
      <c r="AO257" s="549"/>
      <c r="AP257" s="550"/>
    </row>
    <row r="258" spans="1:48" s="44" customFormat="1" ht="15" customHeight="1" x14ac:dyDescent="0.25">
      <c r="A258" s="164"/>
      <c r="B258" s="164"/>
      <c r="C258" s="557"/>
      <c r="D258" s="558"/>
      <c r="E258" s="558"/>
      <c r="F258" s="558"/>
      <c r="G258" s="558"/>
      <c r="H258" s="558"/>
      <c r="I258" s="558"/>
      <c r="J258" s="558"/>
      <c r="K258" s="558"/>
      <c r="L258" s="558"/>
      <c r="M258" s="558"/>
      <c r="N258" s="558"/>
      <c r="O258" s="558"/>
      <c r="P258" s="558"/>
      <c r="Q258" s="558"/>
      <c r="R258" s="558"/>
      <c r="S258" s="558"/>
      <c r="T258" s="559"/>
      <c r="U258" s="671"/>
      <c r="V258" s="672"/>
      <c r="W258" s="672"/>
      <c r="X258" s="672"/>
      <c r="Y258" s="584" t="s">
        <v>130</v>
      </c>
      <c r="Z258" s="585"/>
      <c r="AA258" s="563"/>
      <c r="AB258" s="564"/>
      <c r="AC258" s="564"/>
      <c r="AD258" s="564"/>
      <c r="AE258" s="565"/>
      <c r="AF258" s="537">
        <f>+AF257</f>
        <v>1</v>
      </c>
      <c r="AG258" s="538"/>
      <c r="AH258" s="538"/>
      <c r="AI258" s="538"/>
      <c r="AJ258" s="539"/>
      <c r="AK258" s="548">
        <f>+U258*AA258*AF258</f>
        <v>0</v>
      </c>
      <c r="AL258" s="549"/>
      <c r="AM258" s="549"/>
      <c r="AN258" s="549"/>
      <c r="AO258" s="549"/>
      <c r="AP258" s="550"/>
    </row>
    <row r="259" spans="1:48" s="44" customFormat="1" ht="15" customHeight="1" x14ac:dyDescent="0.25">
      <c r="A259" s="165"/>
      <c r="B259" s="165"/>
      <c r="C259" s="166" t="s">
        <v>83</v>
      </c>
      <c r="D259" s="167"/>
      <c r="E259" s="167"/>
      <c r="F259" s="167"/>
      <c r="G259" s="167"/>
      <c r="H259" s="167"/>
      <c r="I259" s="167"/>
      <c r="J259" s="167"/>
      <c r="K259" s="167"/>
      <c r="L259" s="167"/>
      <c r="M259" s="167"/>
      <c r="N259" s="167"/>
      <c r="O259" s="167"/>
      <c r="P259" s="167"/>
      <c r="Q259" s="167"/>
      <c r="R259" s="167"/>
      <c r="S259" s="167"/>
      <c r="T259" s="167"/>
      <c r="U259" s="168"/>
      <c r="V259" s="168"/>
      <c r="W259" s="168"/>
      <c r="X259" s="168"/>
      <c r="Y259" s="168"/>
      <c r="Z259" s="168"/>
      <c r="AA259" s="168"/>
      <c r="AB259" s="168"/>
      <c r="AC259" s="168"/>
      <c r="AD259" s="168"/>
      <c r="AE259" s="168"/>
      <c r="AF259" s="168"/>
      <c r="AG259" s="168"/>
      <c r="AH259" s="168"/>
      <c r="AI259" s="168"/>
      <c r="AJ259" s="168"/>
      <c r="AK259" s="729">
        <f>SUM(AK255:AP258)</f>
        <v>0</v>
      </c>
      <c r="AL259" s="730"/>
      <c r="AM259" s="730"/>
      <c r="AN259" s="730"/>
      <c r="AO259" s="730"/>
      <c r="AP259" s="731"/>
    </row>
    <row r="260" spans="1:48" s="44" customFormat="1" ht="15" customHeight="1" x14ac:dyDescent="0.25">
      <c r="A260" s="165"/>
      <c r="B260" s="165"/>
      <c r="C260" s="166" t="s">
        <v>13</v>
      </c>
      <c r="D260" s="167"/>
      <c r="E260" s="167"/>
      <c r="F260" s="167"/>
      <c r="G260" s="167"/>
      <c r="H260" s="167"/>
      <c r="I260" s="167"/>
      <c r="J260" s="167"/>
      <c r="K260" s="167"/>
      <c r="L260" s="167"/>
      <c r="M260" s="167"/>
      <c r="N260" s="167"/>
      <c r="O260" s="167"/>
      <c r="P260" s="167"/>
      <c r="Q260" s="167"/>
      <c r="R260" s="167"/>
      <c r="S260" s="167"/>
      <c r="T260" s="167"/>
      <c r="U260" s="168"/>
      <c r="V260" s="168"/>
      <c r="W260" s="168"/>
      <c r="X260" s="168"/>
      <c r="Y260" s="168"/>
      <c r="Z260" s="168"/>
      <c r="AA260" s="168"/>
      <c r="AB260" s="168"/>
      <c r="AC260" s="168"/>
      <c r="AD260" s="168"/>
      <c r="AE260" s="168"/>
      <c r="AF260" s="168"/>
      <c r="AG260" s="168"/>
      <c r="AH260" s="168"/>
      <c r="AI260" s="168"/>
      <c r="AJ260" s="168"/>
      <c r="AK260" s="545">
        <f>+AN91</f>
        <v>0</v>
      </c>
      <c r="AL260" s="546"/>
      <c r="AM260" s="546"/>
      <c r="AN260" s="546"/>
      <c r="AO260" s="546"/>
      <c r="AP260" s="547"/>
      <c r="AQ260" s="543"/>
      <c r="AR260" s="544"/>
      <c r="AS260" s="544"/>
      <c r="AT260" s="544"/>
      <c r="AU260" s="544"/>
      <c r="AV260" s="544"/>
    </row>
    <row r="261" spans="1:48" s="44" customFormat="1" ht="15" customHeight="1" thickBot="1" x14ac:dyDescent="0.3">
      <c r="C261" s="45" t="str">
        <f>+C253</f>
        <v>VALOR DE LAS OBRAS COMPLEMENTARIAS</v>
      </c>
      <c r="D261" s="46"/>
      <c r="E261" s="46"/>
      <c r="F261" s="46"/>
      <c r="G261" s="47"/>
      <c r="H261" s="48"/>
      <c r="I261" s="49"/>
      <c r="J261" s="50"/>
      <c r="K261" s="51"/>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52" t="s">
        <v>18</v>
      </c>
      <c r="AN261" s="47"/>
      <c r="AO261" s="535">
        <f>+AK259*AK260</f>
        <v>0</v>
      </c>
      <c r="AP261" s="535"/>
      <c r="AQ261" s="535"/>
      <c r="AR261" s="536"/>
      <c r="AS261" s="536"/>
      <c r="AT261" s="536"/>
      <c r="AU261" s="536"/>
      <c r="AV261" s="536"/>
    </row>
    <row r="262" spans="1:48" s="385" customFormat="1" ht="24.75" customHeight="1" thickTop="1" x14ac:dyDescent="0.25">
      <c r="A262" s="525">
        <f>+A253+1</f>
        <v>4</v>
      </c>
      <c r="B262" s="526"/>
      <c r="C262" s="384" t="s">
        <v>95</v>
      </c>
    </row>
    <row r="263" spans="1:48" s="33" customFormat="1" x14ac:dyDescent="0.25">
      <c r="C263" s="669">
        <v>1</v>
      </c>
      <c r="D263" s="670"/>
      <c r="E263" s="670"/>
      <c r="F263" s="670"/>
      <c r="G263" s="670"/>
      <c r="H263" s="670"/>
      <c r="I263" s="234" t="s">
        <v>108</v>
      </c>
      <c r="L263" s="33" t="s">
        <v>21</v>
      </c>
      <c r="M263" s="34"/>
      <c r="N263" s="532"/>
      <c r="O263" s="532"/>
      <c r="P263" s="532"/>
      <c r="Q263" s="532"/>
      <c r="R263" s="532"/>
      <c r="S263" s="532"/>
      <c r="T263" s="532"/>
      <c r="U263" s="532"/>
      <c r="V263" s="234" t="s">
        <v>108</v>
      </c>
      <c r="Y263" s="34"/>
      <c r="AA263" s="683"/>
      <c r="AB263" s="683"/>
      <c r="AC263" s="534"/>
      <c r="AD263" s="534"/>
      <c r="AM263" s="35" t="s">
        <v>18</v>
      </c>
      <c r="AO263" s="533">
        <f>+C263*N263</f>
        <v>0</v>
      </c>
      <c r="AP263" s="533"/>
      <c r="AQ263" s="533"/>
      <c r="AR263" s="534"/>
      <c r="AS263" s="534"/>
      <c r="AT263" s="534"/>
      <c r="AU263" s="534"/>
      <c r="AV263" s="534"/>
    </row>
    <row r="264" spans="1:48" s="44" customFormat="1" ht="14.4" thickBot="1" x14ac:dyDescent="0.3">
      <c r="C264" s="45" t="str">
        <f>+C262</f>
        <v>VALOR DEL ESTACIONAMIENTO</v>
      </c>
      <c r="D264" s="46"/>
      <c r="E264" s="46"/>
      <c r="F264" s="46"/>
      <c r="G264" s="47"/>
      <c r="H264" s="48"/>
      <c r="I264" s="49"/>
      <c r="J264" s="50"/>
      <c r="K264" s="51"/>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52" t="s">
        <v>18</v>
      </c>
      <c r="AN264" s="47"/>
      <c r="AO264" s="535">
        <f>SUM(AO263:AV263)</f>
        <v>0</v>
      </c>
      <c r="AP264" s="535"/>
      <c r="AQ264" s="535"/>
      <c r="AR264" s="536"/>
      <c r="AS264" s="536"/>
      <c r="AT264" s="536"/>
      <c r="AU264" s="536"/>
      <c r="AV264" s="536"/>
    </row>
    <row r="265" spans="1:48" s="385" customFormat="1" ht="24.75" customHeight="1" thickTop="1" x14ac:dyDescent="0.25">
      <c r="A265" s="525">
        <f>1+A262</f>
        <v>5</v>
      </c>
      <c r="B265" s="526"/>
      <c r="C265" s="384" t="s">
        <v>109</v>
      </c>
    </row>
    <row r="266" spans="1:48" s="33" customFormat="1" x14ac:dyDescent="0.25">
      <c r="C266" s="669">
        <v>1</v>
      </c>
      <c r="D266" s="670"/>
      <c r="E266" s="670"/>
      <c r="F266" s="670"/>
      <c r="G266" s="670"/>
      <c r="H266" s="670"/>
      <c r="I266" s="234" t="s">
        <v>108</v>
      </c>
      <c r="L266" s="33" t="s">
        <v>21</v>
      </c>
      <c r="M266" s="34"/>
      <c r="N266" s="532"/>
      <c r="O266" s="532"/>
      <c r="P266" s="532"/>
      <c r="Q266" s="532"/>
      <c r="R266" s="532"/>
      <c r="S266" s="532"/>
      <c r="T266" s="532"/>
      <c r="U266" s="532"/>
      <c r="V266" s="234" t="s">
        <v>108</v>
      </c>
      <c r="Y266" s="34"/>
      <c r="AA266" s="683"/>
      <c r="AB266" s="683"/>
      <c r="AC266" s="534"/>
      <c r="AD266" s="534"/>
      <c r="AM266" s="35" t="s">
        <v>18</v>
      </c>
      <c r="AO266" s="533">
        <f>+C266*N266</f>
        <v>0</v>
      </c>
      <c r="AP266" s="533"/>
      <c r="AQ266" s="533"/>
      <c r="AR266" s="534"/>
      <c r="AS266" s="534"/>
      <c r="AT266" s="534"/>
      <c r="AU266" s="534"/>
      <c r="AV266" s="534"/>
    </row>
    <row r="267" spans="1:48" s="44" customFormat="1" ht="14.4" thickBot="1" x14ac:dyDescent="0.3">
      <c r="C267" s="45" t="str">
        <f>+C265</f>
        <v>VALOR DEL DEPOSITO</v>
      </c>
      <c r="D267" s="46"/>
      <c r="E267" s="46"/>
      <c r="F267" s="46"/>
      <c r="G267" s="47"/>
      <c r="H267" s="48"/>
      <c r="I267" s="49"/>
      <c r="J267" s="50"/>
      <c r="K267" s="51"/>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52" t="s">
        <v>18</v>
      </c>
      <c r="AN267" s="47"/>
      <c r="AO267" s="535">
        <f>SUM(AO266:AV266)</f>
        <v>0</v>
      </c>
      <c r="AP267" s="535"/>
      <c r="AQ267" s="535"/>
      <c r="AR267" s="536"/>
      <c r="AS267" s="536"/>
      <c r="AT267" s="536"/>
      <c r="AU267" s="536"/>
      <c r="AV267" s="536"/>
    </row>
    <row r="268" spans="1:48" s="44" customFormat="1" ht="15" customHeight="1" thickTop="1" x14ac:dyDescent="0.25">
      <c r="A268" s="679" t="s">
        <v>2</v>
      </c>
      <c r="B268" s="680"/>
      <c r="C268" s="680"/>
      <c r="D268" s="680"/>
      <c r="E268" s="680"/>
      <c r="F268" s="680"/>
      <c r="G268" s="680"/>
      <c r="H268" s="680"/>
      <c r="I268" s="680"/>
      <c r="J268" s="680"/>
      <c r="K268" s="680"/>
      <c r="L268" s="680"/>
      <c r="M268" s="680"/>
      <c r="N268" s="680"/>
      <c r="O268" s="680"/>
      <c r="P268" s="680"/>
      <c r="Q268" s="680"/>
      <c r="R268" s="680"/>
      <c r="S268" s="680"/>
      <c r="T268" s="680"/>
      <c r="U268" s="680"/>
      <c r="V268" s="680"/>
      <c r="W268" s="680"/>
      <c r="X268" s="680"/>
      <c r="Y268" s="680"/>
      <c r="Z268" s="680"/>
      <c r="AA268" s="680"/>
      <c r="AB268" s="680"/>
      <c r="AC268" s="680"/>
      <c r="AD268" s="680"/>
      <c r="AE268" s="680"/>
      <c r="AF268" s="680"/>
      <c r="AG268" s="680"/>
      <c r="AH268" s="680"/>
      <c r="AI268" s="680"/>
      <c r="AJ268" s="680"/>
      <c r="AK268" s="680"/>
      <c r="AL268" s="680"/>
      <c r="AM268" s="680"/>
      <c r="AN268" s="680"/>
      <c r="AO268" s="680"/>
      <c r="AP268" s="680"/>
      <c r="AQ268" s="680"/>
      <c r="AR268" s="680"/>
      <c r="AS268" s="680"/>
      <c r="AT268" s="680"/>
      <c r="AU268" s="680"/>
      <c r="AV268" s="680"/>
    </row>
    <row r="269" spans="1:48" s="187" customFormat="1" ht="15" customHeight="1" x14ac:dyDescent="0.25">
      <c r="C269" s="272"/>
      <c r="D269" s="244"/>
      <c r="E269" s="244"/>
      <c r="F269" s="244"/>
      <c r="G269" s="244"/>
      <c r="H269" s="244"/>
      <c r="I269" s="244"/>
      <c r="J269" s="244"/>
      <c r="K269" s="244"/>
      <c r="L269" s="244"/>
      <c r="M269" s="244"/>
      <c r="N269" s="244"/>
      <c r="O269" s="244"/>
      <c r="P269" s="244"/>
      <c r="Q269" s="244"/>
      <c r="R269" s="244"/>
      <c r="S269" s="244"/>
      <c r="T269" s="244"/>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row>
    <row r="270" spans="1:48" s="187" customFormat="1" ht="14.1" customHeight="1" x14ac:dyDescent="0.25">
      <c r="A270" s="84" t="s">
        <v>59</v>
      </c>
      <c r="C270" s="845" t="s">
        <v>180</v>
      </c>
      <c r="D270" s="846"/>
      <c r="E270" s="846"/>
      <c r="F270" s="846"/>
      <c r="G270" s="846"/>
      <c r="H270" s="846"/>
      <c r="I270" s="846"/>
      <c r="J270" s="846"/>
      <c r="K270" s="846"/>
      <c r="L270" s="846"/>
      <c r="M270" s="846"/>
      <c r="N270" s="846"/>
      <c r="O270" s="846"/>
      <c r="P270" s="846"/>
      <c r="Q270" s="846"/>
      <c r="R270" s="846"/>
      <c r="S270" s="846"/>
      <c r="T270" s="846"/>
      <c r="U270" s="847"/>
      <c r="V270" s="847"/>
      <c r="W270" s="847"/>
      <c r="X270" s="847"/>
      <c r="Y270" s="847"/>
      <c r="Z270" s="847"/>
      <c r="AA270" s="847"/>
      <c r="AB270" s="847"/>
      <c r="AC270" s="847"/>
      <c r="AD270" s="847"/>
      <c r="AE270" s="847"/>
      <c r="AF270" s="847"/>
      <c r="AG270" s="847"/>
      <c r="AH270" s="847"/>
      <c r="AI270" s="847"/>
      <c r="AJ270" s="847"/>
      <c r="AK270" s="847"/>
      <c r="AL270" s="847"/>
      <c r="AM270" s="847"/>
      <c r="AN270" s="847"/>
      <c r="AO270" s="847"/>
      <c r="AP270" s="847"/>
      <c r="AQ270" s="847"/>
      <c r="AR270" s="847"/>
      <c r="AS270" s="847"/>
      <c r="AT270" s="847"/>
      <c r="AU270" s="847"/>
      <c r="AV270" s="847"/>
    </row>
    <row r="271" spans="1:48" s="187" customFormat="1" ht="12.9" customHeight="1" x14ac:dyDescent="0.25">
      <c r="H271" s="84"/>
      <c r="J271" s="84"/>
      <c r="S271" s="84" t="str">
        <f>+R10</f>
        <v>INFORME N° 25</v>
      </c>
      <c r="U271" s="285"/>
      <c r="V271" s="286"/>
      <c r="W271" s="193"/>
      <c r="X271" s="193"/>
      <c r="Y271" s="193"/>
      <c r="Z271" s="193"/>
      <c r="AA271" s="193"/>
      <c r="AB271" s="842">
        <f>+AB212</f>
        <v>0</v>
      </c>
      <c r="AC271" s="843"/>
      <c r="AD271" s="843"/>
      <c r="AE271" s="843"/>
      <c r="AF271" s="843"/>
    </row>
    <row r="272" spans="1:48" s="187" customFormat="1" ht="30" customHeight="1" x14ac:dyDescent="0.25">
      <c r="A272" s="574">
        <v>1</v>
      </c>
      <c r="B272" s="844"/>
      <c r="C272" s="245" t="s">
        <v>151</v>
      </c>
      <c r="U272" s="193"/>
      <c r="V272" s="193"/>
      <c r="W272" s="193"/>
      <c r="X272" s="193"/>
      <c r="Y272" s="193"/>
      <c r="Z272" s="193"/>
      <c r="AA272" s="193"/>
      <c r="AB272" s="193"/>
      <c r="AC272" s="193"/>
      <c r="AD272" s="193"/>
    </row>
    <row r="273" spans="1:48" s="234" customFormat="1" ht="15" customHeight="1" x14ac:dyDescent="0.25">
      <c r="C273" s="230" t="s">
        <v>172</v>
      </c>
      <c r="D273" s="287"/>
      <c r="E273" s="287"/>
      <c r="F273" s="287"/>
      <c r="G273" s="287"/>
      <c r="H273" s="287"/>
      <c r="M273" s="258"/>
      <c r="N273" s="288"/>
      <c r="O273" s="288"/>
      <c r="P273" s="271"/>
      <c r="Q273" s="271"/>
      <c r="R273" s="271"/>
      <c r="S273" s="271"/>
      <c r="T273" s="259"/>
      <c r="Y273" s="258"/>
      <c r="AA273" s="230"/>
      <c r="AB273" s="230"/>
      <c r="AC273" s="271"/>
      <c r="AD273" s="271"/>
      <c r="AM273" s="259"/>
      <c r="AO273" s="551"/>
      <c r="AP273" s="551"/>
      <c r="AQ273" s="551"/>
      <c r="AR273" s="552"/>
      <c r="AS273" s="552"/>
      <c r="AT273" s="552"/>
      <c r="AU273" s="552"/>
      <c r="AV273" s="552"/>
    </row>
    <row r="274" spans="1:48" s="260" customFormat="1" ht="15" customHeight="1" thickBot="1" x14ac:dyDescent="0.3">
      <c r="C274" s="329" t="str">
        <f>+C272</f>
        <v>VALOR DEL TERRENO</v>
      </c>
      <c r="D274" s="290"/>
      <c r="E274" s="290"/>
      <c r="F274" s="290"/>
      <c r="G274" s="195"/>
      <c r="H274" s="330"/>
      <c r="I274" s="331"/>
      <c r="J274" s="332"/>
      <c r="K274" s="333"/>
      <c r="L274" s="195"/>
      <c r="M274" s="195"/>
      <c r="N274" s="195"/>
      <c r="O274" s="195"/>
      <c r="P274" s="195"/>
      <c r="Q274" s="195"/>
      <c r="R274" s="195"/>
      <c r="S274" s="195"/>
      <c r="T274" s="195"/>
      <c r="U274" s="195"/>
      <c r="V274" s="195"/>
      <c r="W274" s="195"/>
      <c r="X274" s="195"/>
      <c r="Y274" s="195"/>
      <c r="Z274" s="195"/>
      <c r="AA274" s="195"/>
      <c r="AB274" s="195"/>
      <c r="AC274" s="195"/>
      <c r="AD274" s="195"/>
      <c r="AE274" s="195"/>
      <c r="AF274" s="195"/>
      <c r="AG274" s="195"/>
      <c r="AH274" s="195"/>
      <c r="AI274" s="195"/>
      <c r="AJ274" s="195"/>
      <c r="AK274" s="195"/>
      <c r="AL274" s="195"/>
      <c r="AM274" s="289" t="s">
        <v>18</v>
      </c>
      <c r="AN274" s="195"/>
      <c r="AO274" s="535">
        <f>SUM(AO273:AV273)</f>
        <v>0</v>
      </c>
      <c r="AP274" s="535"/>
      <c r="AQ274" s="535"/>
      <c r="AR274" s="848"/>
      <c r="AS274" s="848"/>
      <c r="AT274" s="848"/>
      <c r="AU274" s="848"/>
      <c r="AV274" s="848"/>
    </row>
    <row r="275" spans="1:48" s="187" customFormat="1" ht="30" customHeight="1" thickTop="1" x14ac:dyDescent="0.25">
      <c r="A275" s="574">
        <f>+A272+1</f>
        <v>2</v>
      </c>
      <c r="B275" s="844"/>
      <c r="C275" s="245" t="s">
        <v>176</v>
      </c>
      <c r="U275" s="193"/>
      <c r="V275" s="193"/>
      <c r="W275" s="193"/>
      <c r="X275" s="193"/>
      <c r="Y275" s="193"/>
      <c r="Z275" s="193"/>
      <c r="AA275" s="193"/>
      <c r="AB275" s="193"/>
      <c r="AC275" s="193"/>
      <c r="AD275" s="193"/>
    </row>
    <row r="276" spans="1:48" s="187" customFormat="1" ht="15" customHeight="1" x14ac:dyDescent="0.25">
      <c r="A276" s="20"/>
      <c r="B276" s="257"/>
      <c r="C276" s="291" t="str">
        <f t="shared" ref="C276:C281" si="5">+C243</f>
        <v>Departamento Flat Nº</v>
      </c>
      <c r="U276" s="193"/>
      <c r="V276" s="193"/>
      <c r="W276" s="193"/>
      <c r="X276" s="193"/>
      <c r="Y276" s="193"/>
      <c r="Z276" s="193"/>
      <c r="AA276" s="193"/>
      <c r="AB276" s="193"/>
      <c r="AC276" s="193"/>
      <c r="AD276" s="193"/>
    </row>
    <row r="277" spans="1:48" s="234" customFormat="1" ht="15" customHeight="1" x14ac:dyDescent="0.25">
      <c r="C277" s="571">
        <f t="shared" si="5"/>
        <v>0</v>
      </c>
      <c r="D277" s="572"/>
      <c r="E277" s="572"/>
      <c r="F277" s="572"/>
      <c r="G277" s="572"/>
      <c r="H277" s="572"/>
      <c r="I277" s="234" t="s">
        <v>26</v>
      </c>
      <c r="L277" s="234" t="s">
        <v>21</v>
      </c>
      <c r="M277" s="258"/>
      <c r="N277" s="551">
        <f>+N244</f>
        <v>0</v>
      </c>
      <c r="O277" s="551"/>
      <c r="P277" s="573"/>
      <c r="Q277" s="552"/>
      <c r="R277" s="552"/>
      <c r="S277" s="552"/>
      <c r="T277" s="259" t="s">
        <v>32</v>
      </c>
      <c r="Y277" s="258" t="s">
        <v>21</v>
      </c>
      <c r="AA277" s="586">
        <v>1</v>
      </c>
      <c r="AB277" s="586"/>
      <c r="AC277" s="552"/>
      <c r="AD277" s="552"/>
      <c r="AM277" s="259" t="s">
        <v>18</v>
      </c>
      <c r="AO277" s="551">
        <f>+C277*N277*AA277</f>
        <v>0</v>
      </c>
      <c r="AP277" s="551"/>
      <c r="AQ277" s="551"/>
      <c r="AR277" s="552"/>
      <c r="AS277" s="552"/>
      <c r="AT277" s="552"/>
      <c r="AU277" s="552"/>
      <c r="AV277" s="552"/>
    </row>
    <row r="278" spans="1:48" s="187" customFormat="1" ht="15" customHeight="1" x14ac:dyDescent="0.25">
      <c r="A278" s="20"/>
      <c r="B278" s="257"/>
      <c r="C278" s="291" t="str">
        <f t="shared" si="5"/>
        <v>Departamento Flat Nº</v>
      </c>
      <c r="U278" s="193"/>
      <c r="V278" s="193"/>
      <c r="W278" s="193"/>
      <c r="X278" s="193"/>
      <c r="Y278" s="193"/>
      <c r="Z278" s="193"/>
      <c r="AA278" s="193"/>
      <c r="AB278" s="193"/>
      <c r="AC278" s="193"/>
      <c r="AD278" s="193"/>
    </row>
    <row r="279" spans="1:48" s="234" customFormat="1" ht="15" customHeight="1" x14ac:dyDescent="0.25">
      <c r="C279" s="571">
        <f t="shared" si="5"/>
        <v>0</v>
      </c>
      <c r="D279" s="572"/>
      <c r="E279" s="572"/>
      <c r="F279" s="572"/>
      <c r="G279" s="572"/>
      <c r="H279" s="572"/>
      <c r="I279" s="234" t="s">
        <v>26</v>
      </c>
      <c r="L279" s="234" t="s">
        <v>21</v>
      </c>
      <c r="M279" s="258"/>
      <c r="N279" s="551">
        <f>+N246</f>
        <v>0</v>
      </c>
      <c r="O279" s="551"/>
      <c r="P279" s="573"/>
      <c r="Q279" s="552"/>
      <c r="R279" s="552"/>
      <c r="S279" s="552"/>
      <c r="T279" s="259" t="s">
        <v>32</v>
      </c>
      <c r="Y279" s="258" t="s">
        <v>21</v>
      </c>
      <c r="AA279" s="586">
        <f>+AA277</f>
        <v>1</v>
      </c>
      <c r="AB279" s="586"/>
      <c r="AC279" s="552"/>
      <c r="AD279" s="552"/>
      <c r="AM279" s="259" t="s">
        <v>18</v>
      </c>
      <c r="AO279" s="551">
        <f>+C279*N279*AA279</f>
        <v>0</v>
      </c>
      <c r="AP279" s="551"/>
      <c r="AQ279" s="551"/>
      <c r="AR279" s="552"/>
      <c r="AS279" s="552"/>
      <c r="AT279" s="552"/>
      <c r="AU279" s="552"/>
      <c r="AV279" s="552"/>
    </row>
    <row r="280" spans="1:48" s="187" customFormat="1" ht="15" customHeight="1" x14ac:dyDescent="0.25">
      <c r="A280" s="20"/>
      <c r="B280" s="257"/>
      <c r="C280" s="291" t="str">
        <f t="shared" si="5"/>
        <v>Departamento Flat Nº</v>
      </c>
      <c r="U280" s="193"/>
      <c r="V280" s="193"/>
      <c r="W280" s="193"/>
      <c r="X280" s="193"/>
      <c r="Y280" s="193"/>
      <c r="Z280" s="193"/>
      <c r="AA280" s="193"/>
      <c r="AB280" s="193"/>
      <c r="AC280" s="193"/>
      <c r="AD280" s="193"/>
    </row>
    <row r="281" spans="1:48" s="234" customFormat="1" ht="15" customHeight="1" x14ac:dyDescent="0.25">
      <c r="C281" s="571">
        <f t="shared" si="5"/>
        <v>0</v>
      </c>
      <c r="D281" s="572"/>
      <c r="E281" s="572"/>
      <c r="F281" s="572"/>
      <c r="G281" s="572"/>
      <c r="H281" s="572"/>
      <c r="I281" s="234" t="s">
        <v>26</v>
      </c>
      <c r="L281" s="234" t="s">
        <v>21</v>
      </c>
      <c r="M281" s="258"/>
      <c r="N281" s="551">
        <f>+N248</f>
        <v>0</v>
      </c>
      <c r="O281" s="551"/>
      <c r="P281" s="573"/>
      <c r="Q281" s="552"/>
      <c r="R281" s="552"/>
      <c r="S281" s="552"/>
      <c r="T281" s="259" t="s">
        <v>32</v>
      </c>
      <c r="Y281" s="258" t="s">
        <v>21</v>
      </c>
      <c r="AA281" s="586">
        <f>+AA279</f>
        <v>1</v>
      </c>
      <c r="AB281" s="586"/>
      <c r="AC281" s="552"/>
      <c r="AD281" s="552"/>
      <c r="AM281" s="259" t="s">
        <v>18</v>
      </c>
      <c r="AO281" s="551">
        <f>+C281*N281*AA281</f>
        <v>0</v>
      </c>
      <c r="AP281" s="551"/>
      <c r="AQ281" s="551"/>
      <c r="AR281" s="552"/>
      <c r="AS281" s="552"/>
      <c r="AT281" s="552"/>
      <c r="AU281" s="552"/>
      <c r="AV281" s="552"/>
    </row>
    <row r="282" spans="1:48" s="260" customFormat="1" ht="15" customHeight="1" thickBot="1" x14ac:dyDescent="0.3">
      <c r="C282" s="292" t="str">
        <f>+C275</f>
        <v>VALOR DE RECONSTRUCCION DE LA EDIFICACIÓN</v>
      </c>
      <c r="D282" s="293"/>
      <c r="E282" s="293"/>
      <c r="F282" s="293"/>
      <c r="G282" s="294"/>
      <c r="H282" s="295"/>
      <c r="I282" s="296"/>
      <c r="J282" s="297"/>
      <c r="K282" s="298"/>
      <c r="L282" s="294"/>
      <c r="M282" s="294"/>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c r="AJ282" s="294"/>
      <c r="AK282" s="294"/>
      <c r="AL282" s="294"/>
      <c r="AM282" s="299" t="s">
        <v>18</v>
      </c>
      <c r="AN282" s="294"/>
      <c r="AO282" s="849">
        <f>SUM(AO277:AV281)</f>
        <v>0</v>
      </c>
      <c r="AP282" s="849"/>
      <c r="AQ282" s="849"/>
      <c r="AR282" s="850"/>
      <c r="AS282" s="850"/>
      <c r="AT282" s="850"/>
      <c r="AU282" s="850"/>
      <c r="AV282" s="850"/>
    </row>
    <row r="283" spans="1:48" s="304" customFormat="1" ht="24.9" customHeight="1" thickTop="1" x14ac:dyDescent="0.25">
      <c r="A283" s="574">
        <f>+A275+1</f>
        <v>3</v>
      </c>
      <c r="B283" s="791"/>
      <c r="C283" s="300" t="s">
        <v>171</v>
      </c>
      <c r="D283" s="268"/>
      <c r="E283" s="268"/>
      <c r="F283" s="268"/>
      <c r="G283" s="234"/>
      <c r="H283" s="258"/>
      <c r="I283" s="282"/>
      <c r="J283" s="301"/>
      <c r="K283" s="259"/>
      <c r="L283" s="234"/>
      <c r="M283" s="234"/>
      <c r="N283" s="234"/>
      <c r="O283" s="234"/>
      <c r="P283" s="234"/>
      <c r="Q283" s="234"/>
      <c r="R283" s="234"/>
      <c r="S283" s="234"/>
      <c r="T283" s="234"/>
      <c r="U283" s="234"/>
      <c r="V283" s="234"/>
      <c r="W283" s="234"/>
      <c r="X283" s="234"/>
      <c r="Y283" s="234"/>
      <c r="Z283" s="234"/>
      <c r="AA283" s="234"/>
      <c r="AB283" s="234"/>
      <c r="AC283" s="234"/>
      <c r="AD283" s="234"/>
      <c r="AE283" s="234"/>
      <c r="AF283" s="234"/>
      <c r="AG283" s="234"/>
      <c r="AH283" s="234"/>
      <c r="AI283" s="234"/>
      <c r="AJ283" s="234"/>
      <c r="AK283" s="234"/>
      <c r="AL283" s="234"/>
      <c r="AM283" s="302"/>
      <c r="AN283" s="234"/>
      <c r="AO283" s="303"/>
      <c r="AP283" s="303"/>
      <c r="AQ283" s="303"/>
      <c r="AR283" s="268"/>
      <c r="AS283" s="268"/>
      <c r="AT283" s="268"/>
      <c r="AU283" s="268"/>
      <c r="AV283" s="268"/>
    </row>
    <row r="284" spans="1:48" s="304" customFormat="1" ht="15" customHeight="1" x14ac:dyDescent="0.25">
      <c r="C284" s="859">
        <f>+C251</f>
        <v>0.15</v>
      </c>
      <c r="D284" s="859"/>
      <c r="E284" s="552"/>
      <c r="F284" s="552"/>
      <c r="G284" s="552"/>
      <c r="H284" s="552"/>
      <c r="I284" s="552"/>
      <c r="J284" s="301"/>
      <c r="K284" s="259"/>
      <c r="L284" s="234" t="s">
        <v>152</v>
      </c>
      <c r="M284" s="234"/>
      <c r="N284" s="551">
        <f>+AO282</f>
        <v>0</v>
      </c>
      <c r="O284" s="551"/>
      <c r="P284" s="551"/>
      <c r="Q284" s="552"/>
      <c r="R284" s="552"/>
      <c r="S284" s="552"/>
      <c r="T284" s="552"/>
      <c r="U284" s="552"/>
      <c r="V284" s="234"/>
      <c r="W284" s="234"/>
      <c r="X284" s="234"/>
      <c r="Y284" s="234"/>
      <c r="Z284" s="234"/>
      <c r="AA284" s="234"/>
      <c r="AB284" s="234"/>
      <c r="AC284" s="234"/>
      <c r="AD284" s="234"/>
      <c r="AE284" s="234"/>
      <c r="AF284" s="234"/>
      <c r="AG284" s="234"/>
      <c r="AH284" s="234"/>
      <c r="AI284" s="234"/>
      <c r="AJ284" s="234"/>
      <c r="AK284" s="234"/>
      <c r="AL284" s="234"/>
      <c r="AM284" s="259" t="s">
        <v>18</v>
      </c>
      <c r="AN284" s="234"/>
      <c r="AO284" s="551">
        <f>+C284*N284</f>
        <v>0</v>
      </c>
      <c r="AP284" s="551"/>
      <c r="AQ284" s="551"/>
      <c r="AR284" s="552"/>
      <c r="AS284" s="552"/>
      <c r="AT284" s="552"/>
      <c r="AU284" s="552"/>
      <c r="AV284" s="552"/>
    </row>
    <row r="285" spans="1:48" s="260" customFormat="1" ht="15" customHeight="1" thickBot="1" x14ac:dyDescent="0.3">
      <c r="C285" s="292" t="str">
        <f>+C283</f>
        <v>VALOR DE RECONSTRUCCION DE LAS ÁREAS COMUNES</v>
      </c>
      <c r="D285" s="293"/>
      <c r="E285" s="293"/>
      <c r="F285" s="293"/>
      <c r="G285" s="294"/>
      <c r="H285" s="295"/>
      <c r="I285" s="296"/>
      <c r="J285" s="297"/>
      <c r="K285" s="298"/>
      <c r="L285" s="294"/>
      <c r="M285" s="294"/>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c r="AJ285" s="294"/>
      <c r="AK285" s="294"/>
      <c r="AL285" s="294"/>
      <c r="AM285" s="299" t="s">
        <v>18</v>
      </c>
      <c r="AN285" s="294"/>
      <c r="AO285" s="849">
        <f>SUM(AO284:AO284)</f>
        <v>0</v>
      </c>
      <c r="AP285" s="849"/>
      <c r="AQ285" s="849"/>
      <c r="AR285" s="850"/>
      <c r="AS285" s="850"/>
      <c r="AT285" s="850"/>
      <c r="AU285" s="850"/>
      <c r="AV285" s="850"/>
    </row>
    <row r="286" spans="1:48" s="187" customFormat="1" ht="24.9" customHeight="1" thickTop="1" x14ac:dyDescent="0.25">
      <c r="A286" s="574">
        <f>+A283+1</f>
        <v>4</v>
      </c>
      <c r="B286" s="791"/>
      <c r="C286" s="245" t="s">
        <v>173</v>
      </c>
      <c r="U286" s="193"/>
      <c r="V286" s="193"/>
      <c r="W286" s="193"/>
      <c r="X286" s="193"/>
      <c r="Y286" s="193"/>
      <c r="Z286" s="193"/>
      <c r="AB286" s="193"/>
      <c r="AD286" s="193"/>
      <c r="AF286" s="193"/>
    </row>
    <row r="287" spans="1:48" s="187" customFormat="1" ht="5.25" customHeight="1" x14ac:dyDescent="0.25">
      <c r="C287" s="305"/>
      <c r="P287" s="306"/>
      <c r="U287" s="193"/>
      <c r="V287" s="193"/>
      <c r="W287" s="193"/>
      <c r="X287" s="193"/>
      <c r="Y287" s="193"/>
      <c r="Z287" s="193"/>
      <c r="AA287" s="193"/>
      <c r="AB287" s="193"/>
      <c r="AC287" s="193"/>
      <c r="AD287" s="193"/>
    </row>
    <row r="288" spans="1:48" s="163" customFormat="1" ht="28.5" customHeight="1" x14ac:dyDescent="0.25">
      <c r="C288" s="901" t="s">
        <v>78</v>
      </c>
      <c r="D288" s="857"/>
      <c r="E288" s="857"/>
      <c r="F288" s="857"/>
      <c r="G288" s="857"/>
      <c r="H288" s="857"/>
      <c r="I288" s="857"/>
      <c r="J288" s="857"/>
      <c r="K288" s="857"/>
      <c r="L288" s="857"/>
      <c r="M288" s="857"/>
      <c r="N288" s="857"/>
      <c r="O288" s="857"/>
      <c r="P288" s="857"/>
      <c r="Q288" s="857"/>
      <c r="R288" s="857"/>
      <c r="S288" s="857"/>
      <c r="T288" s="857"/>
      <c r="U288" s="902" t="s">
        <v>153</v>
      </c>
      <c r="V288" s="857"/>
      <c r="W288" s="857"/>
      <c r="X288" s="857"/>
      <c r="Y288" s="857"/>
      <c r="Z288" s="857"/>
      <c r="AA288" s="902" t="s">
        <v>80</v>
      </c>
      <c r="AB288" s="857"/>
      <c r="AC288" s="857"/>
      <c r="AD288" s="857"/>
      <c r="AE288" s="858"/>
      <c r="AF288" s="857" t="s">
        <v>81</v>
      </c>
      <c r="AG288" s="857"/>
      <c r="AH288" s="857"/>
      <c r="AI288" s="857"/>
      <c r="AJ288" s="858"/>
      <c r="AK288" s="857" t="s">
        <v>82</v>
      </c>
      <c r="AL288" s="857"/>
      <c r="AM288" s="857"/>
      <c r="AN288" s="857"/>
      <c r="AO288" s="857"/>
      <c r="AP288" s="858"/>
      <c r="AQ288" s="260"/>
      <c r="AR288" s="260"/>
      <c r="AS288" s="260"/>
      <c r="AT288" s="260"/>
      <c r="AU288" s="260"/>
      <c r="AV288" s="260"/>
    </row>
    <row r="289" spans="1:48" s="164" customFormat="1" ht="12.75" customHeight="1" x14ac:dyDescent="0.25">
      <c r="C289" s="896">
        <f>+C255</f>
        <v>0</v>
      </c>
      <c r="D289" s="897"/>
      <c r="E289" s="897"/>
      <c r="F289" s="897"/>
      <c r="G289" s="897"/>
      <c r="H289" s="897"/>
      <c r="I289" s="897"/>
      <c r="J289" s="897"/>
      <c r="K289" s="897"/>
      <c r="L289" s="897"/>
      <c r="M289" s="897"/>
      <c r="N289" s="897"/>
      <c r="O289" s="897"/>
      <c r="P289" s="897"/>
      <c r="Q289" s="897"/>
      <c r="R289" s="897"/>
      <c r="S289" s="897"/>
      <c r="T289" s="897"/>
      <c r="U289" s="898">
        <f>+U255</f>
        <v>0</v>
      </c>
      <c r="V289" s="863"/>
      <c r="W289" s="863"/>
      <c r="X289" s="863"/>
      <c r="Y289" s="863" t="str">
        <f>+Y255</f>
        <v>ml</v>
      </c>
      <c r="Z289" s="863"/>
      <c r="AA289" s="854">
        <f>+AA255</f>
        <v>0</v>
      </c>
      <c r="AB289" s="855"/>
      <c r="AC289" s="855"/>
      <c r="AD289" s="855"/>
      <c r="AE289" s="856"/>
      <c r="AF289" s="851">
        <f>+AA277</f>
        <v>1</v>
      </c>
      <c r="AG289" s="852"/>
      <c r="AH289" s="852"/>
      <c r="AI289" s="852"/>
      <c r="AJ289" s="853"/>
      <c r="AK289" s="860">
        <f>+U289*AA289*AF289</f>
        <v>0</v>
      </c>
      <c r="AL289" s="861"/>
      <c r="AM289" s="861"/>
      <c r="AN289" s="861"/>
      <c r="AO289" s="861"/>
      <c r="AP289" s="862"/>
      <c r="AQ289" s="260"/>
      <c r="AR289" s="260"/>
      <c r="AS289" s="260"/>
      <c r="AT289" s="260"/>
      <c r="AU289" s="260"/>
      <c r="AV289" s="260"/>
    </row>
    <row r="290" spans="1:48" s="164" customFormat="1" ht="12.75" customHeight="1" x14ac:dyDescent="0.25">
      <c r="C290" s="889">
        <f>+C256</f>
        <v>0</v>
      </c>
      <c r="D290" s="890"/>
      <c r="E290" s="890"/>
      <c r="F290" s="890"/>
      <c r="G290" s="890"/>
      <c r="H290" s="890"/>
      <c r="I290" s="890"/>
      <c r="J290" s="890"/>
      <c r="K290" s="890"/>
      <c r="L290" s="890"/>
      <c r="M290" s="890"/>
      <c r="N290" s="890"/>
      <c r="O290" s="890"/>
      <c r="P290" s="890"/>
      <c r="Q290" s="890"/>
      <c r="R290" s="890"/>
      <c r="S290" s="890"/>
      <c r="T290" s="890"/>
      <c r="U290" s="898">
        <f>+U256</f>
        <v>0</v>
      </c>
      <c r="V290" s="863"/>
      <c r="W290" s="863"/>
      <c r="X290" s="863"/>
      <c r="Y290" s="863" t="str">
        <f>+Y256</f>
        <v>m2</v>
      </c>
      <c r="Z290" s="863"/>
      <c r="AA290" s="854">
        <f>+AA256</f>
        <v>0</v>
      </c>
      <c r="AB290" s="855"/>
      <c r="AC290" s="855"/>
      <c r="AD290" s="855"/>
      <c r="AE290" s="856"/>
      <c r="AF290" s="851">
        <f>+AF289</f>
        <v>1</v>
      </c>
      <c r="AG290" s="852"/>
      <c r="AH290" s="852"/>
      <c r="AI290" s="852"/>
      <c r="AJ290" s="853"/>
      <c r="AK290" s="860">
        <f>+U290*AA290*AF290</f>
        <v>0</v>
      </c>
      <c r="AL290" s="861"/>
      <c r="AM290" s="861"/>
      <c r="AN290" s="861"/>
      <c r="AO290" s="861"/>
      <c r="AP290" s="862"/>
      <c r="AQ290" s="260"/>
      <c r="AR290" s="260"/>
      <c r="AS290" s="260"/>
      <c r="AT290" s="260"/>
      <c r="AU290" s="260"/>
      <c r="AV290" s="260"/>
    </row>
    <row r="291" spans="1:48" s="164" customFormat="1" ht="12.75" customHeight="1" x14ac:dyDescent="0.25">
      <c r="C291" s="889">
        <f>+C257</f>
        <v>0</v>
      </c>
      <c r="D291" s="890"/>
      <c r="E291" s="890"/>
      <c r="F291" s="890"/>
      <c r="G291" s="890"/>
      <c r="H291" s="890"/>
      <c r="I291" s="890"/>
      <c r="J291" s="890"/>
      <c r="K291" s="890"/>
      <c r="L291" s="890"/>
      <c r="M291" s="890"/>
      <c r="N291" s="890"/>
      <c r="O291" s="890"/>
      <c r="P291" s="890"/>
      <c r="Q291" s="890"/>
      <c r="R291" s="890"/>
      <c r="S291" s="890"/>
      <c r="T291" s="890"/>
      <c r="U291" s="898">
        <f>+U257</f>
        <v>0</v>
      </c>
      <c r="V291" s="863"/>
      <c r="W291" s="863"/>
      <c r="X291" s="863"/>
      <c r="Y291" s="863" t="str">
        <f>+Y257</f>
        <v>m3</v>
      </c>
      <c r="Z291" s="863"/>
      <c r="AA291" s="854">
        <f>+AA257</f>
        <v>0</v>
      </c>
      <c r="AB291" s="855"/>
      <c r="AC291" s="855"/>
      <c r="AD291" s="855"/>
      <c r="AE291" s="856"/>
      <c r="AF291" s="851">
        <f>+AA279</f>
        <v>1</v>
      </c>
      <c r="AG291" s="852"/>
      <c r="AH291" s="852"/>
      <c r="AI291" s="852"/>
      <c r="AJ291" s="853"/>
      <c r="AK291" s="860">
        <f>+U291*AA291*AF291</f>
        <v>0</v>
      </c>
      <c r="AL291" s="861"/>
      <c r="AM291" s="861"/>
      <c r="AN291" s="861"/>
      <c r="AO291" s="861"/>
      <c r="AP291" s="862"/>
      <c r="AQ291" s="260"/>
      <c r="AR291" s="260"/>
      <c r="AS291" s="260"/>
      <c r="AT291" s="260"/>
      <c r="AU291" s="260"/>
      <c r="AV291" s="260"/>
    </row>
    <row r="292" spans="1:48" s="164" customFormat="1" ht="12.75" customHeight="1" x14ac:dyDescent="0.25">
      <c r="C292" s="889">
        <f>+C258</f>
        <v>0</v>
      </c>
      <c r="D292" s="890"/>
      <c r="E292" s="890"/>
      <c r="F292" s="890"/>
      <c r="G292" s="890"/>
      <c r="H292" s="890"/>
      <c r="I292" s="890"/>
      <c r="J292" s="890"/>
      <c r="K292" s="890"/>
      <c r="L292" s="890"/>
      <c r="M292" s="890"/>
      <c r="N292" s="890"/>
      <c r="O292" s="890"/>
      <c r="P292" s="890"/>
      <c r="Q292" s="890"/>
      <c r="R292" s="890"/>
      <c r="S292" s="890"/>
      <c r="T292" s="890"/>
      <c r="U292" s="898">
        <f>+U258</f>
        <v>0</v>
      </c>
      <c r="V292" s="863"/>
      <c r="W292" s="863"/>
      <c r="X292" s="863"/>
      <c r="Y292" s="863" t="str">
        <f>+Y258</f>
        <v>Und</v>
      </c>
      <c r="Z292" s="863"/>
      <c r="AA292" s="854">
        <f>+AA258</f>
        <v>0</v>
      </c>
      <c r="AB292" s="855"/>
      <c r="AC292" s="855"/>
      <c r="AD292" s="855"/>
      <c r="AE292" s="856"/>
      <c r="AF292" s="851">
        <f>+AF291</f>
        <v>1</v>
      </c>
      <c r="AG292" s="852"/>
      <c r="AH292" s="852"/>
      <c r="AI292" s="852"/>
      <c r="AJ292" s="853"/>
      <c r="AK292" s="860">
        <f>+U292*AA292*AF292</f>
        <v>0</v>
      </c>
      <c r="AL292" s="861"/>
      <c r="AM292" s="861"/>
      <c r="AN292" s="861"/>
      <c r="AO292" s="861"/>
      <c r="AP292" s="862"/>
      <c r="AQ292" s="260"/>
      <c r="AR292" s="260"/>
      <c r="AS292" s="260"/>
      <c r="AT292" s="260"/>
      <c r="AU292" s="260"/>
      <c r="AV292" s="260"/>
    </row>
    <row r="293" spans="1:48" s="165" customFormat="1" ht="12.75" customHeight="1" x14ac:dyDescent="0.25">
      <c r="C293" s="307" t="s">
        <v>83</v>
      </c>
      <c r="D293" s="308"/>
      <c r="E293" s="308"/>
      <c r="F293" s="308"/>
      <c r="G293" s="308"/>
      <c r="H293" s="308"/>
      <c r="I293" s="308"/>
      <c r="J293" s="308"/>
      <c r="K293" s="308"/>
      <c r="L293" s="308"/>
      <c r="M293" s="308"/>
      <c r="N293" s="308"/>
      <c r="O293" s="308"/>
      <c r="P293" s="308"/>
      <c r="Q293" s="308"/>
      <c r="R293" s="308"/>
      <c r="S293" s="308"/>
      <c r="T293" s="308"/>
      <c r="U293" s="309"/>
      <c r="V293" s="309"/>
      <c r="W293" s="309"/>
      <c r="X293" s="309"/>
      <c r="Y293" s="309"/>
      <c r="Z293" s="309"/>
      <c r="AA293" s="309"/>
      <c r="AB293" s="309"/>
      <c r="AC293" s="309"/>
      <c r="AD293" s="309"/>
      <c r="AE293" s="309"/>
      <c r="AF293" s="309"/>
      <c r="AG293" s="309"/>
      <c r="AH293" s="309"/>
      <c r="AI293" s="309"/>
      <c r="AJ293" s="309"/>
      <c r="AK293" s="870">
        <f>SUM(AK289:AP292)</f>
        <v>0</v>
      </c>
      <c r="AL293" s="863"/>
      <c r="AM293" s="863"/>
      <c r="AN293" s="863"/>
      <c r="AO293" s="863"/>
      <c r="AP293" s="871"/>
      <c r="AQ293" s="260"/>
      <c r="AR293" s="260"/>
      <c r="AS293" s="260"/>
      <c r="AT293" s="260"/>
      <c r="AU293" s="260"/>
      <c r="AV293" s="260"/>
    </row>
    <row r="294" spans="1:48" s="165" customFormat="1" ht="12.75" customHeight="1" x14ac:dyDescent="0.25">
      <c r="C294" s="310" t="s">
        <v>154</v>
      </c>
      <c r="D294" s="311"/>
      <c r="E294" s="311"/>
      <c r="F294" s="311"/>
      <c r="G294" s="311"/>
      <c r="H294" s="311"/>
      <c r="I294" s="311"/>
      <c r="J294" s="311"/>
      <c r="K294" s="311"/>
      <c r="L294" s="311"/>
      <c r="M294" s="311"/>
      <c r="N294" s="311"/>
      <c r="O294" s="311"/>
      <c r="P294" s="311"/>
      <c r="Q294" s="311"/>
      <c r="R294" s="311"/>
      <c r="S294" s="311"/>
      <c r="T294" s="311"/>
      <c r="U294" s="312"/>
      <c r="V294" s="312"/>
      <c r="W294" s="312"/>
      <c r="X294" s="312"/>
      <c r="Y294" s="312"/>
      <c r="Z294" s="312"/>
      <c r="AA294" s="312"/>
      <c r="AB294" s="312"/>
      <c r="AC294" s="312"/>
      <c r="AD294" s="312"/>
      <c r="AE294" s="312"/>
      <c r="AF294" s="312"/>
      <c r="AG294" s="312"/>
      <c r="AH294" s="312"/>
      <c r="AI294" s="312"/>
      <c r="AJ294" s="312"/>
      <c r="AK294" s="865">
        <f>+AK260</f>
        <v>0</v>
      </c>
      <c r="AL294" s="866"/>
      <c r="AM294" s="866"/>
      <c r="AN294" s="866"/>
      <c r="AO294" s="866"/>
      <c r="AP294" s="867"/>
      <c r="AQ294" s="260"/>
      <c r="AR294" s="260"/>
      <c r="AS294" s="260"/>
      <c r="AT294" s="260"/>
      <c r="AU294" s="260"/>
      <c r="AV294" s="260"/>
    </row>
    <row r="295" spans="1:48" s="260" customFormat="1" ht="14.4" thickBot="1" x14ac:dyDescent="0.3">
      <c r="C295" s="292" t="str">
        <f>+C286</f>
        <v>VALOR DE RECONSTRUCCION DE LAS OBRAS COMPLEMENTARIAS</v>
      </c>
      <c r="D295" s="293"/>
      <c r="E295" s="293"/>
      <c r="F295" s="293"/>
      <c r="G295" s="294"/>
      <c r="H295" s="313"/>
      <c r="I295" s="296"/>
      <c r="J295" s="297"/>
      <c r="K295" s="298"/>
      <c r="L295" s="294"/>
      <c r="M295" s="294"/>
      <c r="N295" s="294"/>
      <c r="O295" s="294"/>
      <c r="P295" s="294"/>
      <c r="Q295" s="294"/>
      <c r="R295" s="294"/>
      <c r="S295" s="294"/>
      <c r="T295" s="294"/>
      <c r="U295" s="294"/>
      <c r="V295" s="314"/>
      <c r="W295" s="315"/>
      <c r="X295" s="315"/>
      <c r="Y295" s="315"/>
      <c r="Z295" s="316"/>
      <c r="AA295" s="317"/>
      <c r="AB295" s="317"/>
      <c r="AC295" s="314"/>
      <c r="AD295" s="294"/>
      <c r="AE295" s="294"/>
      <c r="AF295" s="294"/>
      <c r="AG295" s="294"/>
      <c r="AH295" s="294"/>
      <c r="AI295" s="294"/>
      <c r="AJ295" s="294"/>
      <c r="AK295" s="294"/>
      <c r="AL295" s="294"/>
      <c r="AM295" s="294"/>
      <c r="AN295" s="294"/>
      <c r="AO295" s="294"/>
      <c r="AP295" s="294"/>
      <c r="AQ295" s="868">
        <f>+AK293*AK294</f>
        <v>0</v>
      </c>
      <c r="AR295" s="869"/>
      <c r="AS295" s="869"/>
      <c r="AT295" s="869"/>
      <c r="AU295" s="869"/>
      <c r="AV295" s="869"/>
    </row>
    <row r="296" spans="1:48" s="262" customFormat="1" ht="24.9" customHeight="1" thickTop="1" x14ac:dyDescent="0.25">
      <c r="A296" s="525">
        <v>5</v>
      </c>
      <c r="B296" s="872"/>
      <c r="C296" s="386" t="s">
        <v>174</v>
      </c>
    </row>
    <row r="297" spans="1:48" s="260" customFormat="1" x14ac:dyDescent="0.25">
      <c r="A297" s="20"/>
      <c r="B297" s="243"/>
      <c r="C297" s="318" t="s">
        <v>155</v>
      </c>
      <c r="D297" s="187"/>
      <c r="E297" s="187"/>
      <c r="F297" s="187"/>
      <c r="G297" s="187"/>
      <c r="H297" s="187"/>
      <c r="I297" s="187"/>
      <c r="J297" s="187"/>
      <c r="K297" s="187"/>
      <c r="L297" s="187"/>
      <c r="M297" s="187"/>
      <c r="N297" s="187"/>
      <c r="O297" s="187"/>
      <c r="P297" s="187"/>
      <c r="Q297" s="187"/>
      <c r="R297" s="187"/>
      <c r="S297" s="187"/>
      <c r="T297" s="187"/>
      <c r="U297" s="187"/>
      <c r="V297" s="193"/>
      <c r="W297" s="193"/>
      <c r="X297" s="193"/>
      <c r="Y297" s="193"/>
      <c r="Z297" s="193"/>
      <c r="AA297" s="193"/>
      <c r="AB297" s="193"/>
      <c r="AC297" s="193"/>
      <c r="AD297" s="193"/>
      <c r="AE297" s="193"/>
      <c r="AF297" s="187"/>
      <c r="AG297" s="187"/>
      <c r="AH297" s="187"/>
      <c r="AI297" s="187"/>
      <c r="AJ297" s="187"/>
      <c r="AK297" s="187"/>
      <c r="AL297" s="187"/>
      <c r="AM297" s="187"/>
      <c r="AN297" s="187"/>
      <c r="AO297" s="187"/>
      <c r="AP297" s="187"/>
      <c r="AQ297" s="187"/>
      <c r="AR297" s="187"/>
      <c r="AS297" s="187"/>
      <c r="AT297" s="187"/>
      <c r="AU297" s="187"/>
      <c r="AV297" s="187"/>
    </row>
    <row r="298" spans="1:48" s="260" customFormat="1" x14ac:dyDescent="0.25">
      <c r="A298" s="20"/>
      <c r="B298" s="243"/>
      <c r="C298" s="319" t="s">
        <v>156</v>
      </c>
      <c r="D298" s="187"/>
      <c r="E298" s="187"/>
      <c r="F298" s="187"/>
      <c r="G298" s="187"/>
      <c r="H298" s="187"/>
      <c r="I298" s="187"/>
      <c r="J298" s="187"/>
      <c r="K298" s="187"/>
      <c r="L298" s="187"/>
      <c r="M298" s="187"/>
      <c r="N298" s="187"/>
      <c r="O298" s="187"/>
      <c r="P298" s="187"/>
      <c r="Q298" s="187"/>
      <c r="R298" s="187"/>
      <c r="S298" s="187"/>
      <c r="T298" s="187"/>
      <c r="U298" s="187"/>
      <c r="V298" s="193"/>
      <c r="W298" s="193"/>
      <c r="X298" s="193"/>
      <c r="Y298" s="193"/>
      <c r="Z298" s="193"/>
      <c r="AA298" s="193"/>
      <c r="AB298" s="193"/>
      <c r="AC298" s="193"/>
      <c r="AD298" s="193"/>
      <c r="AE298" s="193"/>
      <c r="AF298" s="187"/>
      <c r="AG298" s="187"/>
      <c r="AH298" s="187"/>
      <c r="AI298" s="187"/>
      <c r="AJ298" s="187"/>
      <c r="AK298" s="187"/>
      <c r="AL298" s="187"/>
      <c r="AM298" s="187"/>
      <c r="AN298" s="187"/>
      <c r="AO298" s="187"/>
      <c r="AP298" s="187"/>
      <c r="AQ298" s="187"/>
      <c r="AR298" s="187"/>
      <c r="AS298" s="187"/>
      <c r="AT298" s="187"/>
      <c r="AU298" s="187"/>
      <c r="AV298" s="187"/>
    </row>
    <row r="299" spans="1:48" s="260" customFormat="1" ht="15" customHeight="1" x14ac:dyDescent="0.25">
      <c r="A299" s="234"/>
      <c r="B299" s="234"/>
      <c r="C299" s="571">
        <f>+P147</f>
        <v>0</v>
      </c>
      <c r="D299" s="572"/>
      <c r="E299" s="572"/>
      <c r="F299" s="572"/>
      <c r="G299" s="572"/>
      <c r="H299" s="572"/>
      <c r="I299" s="281"/>
      <c r="J299" s="234" t="s">
        <v>26</v>
      </c>
      <c r="K299" s="234"/>
      <c r="L299" s="234"/>
      <c r="M299" s="234" t="s">
        <v>21</v>
      </c>
      <c r="N299" s="258"/>
      <c r="O299" s="873">
        <v>200</v>
      </c>
      <c r="P299" s="873"/>
      <c r="Q299" s="874"/>
      <c r="R299" s="875"/>
      <c r="S299" s="875"/>
      <c r="T299" s="875"/>
      <c r="U299" s="259" t="s">
        <v>32</v>
      </c>
      <c r="V299" s="234"/>
      <c r="W299" s="234"/>
      <c r="X299" s="234"/>
      <c r="Y299" s="234"/>
      <c r="Z299" s="258"/>
      <c r="AA299" s="234"/>
      <c r="AB299" s="586"/>
      <c r="AC299" s="586"/>
      <c r="AD299" s="552"/>
      <c r="AE299" s="552"/>
      <c r="AF299" s="234"/>
      <c r="AG299" s="234"/>
      <c r="AH299" s="234"/>
      <c r="AI299" s="234"/>
      <c r="AJ299" s="234"/>
      <c r="AK299" s="234"/>
      <c r="AL299" s="234"/>
      <c r="AM299" s="234"/>
      <c r="AN299" s="259" t="s">
        <v>18</v>
      </c>
      <c r="AO299" s="234"/>
      <c r="AP299" s="864">
        <f>+C299*O299</f>
        <v>0</v>
      </c>
      <c r="AQ299" s="864"/>
      <c r="AR299" s="864"/>
      <c r="AS299" s="864"/>
      <c r="AT299" s="864"/>
      <c r="AU299" s="864"/>
      <c r="AV299" s="864"/>
    </row>
    <row r="300" spans="1:48" s="260" customFormat="1" x14ac:dyDescent="0.25">
      <c r="A300" s="234"/>
      <c r="B300" s="234"/>
      <c r="C300" s="319" t="s">
        <v>157</v>
      </c>
      <c r="D300" s="187"/>
      <c r="E300" s="187"/>
      <c r="F300" s="187"/>
      <c r="G300" s="187"/>
      <c r="H300" s="187"/>
      <c r="I300" s="187"/>
      <c r="J300" s="187"/>
      <c r="K300" s="187"/>
      <c r="L300" s="187"/>
      <c r="M300" s="187"/>
      <c r="N300" s="187"/>
      <c r="O300" s="187"/>
      <c r="P300" s="187"/>
      <c r="Q300" s="187"/>
      <c r="R300" s="187"/>
      <c r="S300" s="187"/>
      <c r="T300" s="187"/>
      <c r="U300" s="187"/>
      <c r="V300" s="193"/>
      <c r="W300" s="193"/>
      <c r="X300" s="193"/>
      <c r="Y300" s="193"/>
      <c r="Z300" s="193"/>
      <c r="AA300" s="193"/>
      <c r="AB300" s="193"/>
      <c r="AC300" s="193"/>
      <c r="AD300" s="193"/>
      <c r="AE300" s="193"/>
      <c r="AF300" s="187"/>
      <c r="AG300" s="187"/>
      <c r="AH300" s="187"/>
      <c r="AI300" s="187"/>
      <c r="AJ300" s="187"/>
      <c r="AK300" s="187"/>
      <c r="AL300" s="187"/>
      <c r="AM300" s="187"/>
      <c r="AN300" s="187"/>
      <c r="AO300" s="187"/>
      <c r="AP300" s="187"/>
      <c r="AQ300" s="187"/>
      <c r="AR300" s="187"/>
      <c r="AS300" s="187"/>
      <c r="AT300" s="187"/>
      <c r="AU300" s="187"/>
      <c r="AV300" s="187"/>
    </row>
    <row r="301" spans="1:48" s="260" customFormat="1" x14ac:dyDescent="0.25">
      <c r="A301" s="234"/>
      <c r="B301" s="234"/>
      <c r="C301" s="571">
        <f>+W147-P147</f>
        <v>0</v>
      </c>
      <c r="D301" s="571"/>
      <c r="E301" s="571"/>
      <c r="F301" s="571"/>
      <c r="G301" s="571"/>
      <c r="H301" s="571"/>
      <c r="I301" s="281"/>
      <c r="J301" s="234" t="s">
        <v>26</v>
      </c>
      <c r="K301" s="234"/>
      <c r="L301" s="234"/>
      <c r="M301" s="234" t="s">
        <v>21</v>
      </c>
      <c r="N301" s="258"/>
      <c r="O301" s="873">
        <v>20</v>
      </c>
      <c r="P301" s="873"/>
      <c r="Q301" s="873"/>
      <c r="R301" s="873"/>
      <c r="S301" s="873"/>
      <c r="T301" s="873"/>
      <c r="U301" s="259" t="s">
        <v>32</v>
      </c>
      <c r="V301" s="234"/>
      <c r="W301" s="234"/>
      <c r="X301" s="234"/>
      <c r="Y301" s="234"/>
      <c r="Z301" s="258"/>
      <c r="AA301" s="234"/>
      <c r="AB301" s="586"/>
      <c r="AC301" s="586"/>
      <c r="AD301" s="586"/>
      <c r="AE301" s="586"/>
      <c r="AF301" s="234"/>
      <c r="AG301" s="234"/>
      <c r="AH301" s="234"/>
      <c r="AI301" s="234"/>
      <c r="AJ301" s="234"/>
      <c r="AK301" s="234"/>
      <c r="AL301" s="234"/>
      <c r="AM301" s="234"/>
      <c r="AN301" s="259" t="s">
        <v>18</v>
      </c>
      <c r="AO301" s="234"/>
      <c r="AP301" s="876">
        <f>+C301*O301</f>
        <v>0</v>
      </c>
      <c r="AQ301" s="876"/>
      <c r="AR301" s="876"/>
      <c r="AS301" s="876"/>
      <c r="AT301" s="876"/>
      <c r="AU301" s="876"/>
      <c r="AV301" s="876"/>
    </row>
    <row r="302" spans="1:48" s="260" customFormat="1" x14ac:dyDescent="0.25">
      <c r="A302" s="234"/>
      <c r="B302" s="234"/>
      <c r="C302" s="230" t="s">
        <v>61</v>
      </c>
      <c r="D302" s="281"/>
      <c r="E302" s="281"/>
      <c r="F302" s="281"/>
      <c r="G302" s="281"/>
      <c r="H302" s="281"/>
      <c r="I302" s="281"/>
      <c r="J302" s="234"/>
      <c r="K302" s="234"/>
      <c r="L302" s="234"/>
      <c r="M302" s="234"/>
      <c r="N302" s="258"/>
      <c r="O302" s="282"/>
      <c r="P302" s="282"/>
      <c r="Q302" s="283"/>
      <c r="R302" s="196"/>
      <c r="S302" s="196"/>
      <c r="T302" s="196"/>
      <c r="U302" s="259"/>
      <c r="V302" s="234"/>
      <c r="W302" s="234"/>
      <c r="X302" s="234"/>
      <c r="Y302" s="234"/>
      <c r="Z302" s="258"/>
      <c r="AA302" s="234"/>
      <c r="AB302" s="284"/>
      <c r="AC302" s="284"/>
      <c r="AD302" s="196"/>
      <c r="AE302" s="196"/>
      <c r="AF302" s="234"/>
      <c r="AG302" s="234"/>
      <c r="AH302" s="234"/>
      <c r="AI302" s="234"/>
      <c r="AJ302" s="234"/>
      <c r="AK302" s="234"/>
      <c r="AL302" s="234"/>
      <c r="AM302" s="234"/>
      <c r="AN302" s="259" t="s">
        <v>18</v>
      </c>
      <c r="AO302" s="234"/>
      <c r="AP302" s="864">
        <f>+AP299+AP301</f>
        <v>0</v>
      </c>
      <c r="AQ302" s="864"/>
      <c r="AR302" s="864"/>
      <c r="AS302" s="864"/>
      <c r="AT302" s="864"/>
      <c r="AU302" s="864"/>
      <c r="AV302" s="864"/>
    </row>
    <row r="303" spans="1:48" s="260" customFormat="1" ht="15" customHeight="1" x14ac:dyDescent="0.25">
      <c r="A303" s="20"/>
      <c r="B303" s="243"/>
      <c r="C303" s="318" t="s">
        <v>158</v>
      </c>
      <c r="D303" s="187"/>
      <c r="E303" s="187"/>
      <c r="F303" s="187"/>
      <c r="G303" s="187"/>
      <c r="H303" s="187"/>
      <c r="I303" s="187"/>
      <c r="J303" s="187"/>
      <c r="K303" s="187"/>
      <c r="L303" s="187"/>
      <c r="M303" s="187"/>
      <c r="N303" s="187"/>
      <c r="O303" s="187"/>
      <c r="P303" s="187"/>
      <c r="Q303" s="187"/>
      <c r="R303" s="187"/>
      <c r="S303" s="187"/>
      <c r="T303" s="187"/>
      <c r="U303" s="187"/>
      <c r="V303" s="193"/>
      <c r="W303" s="193"/>
      <c r="X303" s="193"/>
      <c r="Y303" s="193"/>
      <c r="Z303" s="193"/>
      <c r="AA303" s="193"/>
      <c r="AB303" s="193"/>
      <c r="AC303" s="193"/>
      <c r="AD303" s="193"/>
      <c r="AE303" s="193"/>
      <c r="AF303" s="187"/>
      <c r="AG303" s="187"/>
      <c r="AH303" s="187"/>
      <c r="AI303" s="187"/>
      <c r="AJ303" s="187"/>
      <c r="AK303" s="187"/>
      <c r="AL303" s="187"/>
      <c r="AM303" s="187"/>
      <c r="AN303" s="187"/>
      <c r="AO303" s="187"/>
      <c r="AP303" s="187"/>
      <c r="AQ303" s="187"/>
      <c r="AR303" s="187"/>
      <c r="AS303" s="187"/>
      <c r="AT303" s="187"/>
      <c r="AU303" s="187"/>
      <c r="AV303" s="187"/>
    </row>
    <row r="304" spans="1:48" s="260" customFormat="1" ht="15" customHeight="1" x14ac:dyDescent="0.25">
      <c r="A304" s="234"/>
      <c r="B304" s="234"/>
      <c r="C304" s="877">
        <v>0.15</v>
      </c>
      <c r="D304" s="878"/>
      <c r="E304" s="878"/>
      <c r="F304" s="878"/>
      <c r="G304" s="878"/>
      <c r="H304" s="878"/>
      <c r="I304" s="281"/>
      <c r="J304" s="234"/>
      <c r="K304" s="234"/>
      <c r="L304" s="234"/>
      <c r="M304" s="234" t="s">
        <v>21</v>
      </c>
      <c r="N304" s="258"/>
      <c r="O304" s="879">
        <f>+AP302</f>
        <v>0</v>
      </c>
      <c r="P304" s="879"/>
      <c r="Q304" s="879"/>
      <c r="R304" s="879"/>
      <c r="S304" s="879"/>
      <c r="T304" s="879"/>
      <c r="U304" s="879"/>
      <c r="V304" s="879"/>
      <c r="W304" s="234"/>
      <c r="X304" s="234"/>
      <c r="Y304" s="234"/>
      <c r="Z304" s="258"/>
      <c r="AA304" s="234"/>
      <c r="AB304" s="586"/>
      <c r="AC304" s="586"/>
      <c r="AD304" s="552"/>
      <c r="AE304" s="552"/>
      <c r="AF304" s="234"/>
      <c r="AG304" s="234"/>
      <c r="AH304" s="234"/>
      <c r="AI304" s="234"/>
      <c r="AJ304" s="234"/>
      <c r="AK304" s="234"/>
      <c r="AL304" s="234"/>
      <c r="AM304" s="234"/>
      <c r="AN304" s="259" t="s">
        <v>18</v>
      </c>
      <c r="AO304" s="234"/>
      <c r="AP304" s="864">
        <f>+ROUND((C304*O304),2)</f>
        <v>0</v>
      </c>
      <c r="AQ304" s="864"/>
      <c r="AR304" s="864"/>
      <c r="AS304" s="864"/>
      <c r="AT304" s="864"/>
      <c r="AU304" s="864"/>
      <c r="AV304" s="864"/>
    </row>
    <row r="305" spans="1:50" s="260" customFormat="1" ht="14.4" thickBot="1" x14ac:dyDescent="0.3">
      <c r="C305" s="292" t="str">
        <f>+C296</f>
        <v>VALOR DE RECONSTRUCCION DEL ESTACIONAMIENTO Nº</v>
      </c>
      <c r="D305" s="293"/>
      <c r="E305" s="293"/>
      <c r="F305" s="293"/>
      <c r="G305" s="294"/>
      <c r="H305" s="313"/>
      <c r="I305" s="296"/>
      <c r="J305" s="297"/>
      <c r="K305" s="298"/>
      <c r="L305" s="294"/>
      <c r="M305" s="294"/>
      <c r="N305" s="294"/>
      <c r="O305" s="294"/>
      <c r="P305" s="294"/>
      <c r="Q305" s="294"/>
      <c r="R305" s="294"/>
      <c r="S305" s="294"/>
      <c r="T305" s="294"/>
      <c r="U305" s="294"/>
      <c r="V305" s="314"/>
      <c r="W305" s="315"/>
      <c r="X305" s="315"/>
      <c r="Y305" s="315"/>
      <c r="Z305" s="316"/>
      <c r="AA305" s="317"/>
      <c r="AB305" s="317"/>
      <c r="AC305" s="314"/>
      <c r="AD305" s="294"/>
      <c r="AE305" s="294"/>
      <c r="AF305" s="294"/>
      <c r="AG305" s="294"/>
      <c r="AH305" s="294"/>
      <c r="AI305" s="294"/>
      <c r="AJ305" s="294"/>
      <c r="AK305" s="294"/>
      <c r="AL305" s="294"/>
      <c r="AM305" s="299"/>
      <c r="AN305" s="294" t="s">
        <v>18</v>
      </c>
      <c r="AO305" s="849">
        <f>+SUM(AP302:AV304)</f>
        <v>0</v>
      </c>
      <c r="AP305" s="849"/>
      <c r="AQ305" s="849">
        <f>+AK303*AK304</f>
        <v>0</v>
      </c>
      <c r="AR305" s="850"/>
      <c r="AS305" s="850"/>
      <c r="AT305" s="850"/>
      <c r="AU305" s="850"/>
      <c r="AV305" s="850"/>
    </row>
    <row r="306" spans="1:50" s="262" customFormat="1" ht="24.9" customHeight="1" thickTop="1" x14ac:dyDescent="0.25">
      <c r="A306" s="525">
        <v>6</v>
      </c>
      <c r="B306" s="872"/>
      <c r="C306" s="386" t="s">
        <v>175</v>
      </c>
    </row>
    <row r="307" spans="1:50" s="260" customFormat="1" x14ac:dyDescent="0.25">
      <c r="A307" s="20"/>
      <c r="B307" s="243"/>
      <c r="C307" s="318" t="s">
        <v>155</v>
      </c>
      <c r="D307" s="187"/>
      <c r="E307" s="187"/>
      <c r="F307" s="187"/>
      <c r="G307" s="187"/>
      <c r="H307" s="187"/>
      <c r="I307" s="187"/>
      <c r="J307" s="187"/>
      <c r="K307" s="187"/>
      <c r="L307" s="187"/>
      <c r="M307" s="187"/>
      <c r="N307" s="187"/>
      <c r="O307" s="187"/>
      <c r="P307" s="187"/>
      <c r="Q307" s="187"/>
      <c r="R307" s="187"/>
      <c r="S307" s="187"/>
      <c r="T307" s="187"/>
      <c r="U307" s="187"/>
      <c r="V307" s="193"/>
      <c r="W307" s="193"/>
      <c r="X307" s="193"/>
      <c r="Y307" s="193"/>
      <c r="Z307" s="193"/>
      <c r="AA307" s="193"/>
      <c r="AB307" s="193"/>
      <c r="AC307" s="193"/>
      <c r="AD307" s="193"/>
      <c r="AE307" s="193"/>
      <c r="AF307" s="187"/>
      <c r="AG307" s="187"/>
      <c r="AH307" s="187"/>
      <c r="AI307" s="187"/>
      <c r="AJ307" s="187"/>
      <c r="AK307" s="187"/>
      <c r="AL307" s="187"/>
      <c r="AM307" s="187"/>
      <c r="AN307" s="187"/>
      <c r="AO307" s="187"/>
      <c r="AP307" s="187"/>
      <c r="AQ307" s="187"/>
      <c r="AR307" s="187"/>
      <c r="AS307" s="187"/>
      <c r="AT307" s="187"/>
      <c r="AU307" s="187"/>
      <c r="AV307" s="187"/>
    </row>
    <row r="308" spans="1:50" s="260" customFormat="1" x14ac:dyDescent="0.25">
      <c r="A308" s="20"/>
      <c r="B308" s="243"/>
      <c r="C308" s="319" t="s">
        <v>156</v>
      </c>
      <c r="D308" s="187"/>
      <c r="E308" s="187"/>
      <c r="F308" s="187"/>
      <c r="G308" s="187"/>
      <c r="H308" s="187"/>
      <c r="I308" s="187"/>
      <c r="J308" s="187"/>
      <c r="K308" s="187"/>
      <c r="L308" s="187"/>
      <c r="M308" s="187"/>
      <c r="N308" s="187"/>
      <c r="O308" s="187"/>
      <c r="P308" s="187"/>
      <c r="Q308" s="187"/>
      <c r="R308" s="187"/>
      <c r="S308" s="187"/>
      <c r="T308" s="187"/>
      <c r="U308" s="187"/>
      <c r="V308" s="193"/>
      <c r="W308" s="193"/>
      <c r="X308" s="193"/>
      <c r="Y308" s="193"/>
      <c r="Z308" s="193"/>
      <c r="AA308" s="193"/>
      <c r="AB308" s="193"/>
      <c r="AC308" s="193"/>
      <c r="AD308" s="193"/>
      <c r="AE308" s="193"/>
      <c r="AF308" s="187"/>
      <c r="AG308" s="187"/>
      <c r="AH308" s="187"/>
      <c r="AI308" s="187"/>
      <c r="AJ308" s="187"/>
      <c r="AK308" s="187"/>
      <c r="AL308" s="187"/>
      <c r="AM308" s="187"/>
      <c r="AN308" s="187"/>
      <c r="AO308" s="187"/>
      <c r="AP308" s="187"/>
      <c r="AQ308" s="187"/>
      <c r="AR308" s="187"/>
      <c r="AS308" s="187"/>
      <c r="AT308" s="187"/>
      <c r="AU308" s="187"/>
      <c r="AV308" s="187"/>
    </row>
    <row r="309" spans="1:50" s="260" customFormat="1" ht="15" customHeight="1" x14ac:dyDescent="0.25">
      <c r="A309" s="234"/>
      <c r="B309" s="234"/>
      <c r="C309" s="571">
        <f>+P148</f>
        <v>0</v>
      </c>
      <c r="D309" s="572"/>
      <c r="E309" s="572"/>
      <c r="F309" s="572"/>
      <c r="G309" s="572"/>
      <c r="H309" s="572"/>
      <c r="I309" s="281"/>
      <c r="J309" s="234" t="s">
        <v>26</v>
      </c>
      <c r="K309" s="234"/>
      <c r="L309" s="234"/>
      <c r="M309" s="234" t="s">
        <v>21</v>
      </c>
      <c r="N309" s="258"/>
      <c r="O309" s="873">
        <v>200</v>
      </c>
      <c r="P309" s="873"/>
      <c r="Q309" s="874"/>
      <c r="R309" s="875"/>
      <c r="S309" s="875"/>
      <c r="T309" s="875"/>
      <c r="U309" s="259" t="s">
        <v>32</v>
      </c>
      <c r="V309" s="234"/>
      <c r="W309" s="234"/>
      <c r="X309" s="234"/>
      <c r="Y309" s="234"/>
      <c r="Z309" s="258"/>
      <c r="AA309" s="234"/>
      <c r="AB309" s="586"/>
      <c r="AC309" s="586"/>
      <c r="AD309" s="552"/>
      <c r="AE309" s="552"/>
      <c r="AF309" s="234"/>
      <c r="AG309" s="234"/>
      <c r="AH309" s="234"/>
      <c r="AI309" s="234"/>
      <c r="AJ309" s="234"/>
      <c r="AK309" s="234"/>
      <c r="AL309" s="234"/>
      <c r="AM309" s="234"/>
      <c r="AN309" s="259" t="s">
        <v>18</v>
      </c>
      <c r="AO309" s="234"/>
      <c r="AP309" s="864">
        <f>+C309*O309</f>
        <v>0</v>
      </c>
      <c r="AQ309" s="864"/>
      <c r="AR309" s="864"/>
      <c r="AS309" s="864"/>
      <c r="AT309" s="864"/>
      <c r="AU309" s="864"/>
      <c r="AV309" s="864"/>
    </row>
    <row r="310" spans="1:50" s="260" customFormat="1" x14ac:dyDescent="0.25">
      <c r="A310" s="234"/>
      <c r="B310" s="234"/>
      <c r="C310" s="319" t="s">
        <v>157</v>
      </c>
      <c r="D310" s="187"/>
      <c r="E310" s="187"/>
      <c r="F310" s="187"/>
      <c r="G310" s="187"/>
      <c r="H310" s="187"/>
      <c r="I310" s="187"/>
      <c r="J310" s="187"/>
      <c r="K310" s="187"/>
      <c r="L310" s="187"/>
      <c r="M310" s="187"/>
      <c r="N310" s="187"/>
      <c r="O310" s="187"/>
      <c r="P310" s="187"/>
      <c r="Q310" s="187"/>
      <c r="R310" s="187"/>
      <c r="S310" s="187"/>
      <c r="T310" s="187"/>
      <c r="U310" s="187"/>
      <c r="V310" s="193"/>
      <c r="W310" s="193"/>
      <c r="X310" s="193"/>
      <c r="Y310" s="193"/>
      <c r="Z310" s="193"/>
      <c r="AA310" s="193"/>
      <c r="AB310" s="193"/>
      <c r="AC310" s="193"/>
      <c r="AD310" s="193"/>
      <c r="AE310" s="193"/>
      <c r="AF310" s="187"/>
      <c r="AG310" s="187"/>
      <c r="AH310" s="187"/>
      <c r="AI310" s="187"/>
      <c r="AJ310" s="187"/>
      <c r="AK310" s="187"/>
      <c r="AL310" s="187"/>
      <c r="AM310" s="187"/>
      <c r="AN310" s="187"/>
      <c r="AO310" s="187"/>
      <c r="AP310" s="187"/>
      <c r="AQ310" s="187"/>
      <c r="AR310" s="187"/>
      <c r="AS310" s="187"/>
      <c r="AT310" s="187"/>
      <c r="AU310" s="187"/>
      <c r="AV310" s="187"/>
    </row>
    <row r="311" spans="1:50" s="260" customFormat="1" x14ac:dyDescent="0.25">
      <c r="A311" s="234"/>
      <c r="B311" s="234"/>
      <c r="C311" s="571">
        <f>+W148-P148</f>
        <v>0</v>
      </c>
      <c r="D311" s="571"/>
      <c r="E311" s="571"/>
      <c r="F311" s="571"/>
      <c r="G311" s="571"/>
      <c r="H311" s="571"/>
      <c r="I311" s="281"/>
      <c r="J311" s="234" t="s">
        <v>26</v>
      </c>
      <c r="K311" s="234"/>
      <c r="L311" s="234"/>
      <c r="M311" s="234" t="s">
        <v>21</v>
      </c>
      <c r="N311" s="258"/>
      <c r="O311" s="873">
        <v>20</v>
      </c>
      <c r="P311" s="873"/>
      <c r="Q311" s="873"/>
      <c r="R311" s="873"/>
      <c r="S311" s="873"/>
      <c r="T311" s="873"/>
      <c r="U311" s="259" t="s">
        <v>32</v>
      </c>
      <c r="V311" s="234"/>
      <c r="W311" s="234"/>
      <c r="X311" s="234"/>
      <c r="Y311" s="234"/>
      <c r="Z311" s="258"/>
      <c r="AA311" s="234"/>
      <c r="AB311" s="586"/>
      <c r="AC311" s="586"/>
      <c r="AD311" s="586"/>
      <c r="AE311" s="586"/>
      <c r="AF311" s="234"/>
      <c r="AG311" s="234"/>
      <c r="AH311" s="234"/>
      <c r="AI311" s="234"/>
      <c r="AJ311" s="234"/>
      <c r="AK311" s="234"/>
      <c r="AL311" s="234"/>
      <c r="AM311" s="234"/>
      <c r="AN311" s="259" t="s">
        <v>18</v>
      </c>
      <c r="AO311" s="234"/>
      <c r="AP311" s="876">
        <f>+C311*O311</f>
        <v>0</v>
      </c>
      <c r="AQ311" s="876"/>
      <c r="AR311" s="876"/>
      <c r="AS311" s="876"/>
      <c r="AT311" s="876"/>
      <c r="AU311" s="876"/>
      <c r="AV311" s="876"/>
    </row>
    <row r="312" spans="1:50" s="260" customFormat="1" x14ac:dyDescent="0.25">
      <c r="A312" s="234"/>
      <c r="B312" s="234"/>
      <c r="C312" s="230" t="s">
        <v>61</v>
      </c>
      <c r="D312" s="281"/>
      <c r="E312" s="281"/>
      <c r="F312" s="281"/>
      <c r="G312" s="281"/>
      <c r="H312" s="281"/>
      <c r="I312" s="281"/>
      <c r="J312" s="234"/>
      <c r="K312" s="234"/>
      <c r="L312" s="234"/>
      <c r="M312" s="234"/>
      <c r="N312" s="258"/>
      <c r="O312" s="282"/>
      <c r="P312" s="282"/>
      <c r="Q312" s="283"/>
      <c r="R312" s="196"/>
      <c r="S312" s="196"/>
      <c r="T312" s="196"/>
      <c r="U312" s="259"/>
      <c r="V312" s="234"/>
      <c r="W312" s="234"/>
      <c r="X312" s="234"/>
      <c r="Y312" s="234"/>
      <c r="Z312" s="258"/>
      <c r="AA312" s="234"/>
      <c r="AB312" s="284"/>
      <c r="AC312" s="284"/>
      <c r="AD312" s="196"/>
      <c r="AE312" s="196"/>
      <c r="AF312" s="234"/>
      <c r="AG312" s="234"/>
      <c r="AH312" s="234"/>
      <c r="AI312" s="234"/>
      <c r="AJ312" s="234"/>
      <c r="AK312" s="234"/>
      <c r="AL312" s="234"/>
      <c r="AM312" s="234"/>
      <c r="AN312" s="259" t="s">
        <v>18</v>
      </c>
      <c r="AO312" s="234"/>
      <c r="AP312" s="864">
        <f>+AP309+AP311</f>
        <v>0</v>
      </c>
      <c r="AQ312" s="864"/>
      <c r="AR312" s="864"/>
      <c r="AS312" s="864"/>
      <c r="AT312" s="864"/>
      <c r="AU312" s="864"/>
      <c r="AV312" s="864"/>
    </row>
    <row r="313" spans="1:50" s="260" customFormat="1" ht="15" customHeight="1" x14ac:dyDescent="0.25">
      <c r="A313" s="20"/>
      <c r="B313" s="243"/>
      <c r="C313" s="318" t="s">
        <v>158</v>
      </c>
      <c r="D313" s="187"/>
      <c r="E313" s="187"/>
      <c r="F313" s="187"/>
      <c r="G313" s="187"/>
      <c r="H313" s="187"/>
      <c r="I313" s="187"/>
      <c r="J313" s="187"/>
      <c r="K313" s="187"/>
      <c r="L313" s="187"/>
      <c r="M313" s="187"/>
      <c r="N313" s="187"/>
      <c r="O313" s="187"/>
      <c r="P313" s="187"/>
      <c r="Q313" s="187"/>
      <c r="R313" s="187"/>
      <c r="S313" s="187"/>
      <c r="T313" s="187"/>
      <c r="U313" s="187"/>
      <c r="V313" s="193"/>
      <c r="W313" s="193"/>
      <c r="X313" s="193"/>
      <c r="Y313" s="193"/>
      <c r="Z313" s="193"/>
      <c r="AA313" s="193"/>
      <c r="AB313" s="193"/>
      <c r="AC313" s="193"/>
      <c r="AD313" s="193"/>
      <c r="AE313" s="193"/>
      <c r="AF313" s="187"/>
      <c r="AG313" s="187"/>
      <c r="AH313" s="187"/>
      <c r="AI313" s="187"/>
      <c r="AJ313" s="187"/>
      <c r="AK313" s="187"/>
      <c r="AL313" s="187"/>
      <c r="AM313" s="187"/>
      <c r="AN313" s="187"/>
      <c r="AO313" s="187"/>
      <c r="AP313" s="187"/>
      <c r="AQ313" s="187"/>
      <c r="AR313" s="187"/>
      <c r="AS313" s="187"/>
      <c r="AT313" s="187"/>
      <c r="AU313" s="187"/>
      <c r="AV313" s="187"/>
    </row>
    <row r="314" spans="1:50" s="260" customFormat="1" ht="15" customHeight="1" x14ac:dyDescent="0.25">
      <c r="A314" s="234"/>
      <c r="B314" s="234"/>
      <c r="C314" s="877">
        <v>0.15</v>
      </c>
      <c r="D314" s="878"/>
      <c r="E314" s="878"/>
      <c r="F314" s="878"/>
      <c r="G314" s="878"/>
      <c r="H314" s="878"/>
      <c r="I314" s="281"/>
      <c r="J314" s="234"/>
      <c r="K314" s="234"/>
      <c r="L314" s="234"/>
      <c r="M314" s="234" t="s">
        <v>21</v>
      </c>
      <c r="N314" s="258"/>
      <c r="O314" s="879">
        <f>+AP312</f>
        <v>0</v>
      </c>
      <c r="P314" s="879"/>
      <c r="Q314" s="879"/>
      <c r="R314" s="879"/>
      <c r="S314" s="879"/>
      <c r="T314" s="879"/>
      <c r="U314" s="879"/>
      <c r="V314" s="879"/>
      <c r="W314" s="234"/>
      <c r="X314" s="234"/>
      <c r="Y314" s="234"/>
      <c r="Z314" s="258"/>
      <c r="AA314" s="234"/>
      <c r="AB314" s="586"/>
      <c r="AC314" s="586"/>
      <c r="AD314" s="552"/>
      <c r="AE314" s="552"/>
      <c r="AF314" s="234"/>
      <c r="AG314" s="234"/>
      <c r="AH314" s="234"/>
      <c r="AI314" s="234"/>
      <c r="AJ314" s="234"/>
      <c r="AK314" s="234"/>
      <c r="AL314" s="234"/>
      <c r="AM314" s="234"/>
      <c r="AN314" s="259" t="s">
        <v>18</v>
      </c>
      <c r="AO314" s="234"/>
      <c r="AP314" s="864">
        <f>+C314*O314</f>
        <v>0</v>
      </c>
      <c r="AQ314" s="864"/>
      <c r="AR314" s="864"/>
      <c r="AS314" s="864"/>
      <c r="AT314" s="864"/>
      <c r="AU314" s="864"/>
      <c r="AV314" s="864"/>
    </row>
    <row r="315" spans="1:50" s="260" customFormat="1" ht="14.4" thickBot="1" x14ac:dyDescent="0.3">
      <c r="C315" s="292" t="str">
        <f>+C306</f>
        <v>VALOR DE RECONSTRUCCION DEL DEPOSITO Nº</v>
      </c>
      <c r="D315" s="293"/>
      <c r="E315" s="293"/>
      <c r="F315" s="293"/>
      <c r="G315" s="294"/>
      <c r="H315" s="313"/>
      <c r="I315" s="296"/>
      <c r="J315" s="297"/>
      <c r="K315" s="298"/>
      <c r="L315" s="294"/>
      <c r="M315" s="294"/>
      <c r="N315" s="294"/>
      <c r="O315" s="294"/>
      <c r="P315" s="294"/>
      <c r="Q315" s="294"/>
      <c r="R315" s="294"/>
      <c r="S315" s="294"/>
      <c r="T315" s="294"/>
      <c r="U315" s="294"/>
      <c r="V315" s="314"/>
      <c r="W315" s="315"/>
      <c r="X315" s="315"/>
      <c r="Y315" s="315"/>
      <c r="Z315" s="316"/>
      <c r="AA315" s="317"/>
      <c r="AB315" s="317"/>
      <c r="AC315" s="314"/>
      <c r="AD315" s="294"/>
      <c r="AE315" s="294"/>
      <c r="AF315" s="294"/>
      <c r="AG315" s="294"/>
      <c r="AH315" s="294"/>
      <c r="AI315" s="294"/>
      <c r="AJ315" s="294"/>
      <c r="AK315" s="294"/>
      <c r="AL315" s="294"/>
      <c r="AM315" s="299"/>
      <c r="AN315" s="294" t="s">
        <v>18</v>
      </c>
      <c r="AO315" s="849">
        <f>+SUM(AP312:AV314)</f>
        <v>0</v>
      </c>
      <c r="AP315" s="849"/>
      <c r="AQ315" s="849">
        <f>+AK313*AK314</f>
        <v>0</v>
      </c>
      <c r="AR315" s="850"/>
      <c r="AS315" s="850"/>
      <c r="AT315" s="850"/>
      <c r="AU315" s="850"/>
      <c r="AV315" s="850"/>
    </row>
    <row r="316" spans="1:50" s="260" customFormat="1" ht="30" customHeight="1" thickTop="1" x14ac:dyDescent="0.25">
      <c r="C316" s="884" t="s">
        <v>159</v>
      </c>
      <c r="D316" s="885"/>
      <c r="E316" s="885"/>
      <c r="F316" s="885"/>
      <c r="G316" s="885"/>
      <c r="H316" s="885"/>
      <c r="I316" s="885"/>
      <c r="J316" s="885"/>
      <c r="K316" s="885"/>
      <c r="L316" s="885"/>
      <c r="M316" s="885"/>
      <c r="N316" s="885"/>
      <c r="O316" s="885"/>
      <c r="P316" s="885"/>
      <c r="Q316" s="885"/>
      <c r="R316" s="885"/>
      <c r="S316" s="885"/>
      <c r="T316" s="885"/>
      <c r="U316" s="552"/>
      <c r="V316" s="552"/>
      <c r="W316" s="552"/>
      <c r="X316" s="552"/>
      <c r="Y316" s="552"/>
      <c r="Z316" s="552"/>
      <c r="AA316" s="552"/>
      <c r="AB316" s="552"/>
      <c r="AC316" s="552"/>
      <c r="AD316" s="552"/>
      <c r="AE316" s="552"/>
      <c r="AF316" s="552"/>
      <c r="AG316" s="552"/>
      <c r="AH316" s="552"/>
      <c r="AI316" s="552"/>
      <c r="AJ316" s="552"/>
      <c r="AK316" s="552"/>
      <c r="AL316" s="552"/>
      <c r="AM316" s="552"/>
      <c r="AN316" s="552"/>
      <c r="AO316" s="552"/>
      <c r="AP316" s="552"/>
      <c r="AQ316" s="552"/>
      <c r="AR316" s="552"/>
      <c r="AS316" s="552"/>
      <c r="AT316" s="552"/>
      <c r="AU316" s="552"/>
      <c r="AV316" s="552"/>
    </row>
    <row r="317" spans="1:50" ht="21.75" customHeight="1" x14ac:dyDescent="0.25">
      <c r="C317" s="7"/>
      <c r="D317" s="7"/>
      <c r="H317" s="8"/>
      <c r="J317" s="9"/>
      <c r="S317" s="9" t="str">
        <f>+S271</f>
        <v>INFORME N° 25</v>
      </c>
      <c r="U317" s="10"/>
      <c r="V317" s="11"/>
      <c r="AB317" s="655">
        <f>+AB271</f>
        <v>0</v>
      </c>
      <c r="AC317" s="674"/>
      <c r="AD317" s="674"/>
      <c r="AE317" s="674"/>
      <c r="AF317" s="674"/>
    </row>
    <row r="318" spans="1:50" s="29" customFormat="1" ht="24.9" customHeight="1" x14ac:dyDescent="0.3">
      <c r="A318" s="523"/>
      <c r="B318" s="524"/>
      <c r="C318" s="27" t="s">
        <v>52</v>
      </c>
      <c r="D318" s="15"/>
      <c r="E318" s="15"/>
      <c r="F318" s="15"/>
      <c r="G318" s="15"/>
      <c r="H318" s="15"/>
      <c r="I318" s="15"/>
      <c r="J318" s="273" t="s">
        <v>144</v>
      </c>
      <c r="K318" s="274"/>
      <c r="L318" s="274"/>
      <c r="M318" s="274"/>
      <c r="N318" s="274"/>
      <c r="O318" s="274"/>
      <c r="P318" s="274"/>
      <c r="Q318" s="274"/>
      <c r="R318" s="274"/>
      <c r="S318" s="274"/>
      <c r="T318" s="274"/>
      <c r="U318" s="275"/>
      <c r="V318" s="275"/>
      <c r="W318" s="30"/>
      <c r="X318" s="30"/>
      <c r="Y318" s="30"/>
      <c r="Z318" s="30"/>
      <c r="AA318" s="30"/>
      <c r="AB318" s="30"/>
      <c r="AC318" s="30"/>
      <c r="AD318" s="30"/>
    </row>
    <row r="319" spans="1:50" s="196" customFormat="1" ht="27" customHeight="1" x14ac:dyDescent="0.25">
      <c r="A319" s="272"/>
      <c r="B319" s="272"/>
      <c r="C319" s="493" t="s">
        <v>145</v>
      </c>
      <c r="D319" s="493"/>
      <c r="E319" s="493"/>
      <c r="F319" s="493"/>
      <c r="G319" s="493"/>
      <c r="H319" s="493"/>
      <c r="I319" s="493"/>
      <c r="J319" s="493"/>
      <c r="K319" s="493"/>
      <c r="L319" s="493"/>
      <c r="M319" s="493"/>
      <c r="N319" s="493"/>
      <c r="O319" s="493"/>
      <c r="P319" s="493"/>
      <c r="Q319" s="493"/>
      <c r="R319" s="493"/>
      <c r="S319" s="493"/>
      <c r="T319" s="493"/>
      <c r="U319" s="493"/>
      <c r="V319" s="493"/>
      <c r="W319" s="493"/>
      <c r="X319" s="493"/>
      <c r="Y319" s="493"/>
      <c r="Z319" s="493"/>
      <c r="AA319" s="493"/>
      <c r="AB319" s="493"/>
      <c r="AC319" s="493"/>
      <c r="AD319" s="493"/>
      <c r="AE319" s="493"/>
      <c r="AF319" s="493"/>
      <c r="AG319" s="493"/>
      <c r="AH319" s="493"/>
      <c r="AI319" s="493"/>
      <c r="AJ319" s="493"/>
      <c r="AK319" s="493"/>
      <c r="AL319" s="493"/>
      <c r="AM319" s="493"/>
      <c r="AN319" s="493"/>
      <c r="AO319" s="493"/>
      <c r="AP319" s="493"/>
      <c r="AQ319" s="493"/>
      <c r="AR319" s="493"/>
      <c r="AS319" s="493"/>
      <c r="AT319" s="493"/>
      <c r="AU319" s="493"/>
      <c r="AV319" s="493"/>
      <c r="AX319" s="271"/>
    </row>
    <row r="320" spans="1:50" s="263" customFormat="1" ht="13.8" x14ac:dyDescent="0.25">
      <c r="C320" s="813" t="s">
        <v>28</v>
      </c>
      <c r="D320" s="814"/>
      <c r="E320" s="814"/>
      <c r="F320" s="814"/>
      <c r="G320" s="814"/>
      <c r="H320" s="814"/>
      <c r="I320" s="814"/>
      <c r="J320" s="814"/>
      <c r="K320" s="814"/>
      <c r="L320" s="814"/>
      <c r="M320" s="814"/>
      <c r="N320" s="814"/>
      <c r="O320" s="814"/>
      <c r="P320" s="814"/>
      <c r="Q320" s="814"/>
      <c r="R320" s="814"/>
      <c r="S320" s="814"/>
      <c r="T320" s="814"/>
      <c r="U320" s="814"/>
      <c r="V320" s="814"/>
      <c r="W320" s="814"/>
      <c r="X320" s="814"/>
      <c r="Y320" s="814"/>
      <c r="Z320" s="814"/>
      <c r="AA320" s="814"/>
      <c r="AB320" s="814"/>
      <c r="AC320" s="814"/>
      <c r="AD320" s="814"/>
      <c r="AE320" s="814"/>
      <c r="AF320" s="814"/>
      <c r="AG320" s="814"/>
      <c r="AH320" s="814"/>
      <c r="AI320" s="814"/>
      <c r="AJ320" s="814"/>
      <c r="AK320" s="814"/>
      <c r="AL320" s="814"/>
      <c r="AM320" s="814"/>
      <c r="AN320" s="814"/>
      <c r="AO320" s="814"/>
      <c r="AP320" s="814"/>
      <c r="AQ320" s="814"/>
      <c r="AR320" s="814"/>
      <c r="AS320" s="814"/>
      <c r="AT320" s="814"/>
      <c r="AU320" s="814"/>
      <c r="AV320" s="815"/>
    </row>
    <row r="321" spans="1:48" s="187" customFormat="1" ht="3" customHeight="1" x14ac:dyDescent="0.25">
      <c r="M321" s="264"/>
      <c r="N321" s="264"/>
      <c r="O321" s="264"/>
      <c r="P321" s="264"/>
      <c r="Q321" s="264"/>
      <c r="R321" s="264"/>
      <c r="S321" s="264"/>
      <c r="T321" s="264"/>
      <c r="U321" s="193"/>
      <c r="V321" s="193"/>
      <c r="W321" s="193"/>
      <c r="X321" s="193"/>
      <c r="Y321" s="193"/>
      <c r="Z321" s="193"/>
      <c r="AA321" s="193"/>
      <c r="AB321" s="193"/>
      <c r="AC321" s="193"/>
      <c r="AD321" s="193"/>
    </row>
    <row r="322" spans="1:48" s="31" customFormat="1" ht="81.75" customHeight="1" x14ac:dyDescent="0.25">
      <c r="C322" s="821" t="s">
        <v>30</v>
      </c>
      <c r="D322" s="822"/>
      <c r="E322" s="822"/>
      <c r="F322" s="822"/>
      <c r="G322" s="822"/>
      <c r="H322" s="822"/>
      <c r="I322" s="822"/>
      <c r="J322" s="822"/>
      <c r="K322" s="822"/>
      <c r="L322" s="822"/>
      <c r="M322" s="822"/>
      <c r="N322" s="822"/>
      <c r="O322" s="822"/>
      <c r="P322" s="822"/>
      <c r="Q322" s="822"/>
      <c r="R322" s="774" t="s">
        <v>140</v>
      </c>
      <c r="S322" s="775"/>
      <c r="T322" s="776"/>
      <c r="U322" s="774" t="s">
        <v>126</v>
      </c>
      <c r="V322" s="775"/>
      <c r="W322" s="776"/>
      <c r="X322" s="501" t="s">
        <v>141</v>
      </c>
      <c r="Y322" s="502"/>
      <c r="Z322" s="503"/>
      <c r="AA322" s="501" t="s">
        <v>142</v>
      </c>
      <c r="AB322" s="502"/>
      <c r="AC322" s="503"/>
      <c r="AD322" s="777" t="s">
        <v>41</v>
      </c>
      <c r="AE322" s="778"/>
      <c r="AF322" s="779"/>
      <c r="AG322" s="779"/>
      <c r="AH322" s="779"/>
      <c r="AI322" s="777" t="s">
        <v>42</v>
      </c>
      <c r="AJ322" s="778"/>
      <c r="AK322" s="779"/>
      <c r="AL322" s="779"/>
      <c r="AM322" s="779"/>
      <c r="AN322" s="777" t="s">
        <v>40</v>
      </c>
      <c r="AO322" s="780"/>
      <c r="AP322" s="780"/>
      <c r="AQ322" s="780"/>
      <c r="AR322" s="780"/>
      <c r="AS322" s="496" t="s">
        <v>147</v>
      </c>
      <c r="AT322" s="497"/>
      <c r="AU322" s="498"/>
      <c r="AV322" s="498"/>
    </row>
    <row r="323" spans="1:48" s="31" customFormat="1" x14ac:dyDescent="0.25">
      <c r="C323" s="916" t="str">
        <f>+C219</f>
        <v>"OFERTA EN EL MERCADO"</v>
      </c>
      <c r="D323" s="892"/>
      <c r="E323" s="892"/>
      <c r="F323" s="892"/>
      <c r="G323" s="892"/>
      <c r="H323" s="892"/>
      <c r="I323" s="892"/>
      <c r="J323" s="892"/>
      <c r="K323" s="892"/>
      <c r="L323" s="892"/>
      <c r="M323" s="892"/>
      <c r="N323" s="892"/>
      <c r="O323" s="892"/>
      <c r="P323" s="892"/>
      <c r="Q323" s="892"/>
      <c r="R323" s="892"/>
      <c r="S323" s="892"/>
      <c r="T323" s="892"/>
      <c r="U323" s="892"/>
      <c r="V323" s="892"/>
      <c r="W323" s="892"/>
      <c r="X323" s="892"/>
      <c r="Y323" s="892"/>
      <c r="Z323" s="892"/>
      <c r="AA323" s="892"/>
      <c r="AB323" s="892"/>
      <c r="AC323" s="892"/>
      <c r="AD323" s="892"/>
      <c r="AE323" s="892"/>
      <c r="AF323" s="892"/>
      <c r="AG323" s="892"/>
      <c r="AH323" s="892"/>
      <c r="AI323" s="892"/>
      <c r="AJ323" s="892"/>
      <c r="AK323" s="892"/>
      <c r="AL323" s="892"/>
      <c r="AM323" s="892"/>
      <c r="AN323" s="892"/>
      <c r="AO323" s="892"/>
      <c r="AP323" s="892"/>
      <c r="AQ323" s="892"/>
      <c r="AR323" s="892"/>
      <c r="AS323" s="892"/>
      <c r="AT323" s="892"/>
      <c r="AU323" s="892"/>
      <c r="AV323" s="893"/>
    </row>
    <row r="324" spans="1:48" s="32" customFormat="1" ht="78.75" customHeight="1" x14ac:dyDescent="0.25">
      <c r="C324" s="494"/>
      <c r="D324" s="495"/>
      <c r="E324" s="495"/>
      <c r="F324" s="495"/>
      <c r="G324" s="495"/>
      <c r="H324" s="495"/>
      <c r="I324" s="495"/>
      <c r="J324" s="495"/>
      <c r="K324" s="495"/>
      <c r="L324" s="495"/>
      <c r="M324" s="495"/>
      <c r="N324" s="495"/>
      <c r="O324" s="495"/>
      <c r="P324" s="495"/>
      <c r="Q324" s="495"/>
      <c r="R324" s="511"/>
      <c r="S324" s="512"/>
      <c r="T324" s="513"/>
      <c r="U324" s="511"/>
      <c r="V324" s="512"/>
      <c r="W324" s="513"/>
      <c r="X324" s="511"/>
      <c r="Y324" s="512"/>
      <c r="Z324" s="513"/>
      <c r="AA324" s="511"/>
      <c r="AB324" s="512"/>
      <c r="AC324" s="513"/>
      <c r="AD324" s="499"/>
      <c r="AE324" s="499"/>
      <c r="AF324" s="500"/>
      <c r="AG324" s="500"/>
      <c r="AH324" s="500"/>
      <c r="AI324" s="499"/>
      <c r="AJ324" s="499"/>
      <c r="AK324" s="500"/>
      <c r="AL324" s="500"/>
      <c r="AM324" s="500"/>
      <c r="AN324" s="499"/>
      <c r="AO324" s="500"/>
      <c r="AP324" s="500"/>
      <c r="AQ324" s="500"/>
      <c r="AR324" s="500"/>
      <c r="AS324" s="506" t="e">
        <f>+AD324/AA324</f>
        <v>#DIV/0!</v>
      </c>
      <c r="AT324" s="507"/>
      <c r="AU324" s="508"/>
      <c r="AV324" s="508"/>
    </row>
    <row r="325" spans="1:48" s="32" customFormat="1" ht="54.75" customHeight="1" x14ac:dyDescent="0.25">
      <c r="C325" s="494"/>
      <c r="D325" s="495"/>
      <c r="E325" s="495"/>
      <c r="F325" s="495"/>
      <c r="G325" s="495"/>
      <c r="H325" s="495"/>
      <c r="I325" s="495"/>
      <c r="J325" s="495"/>
      <c r="K325" s="495"/>
      <c r="L325" s="495"/>
      <c r="M325" s="495"/>
      <c r="N325" s="495"/>
      <c r="O325" s="495"/>
      <c r="P325" s="495"/>
      <c r="Q325" s="495"/>
      <c r="R325" s="511"/>
      <c r="S325" s="512"/>
      <c r="T325" s="513"/>
      <c r="U325" s="511"/>
      <c r="V325" s="512"/>
      <c r="W325" s="513"/>
      <c r="X325" s="511"/>
      <c r="Y325" s="512"/>
      <c r="Z325" s="513"/>
      <c r="AA325" s="511"/>
      <c r="AB325" s="512"/>
      <c r="AC325" s="513"/>
      <c r="AD325" s="499"/>
      <c r="AE325" s="499"/>
      <c r="AF325" s="500"/>
      <c r="AG325" s="500"/>
      <c r="AH325" s="500"/>
      <c r="AI325" s="499"/>
      <c r="AJ325" s="499"/>
      <c r="AK325" s="500"/>
      <c r="AL325" s="500"/>
      <c r="AM325" s="500"/>
      <c r="AN325" s="499"/>
      <c r="AO325" s="500"/>
      <c r="AP325" s="500"/>
      <c r="AQ325" s="500"/>
      <c r="AR325" s="500"/>
      <c r="AS325" s="506" t="e">
        <f>+AD325/AA325</f>
        <v>#DIV/0!</v>
      </c>
      <c r="AT325" s="507"/>
      <c r="AU325" s="508"/>
      <c r="AV325" s="508"/>
    </row>
    <row r="326" spans="1:48" s="265" customFormat="1" ht="54.75" customHeight="1" x14ac:dyDescent="0.25">
      <c r="C326" s="509"/>
      <c r="D326" s="510"/>
      <c r="E326" s="510"/>
      <c r="F326" s="510"/>
      <c r="G326" s="510"/>
      <c r="H326" s="510"/>
      <c r="I326" s="510"/>
      <c r="J326" s="510"/>
      <c r="K326" s="510"/>
      <c r="L326" s="510"/>
      <c r="M326" s="510"/>
      <c r="N326" s="510"/>
      <c r="O326" s="510"/>
      <c r="P326" s="510"/>
      <c r="Q326" s="510"/>
      <c r="R326" s="490"/>
      <c r="S326" s="491"/>
      <c r="T326" s="492"/>
      <c r="U326" s="490"/>
      <c r="V326" s="491"/>
      <c r="W326" s="492"/>
      <c r="X326" s="490"/>
      <c r="Y326" s="491"/>
      <c r="Z326" s="492"/>
      <c r="AA326" s="490"/>
      <c r="AB326" s="491"/>
      <c r="AC326" s="492"/>
      <c r="AD326" s="488"/>
      <c r="AE326" s="488"/>
      <c r="AF326" s="489"/>
      <c r="AG326" s="489"/>
      <c r="AH326" s="489"/>
      <c r="AI326" s="488"/>
      <c r="AJ326" s="488"/>
      <c r="AK326" s="489"/>
      <c r="AL326" s="489"/>
      <c r="AM326" s="489"/>
      <c r="AN326" s="488"/>
      <c r="AO326" s="489"/>
      <c r="AP326" s="489"/>
      <c r="AQ326" s="489"/>
      <c r="AR326" s="489"/>
      <c r="AS326" s="485" t="e">
        <f>+AD326/AA326</f>
        <v>#DIV/0!</v>
      </c>
      <c r="AT326" s="486"/>
      <c r="AU326" s="487"/>
      <c r="AV326" s="487"/>
    </row>
    <row r="327" spans="1:48" s="31" customFormat="1" ht="40.5" customHeight="1" x14ac:dyDescent="0.25">
      <c r="C327" s="891" t="s">
        <v>192</v>
      </c>
      <c r="D327" s="892"/>
      <c r="E327" s="892"/>
      <c r="F327" s="892"/>
      <c r="G327" s="892"/>
      <c r="H327" s="892"/>
      <c r="I327" s="892"/>
      <c r="J327" s="892"/>
      <c r="K327" s="892"/>
      <c r="L327" s="892"/>
      <c r="M327" s="892"/>
      <c r="N327" s="892"/>
      <c r="O327" s="892"/>
      <c r="P327" s="892"/>
      <c r="Q327" s="892"/>
      <c r="R327" s="892"/>
      <c r="S327" s="892"/>
      <c r="T327" s="892"/>
      <c r="U327" s="892"/>
      <c r="V327" s="892"/>
      <c r="W327" s="892"/>
      <c r="X327" s="892"/>
      <c r="Y327" s="892"/>
      <c r="Z327" s="892"/>
      <c r="AA327" s="892"/>
      <c r="AB327" s="892"/>
      <c r="AC327" s="892"/>
      <c r="AD327" s="892"/>
      <c r="AE327" s="892"/>
      <c r="AF327" s="892"/>
      <c r="AG327" s="892"/>
      <c r="AH327" s="892"/>
      <c r="AI327" s="892"/>
      <c r="AJ327" s="892"/>
      <c r="AK327" s="892"/>
      <c r="AL327" s="892"/>
      <c r="AM327" s="892"/>
      <c r="AN327" s="892"/>
      <c r="AO327" s="892"/>
      <c r="AP327" s="892"/>
      <c r="AQ327" s="892"/>
      <c r="AR327" s="892"/>
      <c r="AS327" s="892"/>
      <c r="AT327" s="892"/>
      <c r="AU327" s="892"/>
      <c r="AV327" s="893"/>
    </row>
    <row r="328" spans="1:48" s="32" customFormat="1" ht="78.75" customHeight="1" thickBot="1" x14ac:dyDescent="0.3">
      <c r="C328" s="494"/>
      <c r="D328" s="495"/>
      <c r="E328" s="495"/>
      <c r="F328" s="495"/>
      <c r="G328" s="495"/>
      <c r="H328" s="495"/>
      <c r="I328" s="495"/>
      <c r="J328" s="495"/>
      <c r="K328" s="495"/>
      <c r="L328" s="495"/>
      <c r="M328" s="495"/>
      <c r="N328" s="495"/>
      <c r="O328" s="495"/>
      <c r="P328" s="495"/>
      <c r="Q328" s="495"/>
      <c r="R328" s="511"/>
      <c r="S328" s="512"/>
      <c r="T328" s="513"/>
      <c r="U328" s="511"/>
      <c r="V328" s="512"/>
      <c r="W328" s="513"/>
      <c r="X328" s="511"/>
      <c r="Y328" s="512"/>
      <c r="Z328" s="513"/>
      <c r="AA328" s="511"/>
      <c r="AB328" s="512"/>
      <c r="AC328" s="513"/>
      <c r="AD328" s="499"/>
      <c r="AE328" s="499"/>
      <c r="AF328" s="500"/>
      <c r="AG328" s="500"/>
      <c r="AH328" s="500"/>
      <c r="AI328" s="499"/>
      <c r="AJ328" s="499"/>
      <c r="AK328" s="500"/>
      <c r="AL328" s="500"/>
      <c r="AM328" s="500"/>
      <c r="AN328" s="499"/>
      <c r="AO328" s="500"/>
      <c r="AP328" s="500"/>
      <c r="AQ328" s="500"/>
      <c r="AR328" s="500"/>
      <c r="AS328" s="506" t="e">
        <f>+AD328/AA328</f>
        <v>#DIV/0!</v>
      </c>
      <c r="AT328" s="507"/>
      <c r="AU328" s="508"/>
      <c r="AV328" s="508"/>
    </row>
    <row r="329" spans="1:48" s="183" customFormat="1" ht="21" customHeight="1" thickTop="1" x14ac:dyDescent="0.25">
      <c r="A329" s="266" t="s">
        <v>16</v>
      </c>
      <c r="B329" s="267"/>
      <c r="C329" s="514"/>
      <c r="D329" s="515"/>
      <c r="E329" s="515"/>
      <c r="F329" s="515"/>
      <c r="G329" s="515"/>
      <c r="H329" s="515"/>
      <c r="I329" s="515"/>
      <c r="J329" s="515"/>
      <c r="K329" s="515"/>
      <c r="L329" s="515"/>
      <c r="M329" s="515"/>
      <c r="N329" s="515"/>
      <c r="O329" s="515"/>
      <c r="P329" s="515"/>
      <c r="Q329" s="515"/>
      <c r="R329" s="515"/>
      <c r="S329" s="515"/>
      <c r="T329" s="515"/>
      <c r="U329" s="515"/>
      <c r="V329" s="515"/>
      <c r="W329" s="515"/>
      <c r="X329" s="515"/>
      <c r="Y329" s="515"/>
      <c r="Z329" s="515"/>
      <c r="AA329" s="515"/>
      <c r="AB329" s="515"/>
      <c r="AC329" s="515"/>
      <c r="AD329" s="515"/>
      <c r="AE329" s="515"/>
      <c r="AF329" s="515"/>
      <c r="AG329" s="515"/>
      <c r="AH329" s="515"/>
      <c r="AI329" s="515"/>
      <c r="AJ329" s="515"/>
      <c r="AK329" s="515"/>
      <c r="AL329" s="515"/>
      <c r="AM329" s="515"/>
      <c r="AN329" s="515"/>
      <c r="AO329" s="515"/>
      <c r="AP329" s="515"/>
      <c r="AQ329" s="515"/>
      <c r="AR329" s="515"/>
      <c r="AS329" s="515"/>
      <c r="AT329" s="515"/>
      <c r="AU329" s="515"/>
      <c r="AV329" s="516"/>
    </row>
    <row r="330" spans="1:48" s="183" customFormat="1" ht="21" customHeight="1" x14ac:dyDescent="0.25">
      <c r="A330" s="268"/>
      <c r="B330" s="267"/>
      <c r="C330" s="517"/>
      <c r="D330" s="518"/>
      <c r="E330" s="518"/>
      <c r="F330" s="518"/>
      <c r="G330" s="518"/>
      <c r="H330" s="518"/>
      <c r="I330" s="518"/>
      <c r="J330" s="518"/>
      <c r="K330" s="518"/>
      <c r="L330" s="518"/>
      <c r="M330" s="518"/>
      <c r="N330" s="518"/>
      <c r="O330" s="518"/>
      <c r="P330" s="518"/>
      <c r="Q330" s="518"/>
      <c r="R330" s="518"/>
      <c r="S330" s="518"/>
      <c r="T330" s="518"/>
      <c r="U330" s="518"/>
      <c r="V330" s="518"/>
      <c r="W330" s="518"/>
      <c r="X330" s="518"/>
      <c r="Y330" s="518"/>
      <c r="Z330" s="518"/>
      <c r="AA330" s="518"/>
      <c r="AB330" s="518"/>
      <c r="AC330" s="518"/>
      <c r="AD330" s="518"/>
      <c r="AE330" s="518"/>
      <c r="AF330" s="518"/>
      <c r="AG330" s="518"/>
      <c r="AH330" s="518"/>
      <c r="AI330" s="518"/>
      <c r="AJ330" s="518"/>
      <c r="AK330" s="518"/>
      <c r="AL330" s="518"/>
      <c r="AM330" s="518"/>
      <c r="AN330" s="518"/>
      <c r="AO330" s="518"/>
      <c r="AP330" s="518"/>
      <c r="AQ330" s="518"/>
      <c r="AR330" s="518"/>
      <c r="AS330" s="518"/>
      <c r="AT330" s="518"/>
      <c r="AU330" s="518"/>
      <c r="AV330" s="519"/>
    </row>
    <row r="331" spans="1:48" s="183" customFormat="1" ht="21" customHeight="1" x14ac:dyDescent="0.25">
      <c r="A331" s="268"/>
      <c r="B331" s="267"/>
      <c r="C331" s="517"/>
      <c r="D331" s="518"/>
      <c r="E331" s="518"/>
      <c r="F331" s="518"/>
      <c r="G331" s="518"/>
      <c r="H331" s="518"/>
      <c r="I331" s="518"/>
      <c r="J331" s="518"/>
      <c r="K331" s="518"/>
      <c r="L331" s="518"/>
      <c r="M331" s="518"/>
      <c r="N331" s="518"/>
      <c r="O331" s="518"/>
      <c r="P331" s="518"/>
      <c r="Q331" s="518"/>
      <c r="R331" s="518"/>
      <c r="S331" s="518"/>
      <c r="T331" s="518"/>
      <c r="U331" s="518"/>
      <c r="V331" s="518"/>
      <c r="W331" s="518"/>
      <c r="X331" s="518"/>
      <c r="Y331" s="518"/>
      <c r="Z331" s="518"/>
      <c r="AA331" s="518"/>
      <c r="AB331" s="518"/>
      <c r="AC331" s="518"/>
      <c r="AD331" s="518"/>
      <c r="AE331" s="518"/>
      <c r="AF331" s="518"/>
      <c r="AG331" s="518"/>
      <c r="AH331" s="518"/>
      <c r="AI331" s="518"/>
      <c r="AJ331" s="518"/>
      <c r="AK331" s="518"/>
      <c r="AL331" s="518"/>
      <c r="AM331" s="518"/>
      <c r="AN331" s="518"/>
      <c r="AO331" s="518"/>
      <c r="AP331" s="518"/>
      <c r="AQ331" s="518"/>
      <c r="AR331" s="518"/>
      <c r="AS331" s="518"/>
      <c r="AT331" s="518"/>
      <c r="AU331" s="518"/>
      <c r="AV331" s="519"/>
    </row>
    <row r="332" spans="1:48" s="183" customFormat="1" ht="21" customHeight="1" x14ac:dyDescent="0.25">
      <c r="A332" s="268"/>
      <c r="B332" s="267"/>
      <c r="C332" s="517"/>
      <c r="D332" s="518"/>
      <c r="E332" s="518"/>
      <c r="F332" s="518"/>
      <c r="G332" s="518"/>
      <c r="H332" s="518"/>
      <c r="I332" s="518"/>
      <c r="J332" s="518"/>
      <c r="K332" s="518"/>
      <c r="L332" s="518"/>
      <c r="M332" s="518"/>
      <c r="N332" s="518"/>
      <c r="O332" s="518"/>
      <c r="P332" s="518"/>
      <c r="Q332" s="518"/>
      <c r="R332" s="518"/>
      <c r="S332" s="518"/>
      <c r="T332" s="518"/>
      <c r="U332" s="518"/>
      <c r="V332" s="518"/>
      <c r="W332" s="518"/>
      <c r="X332" s="518"/>
      <c r="Y332" s="518"/>
      <c r="Z332" s="518"/>
      <c r="AA332" s="518"/>
      <c r="AB332" s="518"/>
      <c r="AC332" s="518"/>
      <c r="AD332" s="518"/>
      <c r="AE332" s="518"/>
      <c r="AF332" s="518"/>
      <c r="AG332" s="518"/>
      <c r="AH332" s="518"/>
      <c r="AI332" s="518"/>
      <c r="AJ332" s="518"/>
      <c r="AK332" s="518"/>
      <c r="AL332" s="518"/>
      <c r="AM332" s="518"/>
      <c r="AN332" s="518"/>
      <c r="AO332" s="518"/>
      <c r="AP332" s="518"/>
      <c r="AQ332" s="518"/>
      <c r="AR332" s="518"/>
      <c r="AS332" s="518"/>
      <c r="AT332" s="518"/>
      <c r="AU332" s="518"/>
      <c r="AV332" s="519"/>
    </row>
    <row r="333" spans="1:48" s="183" customFormat="1" ht="21" customHeight="1" x14ac:dyDescent="0.25">
      <c r="A333" s="268"/>
      <c r="B333" s="267"/>
      <c r="C333" s="517"/>
      <c r="D333" s="518"/>
      <c r="E333" s="518"/>
      <c r="F333" s="518"/>
      <c r="G333" s="518"/>
      <c r="H333" s="518"/>
      <c r="I333" s="518"/>
      <c r="J333" s="518"/>
      <c r="K333" s="518"/>
      <c r="L333" s="518"/>
      <c r="M333" s="518"/>
      <c r="N333" s="518"/>
      <c r="O333" s="518"/>
      <c r="P333" s="518"/>
      <c r="Q333" s="518"/>
      <c r="R333" s="518"/>
      <c r="S333" s="518"/>
      <c r="T333" s="518"/>
      <c r="U333" s="518"/>
      <c r="V333" s="518"/>
      <c r="W333" s="518"/>
      <c r="X333" s="518"/>
      <c r="Y333" s="518"/>
      <c r="Z333" s="518"/>
      <c r="AA333" s="518"/>
      <c r="AB333" s="518"/>
      <c r="AC333" s="518"/>
      <c r="AD333" s="518"/>
      <c r="AE333" s="518"/>
      <c r="AF333" s="518"/>
      <c r="AG333" s="518"/>
      <c r="AH333" s="518"/>
      <c r="AI333" s="518"/>
      <c r="AJ333" s="518"/>
      <c r="AK333" s="518"/>
      <c r="AL333" s="518"/>
      <c r="AM333" s="518"/>
      <c r="AN333" s="518"/>
      <c r="AO333" s="518"/>
      <c r="AP333" s="518"/>
      <c r="AQ333" s="518"/>
      <c r="AR333" s="518"/>
      <c r="AS333" s="518"/>
      <c r="AT333" s="518"/>
      <c r="AU333" s="518"/>
      <c r="AV333" s="519"/>
    </row>
    <row r="334" spans="1:48" s="183" customFormat="1" ht="21" customHeight="1" x14ac:dyDescent="0.25">
      <c r="A334" s="266"/>
      <c r="B334" s="267"/>
      <c r="C334" s="517"/>
      <c r="D334" s="518"/>
      <c r="E334" s="518"/>
      <c r="F334" s="518"/>
      <c r="G334" s="518"/>
      <c r="H334" s="518"/>
      <c r="I334" s="518"/>
      <c r="J334" s="518"/>
      <c r="K334" s="518"/>
      <c r="L334" s="518"/>
      <c r="M334" s="518"/>
      <c r="N334" s="518"/>
      <c r="O334" s="518"/>
      <c r="P334" s="518"/>
      <c r="Q334" s="518"/>
      <c r="R334" s="518"/>
      <c r="S334" s="518"/>
      <c r="T334" s="518"/>
      <c r="U334" s="518"/>
      <c r="V334" s="518"/>
      <c r="W334" s="518"/>
      <c r="X334" s="518"/>
      <c r="Y334" s="518"/>
      <c r="Z334" s="518"/>
      <c r="AA334" s="518"/>
      <c r="AB334" s="518"/>
      <c r="AC334" s="518"/>
      <c r="AD334" s="518"/>
      <c r="AE334" s="518"/>
      <c r="AF334" s="518"/>
      <c r="AG334" s="518"/>
      <c r="AH334" s="518"/>
      <c r="AI334" s="518"/>
      <c r="AJ334" s="518"/>
      <c r="AK334" s="518"/>
      <c r="AL334" s="518"/>
      <c r="AM334" s="518"/>
      <c r="AN334" s="518"/>
      <c r="AO334" s="518"/>
      <c r="AP334" s="518"/>
      <c r="AQ334" s="518"/>
      <c r="AR334" s="518"/>
      <c r="AS334" s="518"/>
      <c r="AT334" s="518"/>
      <c r="AU334" s="518"/>
      <c r="AV334" s="519"/>
    </row>
    <row r="335" spans="1:48" s="183" customFormat="1" ht="21" customHeight="1" x14ac:dyDescent="0.25">
      <c r="A335" s="268"/>
      <c r="B335" s="267"/>
      <c r="C335" s="517"/>
      <c r="D335" s="518"/>
      <c r="E335" s="518"/>
      <c r="F335" s="518"/>
      <c r="G335" s="518"/>
      <c r="H335" s="518"/>
      <c r="I335" s="518"/>
      <c r="J335" s="518"/>
      <c r="K335" s="518"/>
      <c r="L335" s="518"/>
      <c r="M335" s="518"/>
      <c r="N335" s="518"/>
      <c r="O335" s="518"/>
      <c r="P335" s="518"/>
      <c r="Q335" s="518"/>
      <c r="R335" s="518"/>
      <c r="S335" s="518"/>
      <c r="T335" s="518"/>
      <c r="U335" s="518"/>
      <c r="V335" s="518"/>
      <c r="W335" s="518"/>
      <c r="X335" s="518"/>
      <c r="Y335" s="518"/>
      <c r="Z335" s="518"/>
      <c r="AA335" s="518"/>
      <c r="AB335" s="518"/>
      <c r="AC335" s="518"/>
      <c r="AD335" s="518"/>
      <c r="AE335" s="518"/>
      <c r="AF335" s="518"/>
      <c r="AG335" s="518"/>
      <c r="AH335" s="518"/>
      <c r="AI335" s="518"/>
      <c r="AJ335" s="518"/>
      <c r="AK335" s="518"/>
      <c r="AL335" s="518"/>
      <c r="AM335" s="518"/>
      <c r="AN335" s="518"/>
      <c r="AO335" s="518"/>
      <c r="AP335" s="518"/>
      <c r="AQ335" s="518"/>
      <c r="AR335" s="518"/>
      <c r="AS335" s="518"/>
      <c r="AT335" s="518"/>
      <c r="AU335" s="518"/>
      <c r="AV335" s="519"/>
    </row>
    <row r="336" spans="1:48" s="183" customFormat="1" ht="21" customHeight="1" x14ac:dyDescent="0.25">
      <c r="A336" s="268"/>
      <c r="B336" s="267"/>
      <c r="C336" s="517"/>
      <c r="D336" s="518"/>
      <c r="E336" s="518"/>
      <c r="F336" s="518"/>
      <c r="G336" s="518"/>
      <c r="H336" s="518"/>
      <c r="I336" s="518"/>
      <c r="J336" s="518"/>
      <c r="K336" s="518"/>
      <c r="L336" s="518"/>
      <c r="M336" s="518"/>
      <c r="N336" s="518"/>
      <c r="O336" s="518"/>
      <c r="P336" s="518"/>
      <c r="Q336" s="518"/>
      <c r="R336" s="518"/>
      <c r="S336" s="518"/>
      <c r="T336" s="518"/>
      <c r="U336" s="518"/>
      <c r="V336" s="518"/>
      <c r="W336" s="518"/>
      <c r="X336" s="518"/>
      <c r="Y336" s="518"/>
      <c r="Z336" s="518"/>
      <c r="AA336" s="518"/>
      <c r="AB336" s="518"/>
      <c r="AC336" s="518"/>
      <c r="AD336" s="518"/>
      <c r="AE336" s="518"/>
      <c r="AF336" s="518"/>
      <c r="AG336" s="518"/>
      <c r="AH336" s="518"/>
      <c r="AI336" s="518"/>
      <c r="AJ336" s="518"/>
      <c r="AK336" s="518"/>
      <c r="AL336" s="518"/>
      <c r="AM336" s="518"/>
      <c r="AN336" s="518"/>
      <c r="AO336" s="518"/>
      <c r="AP336" s="518"/>
      <c r="AQ336" s="518"/>
      <c r="AR336" s="518"/>
      <c r="AS336" s="518"/>
      <c r="AT336" s="518"/>
      <c r="AU336" s="518"/>
      <c r="AV336" s="519"/>
    </row>
    <row r="337" spans="1:50" s="183" customFormat="1" ht="21" customHeight="1" x14ac:dyDescent="0.25">
      <c r="A337" s="268"/>
      <c r="B337" s="267"/>
      <c r="C337" s="517"/>
      <c r="D337" s="518"/>
      <c r="E337" s="518"/>
      <c r="F337" s="518"/>
      <c r="G337" s="518"/>
      <c r="H337" s="518"/>
      <c r="I337" s="518"/>
      <c r="J337" s="518"/>
      <c r="K337" s="518"/>
      <c r="L337" s="518"/>
      <c r="M337" s="518"/>
      <c r="N337" s="518"/>
      <c r="O337" s="518"/>
      <c r="P337" s="518"/>
      <c r="Q337" s="518"/>
      <c r="R337" s="518"/>
      <c r="S337" s="518"/>
      <c r="T337" s="518"/>
      <c r="U337" s="518"/>
      <c r="V337" s="518"/>
      <c r="W337" s="518"/>
      <c r="X337" s="518"/>
      <c r="Y337" s="518"/>
      <c r="Z337" s="518"/>
      <c r="AA337" s="518"/>
      <c r="AB337" s="518"/>
      <c r="AC337" s="518"/>
      <c r="AD337" s="518"/>
      <c r="AE337" s="518"/>
      <c r="AF337" s="518"/>
      <c r="AG337" s="518"/>
      <c r="AH337" s="518"/>
      <c r="AI337" s="518"/>
      <c r="AJ337" s="518"/>
      <c r="AK337" s="518"/>
      <c r="AL337" s="518"/>
      <c r="AM337" s="518"/>
      <c r="AN337" s="518"/>
      <c r="AO337" s="518"/>
      <c r="AP337" s="518"/>
      <c r="AQ337" s="518"/>
      <c r="AR337" s="518"/>
      <c r="AS337" s="518"/>
      <c r="AT337" s="518"/>
      <c r="AU337" s="518"/>
      <c r="AV337" s="519"/>
    </row>
    <row r="338" spans="1:50" s="183" customFormat="1" ht="21" customHeight="1" x14ac:dyDescent="0.25">
      <c r="A338" s="268"/>
      <c r="B338" s="267"/>
      <c r="C338" s="517"/>
      <c r="D338" s="518"/>
      <c r="E338" s="518"/>
      <c r="F338" s="518"/>
      <c r="G338" s="518"/>
      <c r="H338" s="518"/>
      <c r="I338" s="518"/>
      <c r="J338" s="518"/>
      <c r="K338" s="518"/>
      <c r="L338" s="518"/>
      <c r="M338" s="518"/>
      <c r="N338" s="518"/>
      <c r="O338" s="518"/>
      <c r="P338" s="518"/>
      <c r="Q338" s="518"/>
      <c r="R338" s="518"/>
      <c r="S338" s="518"/>
      <c r="T338" s="518"/>
      <c r="U338" s="518"/>
      <c r="V338" s="518"/>
      <c r="W338" s="518"/>
      <c r="X338" s="518"/>
      <c r="Y338" s="518"/>
      <c r="Z338" s="518"/>
      <c r="AA338" s="518"/>
      <c r="AB338" s="518"/>
      <c r="AC338" s="518"/>
      <c r="AD338" s="518"/>
      <c r="AE338" s="518"/>
      <c r="AF338" s="518"/>
      <c r="AG338" s="518"/>
      <c r="AH338" s="518"/>
      <c r="AI338" s="518"/>
      <c r="AJ338" s="518"/>
      <c r="AK338" s="518"/>
      <c r="AL338" s="518"/>
      <c r="AM338" s="518"/>
      <c r="AN338" s="518"/>
      <c r="AO338" s="518"/>
      <c r="AP338" s="518"/>
      <c r="AQ338" s="518"/>
      <c r="AR338" s="518"/>
      <c r="AS338" s="518"/>
      <c r="AT338" s="518"/>
      <c r="AU338" s="518"/>
      <c r="AV338" s="519"/>
    </row>
    <row r="339" spans="1:50" s="183" customFormat="1" ht="21" customHeight="1" x14ac:dyDescent="0.25">
      <c r="A339" s="269"/>
      <c r="B339" s="270"/>
      <c r="C339" s="517"/>
      <c r="D339" s="518"/>
      <c r="E339" s="518"/>
      <c r="F339" s="518"/>
      <c r="G339" s="518"/>
      <c r="H339" s="518"/>
      <c r="I339" s="518"/>
      <c r="J339" s="518"/>
      <c r="K339" s="518"/>
      <c r="L339" s="518"/>
      <c r="M339" s="518"/>
      <c r="N339" s="518"/>
      <c r="O339" s="518"/>
      <c r="P339" s="518"/>
      <c r="Q339" s="518"/>
      <c r="R339" s="518"/>
      <c r="S339" s="518"/>
      <c r="T339" s="518"/>
      <c r="U339" s="518"/>
      <c r="V339" s="518"/>
      <c r="W339" s="518"/>
      <c r="X339" s="518"/>
      <c r="Y339" s="518"/>
      <c r="Z339" s="518"/>
      <c r="AA339" s="518"/>
      <c r="AB339" s="518"/>
      <c r="AC339" s="518"/>
      <c r="AD339" s="518"/>
      <c r="AE339" s="518"/>
      <c r="AF339" s="518"/>
      <c r="AG339" s="518"/>
      <c r="AH339" s="518"/>
      <c r="AI339" s="518"/>
      <c r="AJ339" s="518"/>
      <c r="AK339" s="518"/>
      <c r="AL339" s="518"/>
      <c r="AM339" s="518"/>
      <c r="AN339" s="518"/>
      <c r="AO339" s="518"/>
      <c r="AP339" s="518"/>
      <c r="AQ339" s="518"/>
      <c r="AR339" s="518"/>
      <c r="AS339" s="518"/>
      <c r="AT339" s="518"/>
      <c r="AU339" s="518"/>
      <c r="AV339" s="519"/>
    </row>
    <row r="340" spans="1:50" s="183" customFormat="1" ht="21" customHeight="1" x14ac:dyDescent="0.25">
      <c r="A340" s="271"/>
      <c r="B340" s="270"/>
      <c r="C340" s="517"/>
      <c r="D340" s="518"/>
      <c r="E340" s="518"/>
      <c r="F340" s="518"/>
      <c r="G340" s="518"/>
      <c r="H340" s="518"/>
      <c r="I340" s="518"/>
      <c r="J340" s="518"/>
      <c r="K340" s="518"/>
      <c r="L340" s="518"/>
      <c r="M340" s="518"/>
      <c r="N340" s="518"/>
      <c r="O340" s="518"/>
      <c r="P340" s="518"/>
      <c r="Q340" s="518"/>
      <c r="R340" s="518"/>
      <c r="S340" s="518"/>
      <c r="T340" s="518"/>
      <c r="U340" s="518"/>
      <c r="V340" s="518"/>
      <c r="W340" s="518"/>
      <c r="X340" s="518"/>
      <c r="Y340" s="518"/>
      <c r="Z340" s="518"/>
      <c r="AA340" s="518"/>
      <c r="AB340" s="518"/>
      <c r="AC340" s="518"/>
      <c r="AD340" s="518"/>
      <c r="AE340" s="518"/>
      <c r="AF340" s="518"/>
      <c r="AG340" s="518"/>
      <c r="AH340" s="518"/>
      <c r="AI340" s="518"/>
      <c r="AJ340" s="518"/>
      <c r="AK340" s="518"/>
      <c r="AL340" s="518"/>
      <c r="AM340" s="518"/>
      <c r="AN340" s="518"/>
      <c r="AO340" s="518"/>
      <c r="AP340" s="518"/>
      <c r="AQ340" s="518"/>
      <c r="AR340" s="518"/>
      <c r="AS340" s="518"/>
      <c r="AT340" s="518"/>
      <c r="AU340" s="518"/>
      <c r="AV340" s="519"/>
    </row>
    <row r="341" spans="1:50" s="183" customFormat="1" ht="21" customHeight="1" x14ac:dyDescent="0.25">
      <c r="A341" s="269"/>
      <c r="B341" s="270"/>
      <c r="C341" s="517"/>
      <c r="D341" s="518"/>
      <c r="E341" s="518"/>
      <c r="F341" s="518"/>
      <c r="G341" s="518"/>
      <c r="H341" s="518"/>
      <c r="I341" s="518"/>
      <c r="J341" s="518"/>
      <c r="K341" s="518"/>
      <c r="L341" s="518"/>
      <c r="M341" s="518"/>
      <c r="N341" s="518"/>
      <c r="O341" s="518"/>
      <c r="P341" s="518"/>
      <c r="Q341" s="518"/>
      <c r="R341" s="518"/>
      <c r="S341" s="518"/>
      <c r="T341" s="518"/>
      <c r="U341" s="518"/>
      <c r="V341" s="518"/>
      <c r="W341" s="518"/>
      <c r="X341" s="518"/>
      <c r="Y341" s="518"/>
      <c r="Z341" s="518"/>
      <c r="AA341" s="518"/>
      <c r="AB341" s="518"/>
      <c r="AC341" s="518"/>
      <c r="AD341" s="518"/>
      <c r="AE341" s="518"/>
      <c r="AF341" s="518"/>
      <c r="AG341" s="518"/>
      <c r="AH341" s="518"/>
      <c r="AI341" s="518"/>
      <c r="AJ341" s="518"/>
      <c r="AK341" s="518"/>
      <c r="AL341" s="518"/>
      <c r="AM341" s="518"/>
      <c r="AN341" s="518"/>
      <c r="AO341" s="518"/>
      <c r="AP341" s="518"/>
      <c r="AQ341" s="518"/>
      <c r="AR341" s="518"/>
      <c r="AS341" s="518"/>
      <c r="AT341" s="518"/>
      <c r="AU341" s="518"/>
      <c r="AV341" s="519"/>
    </row>
    <row r="342" spans="1:50" s="183" customFormat="1" ht="21" customHeight="1" thickBot="1" x14ac:dyDescent="0.3">
      <c r="A342" s="271"/>
      <c r="B342" s="270"/>
      <c r="C342" s="520"/>
      <c r="D342" s="521"/>
      <c r="E342" s="521"/>
      <c r="F342" s="521"/>
      <c r="G342" s="521"/>
      <c r="H342" s="521"/>
      <c r="I342" s="521"/>
      <c r="J342" s="521"/>
      <c r="K342" s="521"/>
      <c r="L342" s="521"/>
      <c r="M342" s="521"/>
      <c r="N342" s="521"/>
      <c r="O342" s="521"/>
      <c r="P342" s="521"/>
      <c r="Q342" s="521"/>
      <c r="R342" s="521"/>
      <c r="S342" s="521"/>
      <c r="T342" s="521"/>
      <c r="U342" s="521"/>
      <c r="V342" s="521"/>
      <c r="W342" s="521"/>
      <c r="X342" s="521"/>
      <c r="Y342" s="521"/>
      <c r="Z342" s="521"/>
      <c r="AA342" s="521"/>
      <c r="AB342" s="521"/>
      <c r="AC342" s="521"/>
      <c r="AD342" s="521"/>
      <c r="AE342" s="521"/>
      <c r="AF342" s="521"/>
      <c r="AG342" s="521"/>
      <c r="AH342" s="521"/>
      <c r="AI342" s="521"/>
      <c r="AJ342" s="521"/>
      <c r="AK342" s="521"/>
      <c r="AL342" s="521"/>
      <c r="AM342" s="521"/>
      <c r="AN342" s="521"/>
      <c r="AO342" s="521"/>
      <c r="AP342" s="521"/>
      <c r="AQ342" s="521"/>
      <c r="AR342" s="521"/>
      <c r="AS342" s="521"/>
      <c r="AT342" s="521"/>
      <c r="AU342" s="521"/>
      <c r="AV342" s="522"/>
    </row>
    <row r="343" spans="1:50" s="196" customFormat="1" ht="13.8" thickTop="1" x14ac:dyDescent="0.25">
      <c r="A343" s="272"/>
      <c r="B343" s="272"/>
      <c r="C343" s="493" t="s">
        <v>146</v>
      </c>
      <c r="D343" s="493"/>
      <c r="E343" s="493"/>
      <c r="F343" s="493"/>
      <c r="G343" s="493"/>
      <c r="H343" s="493"/>
      <c r="I343" s="493"/>
      <c r="J343" s="493"/>
      <c r="K343" s="493"/>
      <c r="L343" s="493"/>
      <c r="M343" s="493"/>
      <c r="N343" s="493"/>
      <c r="O343" s="493"/>
      <c r="P343" s="493"/>
      <c r="Q343" s="493"/>
      <c r="R343" s="493"/>
      <c r="S343" s="493"/>
      <c r="T343" s="493"/>
      <c r="U343" s="493"/>
      <c r="V343" s="493"/>
      <c r="W343" s="493"/>
      <c r="X343" s="493"/>
      <c r="Y343" s="493"/>
      <c r="Z343" s="493"/>
      <c r="AA343" s="493"/>
      <c r="AB343" s="493"/>
      <c r="AC343" s="493"/>
      <c r="AD343" s="493"/>
      <c r="AE343" s="493"/>
      <c r="AF343" s="493"/>
      <c r="AG343" s="493"/>
      <c r="AH343" s="493"/>
      <c r="AI343" s="493"/>
      <c r="AJ343" s="493"/>
      <c r="AK343" s="493"/>
      <c r="AL343" s="493"/>
      <c r="AM343" s="493"/>
      <c r="AN343" s="493"/>
      <c r="AO343" s="493"/>
      <c r="AP343" s="493"/>
      <c r="AQ343" s="493"/>
      <c r="AR343" s="493"/>
      <c r="AS343" s="493"/>
      <c r="AT343" s="493"/>
      <c r="AU343" s="493"/>
      <c r="AV343" s="493"/>
      <c r="AX343" s="271"/>
    </row>
    <row r="344" spans="1:50" s="196" customFormat="1" ht="15.9" customHeight="1" x14ac:dyDescent="0.25">
      <c r="C344" s="479"/>
      <c r="D344" s="480"/>
      <c r="E344" s="480"/>
      <c r="F344" s="480"/>
      <c r="G344" s="480"/>
      <c r="H344" s="480"/>
      <c r="I344" s="480"/>
      <c r="J344" s="480"/>
      <c r="K344" s="480"/>
      <c r="L344" s="480"/>
      <c r="M344" s="480"/>
      <c r="N344" s="480"/>
      <c r="O344" s="480"/>
      <c r="P344" s="480"/>
      <c r="Q344" s="480"/>
      <c r="R344" s="480"/>
      <c r="S344" s="480"/>
      <c r="T344" s="480"/>
      <c r="U344" s="480"/>
      <c r="V344" s="481">
        <f>+E356</f>
        <v>1</v>
      </c>
      <c r="W344" s="481"/>
      <c r="X344" s="481"/>
      <c r="Y344" s="481"/>
      <c r="Z344" s="481"/>
      <c r="AA344" s="481"/>
      <c r="AB344" s="481"/>
      <c r="AC344" s="482"/>
      <c r="AD344" s="480"/>
      <c r="AE344" s="480"/>
      <c r="AF344" s="480"/>
      <c r="AG344" s="483"/>
      <c r="AH344" s="483"/>
      <c r="AI344" s="483"/>
      <c r="AJ344" s="483"/>
      <c r="AK344" s="483"/>
      <c r="AL344" s="483"/>
      <c r="AM344" s="483"/>
      <c r="AN344" s="483"/>
      <c r="AO344" s="483"/>
      <c r="AP344" s="483"/>
      <c r="AQ344" s="483"/>
      <c r="AR344" s="483"/>
      <c r="AS344" s="483"/>
      <c r="AT344" s="483"/>
      <c r="AU344" s="483"/>
      <c r="AV344" s="484"/>
      <c r="AX344" s="271"/>
    </row>
    <row r="345" spans="1:50" s="32" customFormat="1" ht="7.5" customHeight="1" x14ac:dyDescent="0.3">
      <c r="C345" s="504"/>
      <c r="D345" s="505"/>
      <c r="E345" s="505"/>
      <c r="F345" s="505"/>
      <c r="G345" s="505"/>
      <c r="H345" s="505"/>
      <c r="I345" s="505"/>
      <c r="J345" s="505"/>
      <c r="K345" s="505"/>
      <c r="L345" s="505"/>
      <c r="M345" s="505"/>
      <c r="N345" s="505"/>
      <c r="O345" s="505"/>
      <c r="P345" s="505"/>
      <c r="Q345" s="505"/>
      <c r="R345" s="505"/>
      <c r="S345" s="505"/>
      <c r="T345" s="505"/>
      <c r="U345" s="505"/>
      <c r="V345" s="505"/>
      <c r="W345" s="505"/>
      <c r="X345" s="505"/>
      <c r="Y345" s="505"/>
      <c r="Z345" s="505"/>
      <c r="AA345" s="505"/>
      <c r="AB345" s="505"/>
      <c r="AC345" s="505"/>
      <c r="AD345" s="505"/>
      <c r="AE345" s="505"/>
      <c r="AF345" s="505"/>
      <c r="AG345" s="505"/>
      <c r="AH345" s="505"/>
      <c r="AI345" s="505"/>
      <c r="AJ345" s="505"/>
      <c r="AK345" s="505"/>
      <c r="AL345" s="505"/>
      <c r="AM345" s="505"/>
      <c r="AN345" s="505"/>
      <c r="AO345" s="505"/>
      <c r="AP345" s="505"/>
      <c r="AQ345" s="505"/>
      <c r="AR345" s="505"/>
      <c r="AS345" s="505"/>
      <c r="AT345" s="505"/>
      <c r="AU345" s="505"/>
      <c r="AV345" s="505"/>
    </row>
    <row r="346" spans="1:50" s="12" customFormat="1" ht="14.1" customHeight="1" x14ac:dyDescent="0.25">
      <c r="A346" s="53" t="s">
        <v>59</v>
      </c>
      <c r="C346" s="690" t="s">
        <v>50</v>
      </c>
      <c r="D346" s="691"/>
      <c r="E346" s="691"/>
      <c r="F346" s="691"/>
      <c r="G346" s="691"/>
      <c r="H346" s="691"/>
      <c r="I346" s="691"/>
      <c r="J346" s="691"/>
      <c r="K346" s="691"/>
      <c r="L346" s="691"/>
      <c r="M346" s="691"/>
      <c r="N346" s="691"/>
      <c r="O346" s="691"/>
      <c r="P346" s="691"/>
      <c r="Q346" s="691"/>
      <c r="R346" s="691"/>
      <c r="S346" s="691"/>
      <c r="T346" s="691"/>
      <c r="U346" s="692"/>
      <c r="V346" s="692"/>
      <c r="W346" s="692"/>
      <c r="X346" s="692"/>
      <c r="Y346" s="692"/>
      <c r="Z346" s="692"/>
      <c r="AA346" s="692"/>
      <c r="AB346" s="692"/>
      <c r="AC346" s="692"/>
      <c r="AD346" s="692"/>
      <c r="AE346" s="692"/>
      <c r="AF346" s="692"/>
      <c r="AG346" s="692"/>
      <c r="AH346" s="692"/>
      <c r="AI346" s="692"/>
      <c r="AJ346" s="692"/>
      <c r="AK346" s="692"/>
      <c r="AL346" s="692"/>
      <c r="AM346" s="692"/>
      <c r="AN346" s="692"/>
      <c r="AO346" s="692"/>
      <c r="AP346" s="692"/>
      <c r="AQ346" s="692"/>
      <c r="AR346" s="692"/>
      <c r="AS346" s="692"/>
      <c r="AT346" s="692"/>
      <c r="AU346" s="692"/>
      <c r="AV346" s="692"/>
    </row>
    <row r="347" spans="1:50" ht="12.9" customHeight="1" x14ac:dyDescent="0.25">
      <c r="C347" s="7"/>
      <c r="D347" s="7"/>
      <c r="H347" s="8"/>
      <c r="J347" s="9"/>
      <c r="S347" s="9" t="str">
        <f>+S271</f>
        <v>INFORME N° 25</v>
      </c>
      <c r="U347" s="10"/>
      <c r="V347" s="11"/>
      <c r="AB347" s="655">
        <f>+AB56</f>
        <v>0</v>
      </c>
      <c r="AC347" s="656"/>
      <c r="AD347" s="656"/>
      <c r="AE347" s="656"/>
      <c r="AF347" s="656"/>
    </row>
    <row r="348" spans="1:50" s="55" customFormat="1" ht="30" customHeight="1" x14ac:dyDescent="0.25">
      <c r="A348" s="677">
        <v>1</v>
      </c>
      <c r="B348" s="678"/>
      <c r="C348" s="92" t="s">
        <v>85</v>
      </c>
      <c r="D348" s="128"/>
      <c r="E348" s="128"/>
      <c r="F348" s="128"/>
      <c r="G348" s="128"/>
      <c r="H348" s="128"/>
      <c r="I348" s="128"/>
      <c r="J348" s="128"/>
      <c r="K348" s="128"/>
      <c r="L348" s="128"/>
      <c r="M348" s="92"/>
      <c r="N348" s="128"/>
      <c r="O348" s="128"/>
      <c r="P348" s="128"/>
      <c r="Q348" s="128"/>
      <c r="R348" s="128"/>
      <c r="S348" s="128"/>
      <c r="T348" s="128"/>
      <c r="U348" s="128"/>
      <c r="V348" s="128"/>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54"/>
    </row>
    <row r="349" spans="1:50" s="85" customFormat="1" ht="11.4" x14ac:dyDescent="0.2">
      <c r="C349" s="693" t="s">
        <v>46</v>
      </c>
      <c r="D349" s="694"/>
      <c r="E349" s="85" t="str">
        <f>+C213</f>
        <v>VALOR DEL</v>
      </c>
      <c r="K349" s="85" t="str">
        <f>+J213</f>
        <v>TERRENO</v>
      </c>
      <c r="L349" s="86"/>
      <c r="N349" s="87"/>
      <c r="O349" s="87"/>
      <c r="U349" s="72"/>
      <c r="V349" s="72"/>
      <c r="W349" s="126"/>
      <c r="X349" s="126"/>
      <c r="Y349" s="126"/>
      <c r="Z349" s="126"/>
      <c r="AA349" s="126"/>
      <c r="AB349" s="126"/>
      <c r="AC349" s="126"/>
      <c r="AD349" s="126"/>
      <c r="AE349" s="127"/>
      <c r="AF349" s="127"/>
      <c r="AH349" s="86"/>
      <c r="AJ349" s="86" t="s">
        <v>18</v>
      </c>
      <c r="AK349" s="695"/>
      <c r="AL349" s="695"/>
      <c r="AM349" s="708">
        <f>+AO241</f>
        <v>0</v>
      </c>
      <c r="AN349" s="708"/>
      <c r="AO349" s="708"/>
      <c r="AP349" s="707"/>
      <c r="AQ349" s="707"/>
      <c r="AR349" s="707"/>
      <c r="AS349" s="707"/>
      <c r="AT349" s="707"/>
      <c r="AU349" s="707"/>
    </row>
    <row r="350" spans="1:50" s="85" customFormat="1" ht="11.4" x14ac:dyDescent="0.2">
      <c r="C350" s="693" t="s">
        <v>47</v>
      </c>
      <c r="D350" s="694"/>
      <c r="E350" s="85" t="str">
        <f>+C242</f>
        <v>VALOR DE LA EDIFICACIÓN</v>
      </c>
      <c r="L350" s="86"/>
      <c r="N350" s="87"/>
      <c r="O350" s="87"/>
      <c r="U350" s="72"/>
      <c r="V350" s="72"/>
      <c r="W350" s="72"/>
      <c r="X350" s="72"/>
      <c r="Y350" s="72"/>
      <c r="Z350" s="72"/>
      <c r="AA350" s="72"/>
      <c r="AB350" s="72"/>
      <c r="AC350" s="72"/>
      <c r="AD350" s="72"/>
      <c r="AH350" s="86"/>
      <c r="AJ350" s="86" t="s">
        <v>18</v>
      </c>
      <c r="AK350" s="695"/>
      <c r="AL350" s="695"/>
      <c r="AM350" s="708">
        <f>+AO249</f>
        <v>0</v>
      </c>
      <c r="AN350" s="708"/>
      <c r="AO350" s="708"/>
      <c r="AP350" s="707"/>
      <c r="AQ350" s="707"/>
      <c r="AR350" s="707"/>
      <c r="AS350" s="707"/>
      <c r="AT350" s="707"/>
      <c r="AU350" s="707"/>
    </row>
    <row r="351" spans="1:50" s="85" customFormat="1" ht="11.4" x14ac:dyDescent="0.2">
      <c r="C351" s="157" t="s">
        <v>1</v>
      </c>
      <c r="D351" s="107"/>
      <c r="E351" s="158" t="str">
        <f>+C252</f>
        <v>VALOR DE LAS AREAS COMUNES</v>
      </c>
      <c r="L351" s="86"/>
      <c r="N351" s="87"/>
      <c r="O351" s="87"/>
      <c r="U351" s="72"/>
      <c r="V351" s="72"/>
      <c r="W351" s="72"/>
      <c r="X351" s="72"/>
      <c r="Y351" s="72"/>
      <c r="Z351" s="72"/>
      <c r="AA351" s="72"/>
      <c r="AB351" s="72"/>
      <c r="AC351" s="72"/>
      <c r="AD351" s="72"/>
      <c r="AH351" s="86"/>
      <c r="AJ351" s="86" t="s">
        <v>18</v>
      </c>
      <c r="AK351" s="695"/>
      <c r="AL351" s="695"/>
      <c r="AM351" s="769">
        <f>+AO252</f>
        <v>0</v>
      </c>
      <c r="AN351" s="769"/>
      <c r="AO351" s="769"/>
      <c r="AP351" s="694"/>
      <c r="AQ351" s="694"/>
      <c r="AR351" s="694"/>
      <c r="AS351" s="694"/>
      <c r="AT351" s="694"/>
      <c r="AU351" s="694"/>
    </row>
    <row r="352" spans="1:50" s="85" customFormat="1" ht="11.4" x14ac:dyDescent="0.2">
      <c r="C352" s="157" t="s">
        <v>9</v>
      </c>
      <c r="D352" s="107"/>
      <c r="E352" s="158" t="str">
        <f>+C261</f>
        <v>VALOR DE LAS OBRAS COMPLEMENTARIAS</v>
      </c>
      <c r="L352" s="86"/>
      <c r="N352" s="87"/>
      <c r="O352" s="87"/>
      <c r="U352" s="72"/>
      <c r="V352" s="72"/>
      <c r="W352" s="72"/>
      <c r="X352" s="72"/>
      <c r="Y352" s="72"/>
      <c r="Z352" s="72"/>
      <c r="AA352" s="72"/>
      <c r="AB352" s="72"/>
      <c r="AC352" s="72"/>
      <c r="AD352" s="72"/>
      <c r="AH352" s="86"/>
      <c r="AJ352" s="86" t="s">
        <v>18</v>
      </c>
      <c r="AK352" s="695"/>
      <c r="AL352" s="695"/>
      <c r="AM352" s="771">
        <f>+AO261</f>
        <v>0</v>
      </c>
      <c r="AN352" s="771"/>
      <c r="AO352" s="771"/>
      <c r="AP352" s="772"/>
      <c r="AQ352" s="772"/>
      <c r="AR352" s="772"/>
      <c r="AS352" s="772"/>
      <c r="AT352" s="772"/>
      <c r="AU352" s="772"/>
    </row>
    <row r="353" spans="1:48" s="183" customFormat="1" ht="11.4" x14ac:dyDescent="0.2">
      <c r="A353" s="85"/>
      <c r="B353" s="85"/>
      <c r="C353" s="157"/>
      <c r="D353" s="107"/>
      <c r="E353" s="158" t="s">
        <v>89</v>
      </c>
      <c r="F353" s="85"/>
      <c r="G353" s="85"/>
      <c r="H353" s="85"/>
      <c r="I353" s="85"/>
      <c r="J353" s="85"/>
      <c r="K353" s="85"/>
      <c r="L353" s="86"/>
      <c r="M353" s="85"/>
      <c r="N353" s="87"/>
      <c r="O353" s="87"/>
      <c r="P353" s="85"/>
      <c r="Q353" s="85"/>
      <c r="R353" s="85"/>
      <c r="S353" s="85"/>
      <c r="T353" s="85"/>
      <c r="U353" s="72"/>
      <c r="V353" s="72"/>
      <c r="W353" s="72"/>
      <c r="X353" s="86"/>
      <c r="Y353" s="107"/>
      <c r="Z353" s="86"/>
      <c r="AA353" s="182"/>
      <c r="AB353" s="182"/>
      <c r="AC353" s="182"/>
      <c r="AD353" s="107"/>
      <c r="AE353" s="107"/>
      <c r="AF353" s="107"/>
      <c r="AG353" s="107"/>
      <c r="AH353" s="107"/>
      <c r="AI353" s="107"/>
      <c r="AJ353" s="86" t="s">
        <v>18</v>
      </c>
      <c r="AK353" s="695"/>
      <c r="AL353" s="695"/>
      <c r="AM353" s="769">
        <f>SUM(AM349:AU352)</f>
        <v>0</v>
      </c>
      <c r="AN353" s="769"/>
      <c r="AO353" s="769"/>
      <c r="AP353" s="694"/>
      <c r="AQ353" s="694"/>
      <c r="AR353" s="694"/>
      <c r="AS353" s="694"/>
      <c r="AT353" s="694"/>
      <c r="AU353" s="694"/>
      <c r="AV353" s="85"/>
    </row>
    <row r="354" spans="1:48" s="183" customFormat="1" ht="12" x14ac:dyDescent="0.25">
      <c r="A354" s="85"/>
      <c r="B354" s="85"/>
      <c r="C354" s="157"/>
      <c r="D354" s="107"/>
      <c r="E354" s="184" t="s">
        <v>90</v>
      </c>
      <c r="F354" s="85"/>
      <c r="G354" s="85"/>
      <c r="H354" s="85"/>
      <c r="I354" s="85"/>
      <c r="J354" s="85"/>
      <c r="K354" s="85"/>
      <c r="L354" s="86"/>
      <c r="M354" s="85"/>
      <c r="N354" s="87"/>
      <c r="O354" s="87"/>
      <c r="P354" s="85"/>
      <c r="Q354" s="85"/>
      <c r="R354" s="85"/>
      <c r="S354" s="85"/>
      <c r="T354" s="85"/>
      <c r="U354" s="72"/>
      <c r="V354" s="72"/>
      <c r="W354" s="72"/>
      <c r="X354" s="86"/>
      <c r="Y354" s="107"/>
      <c r="Z354" s="86"/>
      <c r="AA354" s="182"/>
      <c r="AB354" s="182"/>
      <c r="AC354" s="182"/>
      <c r="AD354" s="107"/>
      <c r="AE354" s="107"/>
      <c r="AF354" s="107"/>
      <c r="AG354" s="107"/>
      <c r="AH354" s="107"/>
      <c r="AI354" s="107"/>
      <c r="AJ354" s="86"/>
      <c r="AK354" s="181"/>
      <c r="AL354" s="181"/>
      <c r="AM354" s="182"/>
      <c r="AN354" s="182"/>
      <c r="AO354" s="182"/>
      <c r="AP354" s="107"/>
      <c r="AQ354" s="107"/>
      <c r="AR354" s="107"/>
      <c r="AS354" s="107"/>
      <c r="AT354" s="107"/>
      <c r="AU354" s="107"/>
      <c r="AV354" s="85"/>
    </row>
    <row r="355" spans="1:48" s="183" customFormat="1" ht="25.5" customHeight="1" x14ac:dyDescent="0.2">
      <c r="A355" s="85"/>
      <c r="B355" s="85"/>
      <c r="C355" s="157"/>
      <c r="D355" s="107"/>
      <c r="E355" s="676" t="s">
        <v>91</v>
      </c>
      <c r="F355" s="676"/>
      <c r="G355" s="676"/>
      <c r="H355" s="676"/>
      <c r="I355" s="676"/>
      <c r="J355" s="676"/>
      <c r="K355" s="676"/>
      <c r="L355" s="676"/>
      <c r="M355" s="676"/>
      <c r="N355" s="676"/>
      <c r="O355" s="676"/>
      <c r="P355" s="676"/>
      <c r="Q355" s="676"/>
      <c r="R355" s="676"/>
      <c r="S355" s="676"/>
      <c r="T355" s="676"/>
      <c r="U355" s="676"/>
      <c r="V355" s="676"/>
      <c r="W355" s="676"/>
      <c r="X355" s="676"/>
      <c r="Y355" s="676"/>
      <c r="Z355" s="676"/>
      <c r="AA355" s="676"/>
      <c r="AB355" s="676"/>
      <c r="AC355" s="676"/>
      <c r="AD355" s="676"/>
      <c r="AE355" s="676"/>
      <c r="AF355" s="676"/>
      <c r="AG355" s="676"/>
      <c r="AH355" s="676"/>
      <c r="AI355" s="676"/>
      <c r="AJ355" s="676"/>
      <c r="AK355" s="676"/>
      <c r="AL355" s="676"/>
      <c r="AM355" s="676"/>
      <c r="AN355" s="676"/>
      <c r="AO355" s="676"/>
      <c r="AP355" s="676"/>
      <c r="AQ355" s="676"/>
      <c r="AR355" s="676"/>
      <c r="AS355" s="676"/>
      <c r="AT355" s="676"/>
      <c r="AU355" s="676"/>
      <c r="AV355" s="676"/>
    </row>
    <row r="356" spans="1:48" s="183" customFormat="1" ht="12" x14ac:dyDescent="0.25">
      <c r="A356" s="85"/>
      <c r="B356" s="85"/>
      <c r="C356" s="157"/>
      <c r="D356" s="107"/>
      <c r="E356" s="770">
        <v>1</v>
      </c>
      <c r="F356" s="770"/>
      <c r="G356" s="770"/>
      <c r="H356" s="770"/>
      <c r="I356" s="770"/>
      <c r="J356" s="770"/>
      <c r="K356" s="770"/>
      <c r="L356" s="86"/>
      <c r="M356" s="85"/>
      <c r="N356" s="87"/>
      <c r="O356" s="87" t="s">
        <v>21</v>
      </c>
      <c r="P356" s="85"/>
      <c r="Q356" s="85"/>
      <c r="R356" s="85"/>
      <c r="S356" s="85"/>
      <c r="T356" s="769">
        <f>+AM353</f>
        <v>0</v>
      </c>
      <c r="U356" s="769"/>
      <c r="V356" s="769"/>
      <c r="W356" s="769"/>
      <c r="X356" s="769"/>
      <c r="Y356" s="769"/>
      <c r="Z356" s="769"/>
      <c r="AA356" s="769"/>
      <c r="AB356" s="769"/>
      <c r="AC356" s="182"/>
      <c r="AD356" s="107"/>
      <c r="AE356" s="107"/>
      <c r="AF356" s="107"/>
      <c r="AG356" s="107"/>
      <c r="AH356" s="107"/>
      <c r="AI356" s="107"/>
      <c r="AJ356" s="86" t="s">
        <v>18</v>
      </c>
      <c r="AK356" s="695"/>
      <c r="AL356" s="695"/>
      <c r="AM356" s="769">
        <f>+E356*T356</f>
        <v>0</v>
      </c>
      <c r="AN356" s="769"/>
      <c r="AO356" s="769"/>
      <c r="AP356" s="694"/>
      <c r="AQ356" s="694"/>
      <c r="AR356" s="694"/>
      <c r="AS356" s="694"/>
      <c r="AT356" s="694"/>
      <c r="AU356" s="694"/>
      <c r="AV356" s="85"/>
    </row>
    <row r="357" spans="1:48" s="387" customFormat="1" ht="11.4" x14ac:dyDescent="0.2">
      <c r="C357" s="388" t="s">
        <v>96</v>
      </c>
      <c r="D357" s="389"/>
      <c r="E357" s="390" t="str">
        <f>+C264</f>
        <v>VALOR DEL ESTACIONAMIENTO</v>
      </c>
      <c r="L357" s="391"/>
      <c r="N357" s="392"/>
      <c r="O357" s="392"/>
      <c r="AH357" s="391"/>
      <c r="AJ357" s="391" t="s">
        <v>18</v>
      </c>
      <c r="AK357" s="720"/>
      <c r="AL357" s="720"/>
      <c r="AM357" s="719">
        <f>+AO264</f>
        <v>0</v>
      </c>
      <c r="AN357" s="719"/>
      <c r="AO357" s="719"/>
      <c r="AP357" s="685"/>
      <c r="AQ357" s="685"/>
      <c r="AR357" s="685"/>
      <c r="AS357" s="685"/>
      <c r="AT357" s="685"/>
      <c r="AU357" s="685"/>
    </row>
    <row r="358" spans="1:48" s="387" customFormat="1" ht="11.4" x14ac:dyDescent="0.2">
      <c r="C358" s="388" t="s">
        <v>131</v>
      </c>
      <c r="D358" s="389"/>
      <c r="E358" s="390" t="str">
        <f>+C265</f>
        <v>VALOR DEL DEPOSITO</v>
      </c>
      <c r="L358" s="391"/>
      <c r="N358" s="392"/>
      <c r="O358" s="392"/>
      <c r="AH358" s="391"/>
      <c r="AJ358" s="391" t="s">
        <v>18</v>
      </c>
      <c r="AK358" s="720"/>
      <c r="AL358" s="720"/>
      <c r="AM358" s="710">
        <f>+AO267</f>
        <v>0</v>
      </c>
      <c r="AN358" s="710"/>
      <c r="AO358" s="710"/>
      <c r="AP358" s="711"/>
      <c r="AQ358" s="711"/>
      <c r="AR358" s="711"/>
      <c r="AS358" s="711"/>
      <c r="AT358" s="711"/>
      <c r="AU358" s="711"/>
    </row>
    <row r="359" spans="1:48" s="88" customFormat="1" ht="17.100000000000001" customHeight="1" thickBot="1" x14ac:dyDescent="0.3">
      <c r="C359" s="76" t="s">
        <v>61</v>
      </c>
      <c r="D359" s="77"/>
      <c r="E359" s="77"/>
      <c r="F359" s="77"/>
      <c r="G359" s="77" t="str">
        <f>C348</f>
        <v>VALOR COMERCIAL  DEL INMUEBLE (VCI)</v>
      </c>
      <c r="H359" s="77"/>
      <c r="I359" s="77"/>
      <c r="J359" s="77"/>
      <c r="K359" s="77"/>
      <c r="L359" s="89"/>
      <c r="M359" s="77"/>
      <c r="N359" s="90"/>
      <c r="O359" s="90"/>
      <c r="P359" s="77"/>
      <c r="Q359" s="77"/>
      <c r="R359" s="77"/>
      <c r="S359" s="77"/>
      <c r="T359" s="77"/>
      <c r="U359" s="77"/>
      <c r="V359" s="77"/>
      <c r="W359" s="77"/>
      <c r="X359" s="77"/>
      <c r="Y359" s="77"/>
      <c r="Z359" s="77"/>
      <c r="AA359" s="77"/>
      <c r="AB359" s="77"/>
      <c r="AC359" s="77"/>
      <c r="AD359" s="77"/>
      <c r="AE359" s="77"/>
      <c r="AF359" s="77"/>
      <c r="AG359" s="77"/>
      <c r="AH359" s="89"/>
      <c r="AI359" s="77"/>
      <c r="AJ359" s="89" t="s">
        <v>18</v>
      </c>
      <c r="AK359" s="712"/>
      <c r="AL359" s="712"/>
      <c r="AM359" s="727">
        <f>SUM(AM356:AU358)</f>
        <v>0</v>
      </c>
      <c r="AN359" s="727"/>
      <c r="AO359" s="727"/>
      <c r="AP359" s="728"/>
      <c r="AQ359" s="728"/>
      <c r="AR359" s="728"/>
      <c r="AS359" s="728"/>
      <c r="AT359" s="728"/>
      <c r="AU359" s="728"/>
      <c r="AV359" s="91"/>
    </row>
    <row r="360" spans="1:48" s="12" customFormat="1" ht="29.1" customHeight="1" x14ac:dyDescent="0.2">
      <c r="A360" s="85"/>
      <c r="B360" s="85"/>
      <c r="C360" s="688"/>
      <c r="D360" s="688"/>
      <c r="E360" s="688"/>
      <c r="F360" s="688"/>
      <c r="G360" s="688"/>
      <c r="H360" s="688"/>
      <c r="I360" s="688"/>
      <c r="J360" s="688"/>
      <c r="K360" s="688"/>
      <c r="L360" s="688"/>
      <c r="M360" s="688"/>
      <c r="N360" s="688"/>
      <c r="O360" s="688"/>
      <c r="P360" s="688"/>
      <c r="Q360" s="688"/>
      <c r="R360" s="688"/>
      <c r="S360" s="688"/>
      <c r="T360" s="688"/>
      <c r="U360" s="689"/>
      <c r="V360" s="689"/>
      <c r="W360" s="689"/>
      <c r="X360" s="689"/>
      <c r="Y360" s="689"/>
      <c r="Z360" s="689"/>
      <c r="AA360" s="689"/>
      <c r="AB360" s="689"/>
      <c r="AC360" s="689"/>
      <c r="AD360" s="689"/>
      <c r="AE360" s="689"/>
      <c r="AF360" s="689"/>
      <c r="AG360" s="689"/>
      <c r="AH360" s="689"/>
      <c r="AI360" s="689"/>
      <c r="AJ360" s="689"/>
      <c r="AK360" s="689"/>
      <c r="AL360" s="689"/>
      <c r="AM360" s="689"/>
      <c r="AN360" s="689"/>
      <c r="AO360" s="689"/>
      <c r="AP360" s="689"/>
      <c r="AQ360" s="689"/>
      <c r="AR360" s="689"/>
      <c r="AS360" s="689"/>
      <c r="AT360" s="689"/>
      <c r="AU360" s="689"/>
      <c r="AV360" s="689"/>
    </row>
    <row r="361" spans="1:48" s="12" customFormat="1" ht="30" customHeight="1" x14ac:dyDescent="0.25">
      <c r="A361" s="677">
        <f>1+A348</f>
        <v>2</v>
      </c>
      <c r="B361" s="678"/>
      <c r="C361" s="130" t="s">
        <v>76</v>
      </c>
      <c r="D361" s="85"/>
      <c r="E361" s="85"/>
      <c r="F361" s="85"/>
      <c r="G361" s="85"/>
      <c r="H361" s="85"/>
      <c r="I361" s="85"/>
      <c r="J361" s="85"/>
      <c r="K361" s="85"/>
      <c r="L361" s="85"/>
      <c r="M361" s="85"/>
      <c r="N361" s="85"/>
      <c r="O361" s="85"/>
      <c r="P361" s="85"/>
      <c r="Q361" s="85"/>
      <c r="R361" s="85"/>
      <c r="S361" s="85"/>
      <c r="T361" s="85"/>
      <c r="U361" s="72"/>
      <c r="V361" s="72"/>
      <c r="W361" s="72"/>
      <c r="X361" s="72"/>
      <c r="Y361" s="72"/>
      <c r="Z361" s="72"/>
      <c r="AA361" s="72"/>
      <c r="AB361" s="72"/>
      <c r="AC361" s="72"/>
      <c r="AD361" s="72"/>
      <c r="AE361" s="85"/>
      <c r="AF361" s="85"/>
      <c r="AG361" s="85"/>
      <c r="AH361" s="85"/>
      <c r="AI361" s="85"/>
      <c r="AJ361" s="85"/>
      <c r="AK361" s="85"/>
      <c r="AL361" s="85"/>
      <c r="AM361" s="85"/>
      <c r="AN361" s="85"/>
      <c r="AO361" s="85"/>
      <c r="AP361" s="85"/>
      <c r="AQ361" s="85"/>
      <c r="AR361" s="85"/>
      <c r="AS361" s="85"/>
      <c r="AT361" s="85"/>
      <c r="AU361" s="85"/>
      <c r="AV361" s="85"/>
    </row>
    <row r="362" spans="1:48" s="12" customFormat="1" ht="15" customHeight="1" x14ac:dyDescent="0.25">
      <c r="A362" s="85"/>
      <c r="B362" s="85"/>
      <c r="C362" s="131" t="s">
        <v>22</v>
      </c>
      <c r="D362" s="85"/>
      <c r="E362" s="85"/>
      <c r="F362" s="127"/>
      <c r="G362" s="127"/>
      <c r="H362" s="132"/>
      <c r="I362" s="132"/>
      <c r="J362" s="133"/>
      <c r="K362" s="127"/>
      <c r="L362" s="85"/>
      <c r="M362" s="85"/>
      <c r="N362" s="85"/>
      <c r="O362" s="85"/>
      <c r="P362" s="85"/>
      <c r="Q362" s="85"/>
      <c r="R362" s="85"/>
      <c r="S362" s="85"/>
      <c r="T362" s="85"/>
      <c r="U362" s="72"/>
      <c r="V362" s="72"/>
      <c r="W362" s="72"/>
      <c r="X362" s="72"/>
      <c r="Y362" s="72"/>
      <c r="Z362" s="72"/>
      <c r="AA362" s="72"/>
      <c r="AB362" s="72"/>
      <c r="AC362" s="72"/>
      <c r="AD362" s="72"/>
      <c r="AE362" s="85"/>
      <c r="AF362" s="85"/>
      <c r="AG362" s="85"/>
      <c r="AH362" s="85"/>
      <c r="AI362" s="85"/>
      <c r="AJ362" s="85"/>
      <c r="AK362" s="85"/>
      <c r="AL362" s="85"/>
      <c r="AM362" s="85"/>
      <c r="AN362" s="85"/>
      <c r="AO362" s="85"/>
      <c r="AP362" s="85"/>
      <c r="AQ362" s="85"/>
      <c r="AR362" s="85"/>
      <c r="AS362" s="85"/>
      <c r="AT362" s="85"/>
      <c r="AU362" s="85"/>
      <c r="AV362" s="85"/>
    </row>
    <row r="363" spans="1:48" s="12" customFormat="1" ht="15" customHeight="1" x14ac:dyDescent="0.2">
      <c r="A363" s="85"/>
      <c r="B363" s="85"/>
      <c r="C363" s="127" t="s">
        <v>23</v>
      </c>
      <c r="D363" s="85"/>
      <c r="E363" s="85"/>
      <c r="F363" s="85"/>
      <c r="G363" s="85"/>
      <c r="H363" s="134"/>
      <c r="I363" s="134"/>
      <c r="J363" s="134"/>
      <c r="K363" s="85"/>
      <c r="L363" s="85"/>
      <c r="M363" s="85"/>
      <c r="N363" s="85"/>
      <c r="O363" s="85"/>
      <c r="P363" s="85"/>
      <c r="Q363" s="85"/>
      <c r="R363" s="85"/>
      <c r="S363" s="85"/>
      <c r="T363" s="85"/>
      <c r="U363" s="72"/>
      <c r="V363" s="72"/>
      <c r="W363" s="72"/>
      <c r="X363" s="72"/>
      <c r="Y363" s="72"/>
      <c r="Z363" s="72"/>
      <c r="AA363" s="72"/>
      <c r="AB363" s="72"/>
      <c r="AC363" s="72"/>
      <c r="AD363" s="72"/>
      <c r="AE363" s="85"/>
      <c r="AF363" s="85"/>
      <c r="AG363" s="85"/>
      <c r="AH363" s="85"/>
      <c r="AI363" s="85"/>
      <c r="AJ363" s="85"/>
      <c r="AK363" s="85"/>
      <c r="AL363" s="85"/>
      <c r="AM363" s="85"/>
      <c r="AN363" s="85"/>
      <c r="AO363" s="85"/>
      <c r="AP363" s="85"/>
      <c r="AQ363" s="85"/>
      <c r="AR363" s="85"/>
      <c r="AS363" s="85"/>
      <c r="AT363" s="85"/>
      <c r="AU363" s="85"/>
      <c r="AV363" s="85"/>
    </row>
    <row r="364" spans="1:48" s="12" customFormat="1" ht="15" customHeight="1" x14ac:dyDescent="0.2">
      <c r="A364" s="85"/>
      <c r="B364" s="85"/>
      <c r="C364" s="687" t="s">
        <v>38</v>
      </c>
      <c r="D364" s="687"/>
      <c r="E364" s="85" t="s">
        <v>36</v>
      </c>
      <c r="F364" s="85"/>
      <c r="G364" s="85"/>
      <c r="H364" s="134"/>
      <c r="I364" s="134"/>
      <c r="J364" s="134"/>
      <c r="K364" s="85"/>
      <c r="L364" s="85"/>
      <c r="M364" s="85"/>
      <c r="N364" s="85"/>
      <c r="O364" s="85"/>
      <c r="P364" s="85"/>
      <c r="Q364" s="85"/>
      <c r="R364" s="85"/>
      <c r="S364" s="85"/>
      <c r="T364" s="85"/>
      <c r="U364" s="72"/>
      <c r="V364" s="72"/>
      <c r="W364" s="72"/>
      <c r="X364" s="72"/>
      <c r="Y364" s="72"/>
      <c r="Z364" s="72"/>
      <c r="AA364" s="72"/>
      <c r="AB364" s="72"/>
      <c r="AC364" s="72"/>
      <c r="AD364" s="72"/>
      <c r="AE364" s="85"/>
      <c r="AF364" s="85"/>
      <c r="AG364" s="85"/>
      <c r="AH364" s="696">
        <v>0.02</v>
      </c>
      <c r="AI364" s="697"/>
      <c r="AJ364" s="697"/>
      <c r="AK364" s="697"/>
      <c r="AL364" s="697"/>
      <c r="AM364" s="85"/>
      <c r="AN364" s="85"/>
      <c r="AO364" s="85"/>
      <c r="AP364" s="85"/>
      <c r="AQ364" s="85"/>
      <c r="AR364" s="85"/>
      <c r="AS364" s="85"/>
      <c r="AT364" s="85"/>
      <c r="AU364" s="85"/>
      <c r="AV364" s="85"/>
    </row>
    <row r="365" spans="1:48" s="12" customFormat="1" ht="11.4" x14ac:dyDescent="0.2">
      <c r="A365" s="85"/>
      <c r="B365" s="85"/>
      <c r="C365" s="687" t="s">
        <v>38</v>
      </c>
      <c r="D365" s="687"/>
      <c r="E365" s="85" t="s">
        <v>35</v>
      </c>
      <c r="F365" s="127"/>
      <c r="G365" s="127"/>
      <c r="H365" s="132"/>
      <c r="I365" s="132"/>
      <c r="J365" s="132"/>
      <c r="K365" s="127"/>
      <c r="L365" s="85"/>
      <c r="M365" s="85"/>
      <c r="N365" s="85"/>
      <c r="O365" s="85"/>
      <c r="P365" s="85"/>
      <c r="Q365" s="85"/>
      <c r="R365" s="85"/>
      <c r="S365" s="85"/>
      <c r="T365" s="85"/>
      <c r="U365" s="72"/>
      <c r="V365" s="72"/>
      <c r="W365" s="72"/>
      <c r="X365" s="72"/>
      <c r="Y365" s="72"/>
      <c r="Z365" s="72"/>
      <c r="AA365" s="72"/>
      <c r="AB365" s="72"/>
      <c r="AC365" s="72"/>
      <c r="AD365" s="72"/>
      <c r="AE365" s="85"/>
      <c r="AF365" s="85"/>
      <c r="AG365" s="85"/>
      <c r="AH365" s="696">
        <v>2E-3</v>
      </c>
      <c r="AI365" s="697"/>
      <c r="AJ365" s="697"/>
      <c r="AK365" s="697"/>
      <c r="AL365" s="697"/>
      <c r="AM365" s="85"/>
      <c r="AN365" s="85"/>
      <c r="AO365" s="85"/>
      <c r="AP365" s="85"/>
      <c r="AQ365" s="85"/>
      <c r="AR365" s="85"/>
      <c r="AS365" s="85"/>
      <c r="AT365" s="85"/>
      <c r="AU365" s="85"/>
      <c r="AV365" s="85"/>
    </row>
    <row r="366" spans="1:48" s="12" customFormat="1" ht="11.4" x14ac:dyDescent="0.2">
      <c r="A366" s="85"/>
      <c r="B366" s="85"/>
      <c r="C366" s="687" t="s">
        <v>38</v>
      </c>
      <c r="D366" s="687"/>
      <c r="E366" s="85" t="s">
        <v>34</v>
      </c>
      <c r="F366" s="85"/>
      <c r="G366" s="85"/>
      <c r="H366" s="135"/>
      <c r="I366" s="85"/>
      <c r="J366" s="134"/>
      <c r="K366" s="85"/>
      <c r="L366" s="85"/>
      <c r="M366" s="85"/>
      <c r="N366" s="85"/>
      <c r="O366" s="85"/>
      <c r="P366" s="85"/>
      <c r="Q366" s="85"/>
      <c r="R366" s="85"/>
      <c r="S366" s="85"/>
      <c r="T366" s="85"/>
      <c r="U366" s="72"/>
      <c r="V366" s="72"/>
      <c r="W366" s="72"/>
      <c r="X366" s="72"/>
      <c r="Y366" s="72"/>
      <c r="Z366" s="72"/>
      <c r="AA366" s="72"/>
      <c r="AB366" s="72"/>
      <c r="AC366" s="72"/>
      <c r="AD366" s="72"/>
      <c r="AE366" s="85"/>
      <c r="AF366" s="85"/>
      <c r="AG366" s="85"/>
      <c r="AH366" s="696">
        <v>0.04</v>
      </c>
      <c r="AI366" s="697"/>
      <c r="AJ366" s="697"/>
      <c r="AK366" s="697"/>
      <c r="AL366" s="697"/>
      <c r="AM366" s="85"/>
      <c r="AN366" s="85"/>
      <c r="AO366" s="85"/>
      <c r="AP366" s="85"/>
      <c r="AQ366" s="85"/>
      <c r="AR366" s="85"/>
      <c r="AS366" s="85"/>
      <c r="AT366" s="85"/>
      <c r="AU366" s="85"/>
      <c r="AV366" s="85"/>
    </row>
    <row r="367" spans="1:48" s="12" customFormat="1" ht="11.4" x14ac:dyDescent="0.2">
      <c r="A367" s="85"/>
      <c r="B367" s="85"/>
      <c r="C367" s="687" t="s">
        <v>38</v>
      </c>
      <c r="D367" s="687"/>
      <c r="E367" s="85" t="s">
        <v>33</v>
      </c>
      <c r="F367" s="85"/>
      <c r="G367" s="85"/>
      <c r="H367" s="135"/>
      <c r="I367" s="85"/>
      <c r="J367" s="134"/>
      <c r="K367" s="85"/>
      <c r="L367" s="85"/>
      <c r="M367" s="85"/>
      <c r="N367" s="85"/>
      <c r="O367" s="85"/>
      <c r="P367" s="85"/>
      <c r="Q367" s="85"/>
      <c r="R367" s="85"/>
      <c r="S367" s="85"/>
      <c r="T367" s="85"/>
      <c r="U367" s="72"/>
      <c r="V367" s="72"/>
      <c r="W367" s="72"/>
      <c r="X367" s="72"/>
      <c r="Y367" s="72"/>
      <c r="Z367" s="72"/>
      <c r="AA367" s="72"/>
      <c r="AB367" s="72"/>
      <c r="AC367" s="72"/>
      <c r="AD367" s="72"/>
      <c r="AE367" s="85"/>
      <c r="AF367" s="85"/>
      <c r="AG367" s="85"/>
      <c r="AH367" s="696">
        <v>0.02</v>
      </c>
      <c r="AI367" s="697"/>
      <c r="AJ367" s="697"/>
      <c r="AK367" s="697"/>
      <c r="AL367" s="697"/>
      <c r="AM367" s="85"/>
      <c r="AN367" s="85"/>
      <c r="AO367" s="85"/>
      <c r="AP367" s="85"/>
      <c r="AQ367" s="85"/>
      <c r="AR367" s="85"/>
      <c r="AS367" s="85"/>
      <c r="AT367" s="85"/>
      <c r="AU367" s="85"/>
      <c r="AV367" s="85"/>
    </row>
    <row r="368" spans="1:48" s="12" customFormat="1" ht="11.4" x14ac:dyDescent="0.2">
      <c r="A368" s="85"/>
      <c r="B368" s="85"/>
      <c r="C368" s="687" t="s">
        <v>38</v>
      </c>
      <c r="D368" s="687"/>
      <c r="E368" s="85" t="s">
        <v>37</v>
      </c>
      <c r="F368" s="85"/>
      <c r="G368" s="85"/>
      <c r="H368" s="135"/>
      <c r="I368" s="85"/>
      <c r="J368" s="134"/>
      <c r="K368" s="85"/>
      <c r="L368" s="85"/>
      <c r="M368" s="85"/>
      <c r="N368" s="85"/>
      <c r="O368" s="85"/>
      <c r="P368" s="85"/>
      <c r="Q368" s="85"/>
      <c r="R368" s="85"/>
      <c r="S368" s="85"/>
      <c r="T368" s="85"/>
      <c r="U368" s="72"/>
      <c r="V368" s="72"/>
      <c r="W368" s="72"/>
      <c r="X368" s="72"/>
      <c r="Y368" s="72"/>
      <c r="Z368" s="72"/>
      <c r="AA368" s="72"/>
      <c r="AB368" s="72"/>
      <c r="AC368" s="72"/>
      <c r="AD368" s="72"/>
      <c r="AE368" s="85"/>
      <c r="AF368" s="85"/>
      <c r="AG368" s="85"/>
      <c r="AH368" s="715">
        <f>+AH369-AH364-AH365-AH366-AH367</f>
        <v>0.16800000000000001</v>
      </c>
      <c r="AI368" s="697"/>
      <c r="AJ368" s="697"/>
      <c r="AK368" s="697"/>
      <c r="AL368" s="697"/>
      <c r="AM368" s="85"/>
      <c r="AN368" s="85"/>
      <c r="AO368" s="85"/>
      <c r="AP368" s="85"/>
      <c r="AQ368" s="85"/>
      <c r="AR368" s="85"/>
      <c r="AS368" s="85"/>
      <c r="AT368" s="85"/>
      <c r="AU368" s="85"/>
      <c r="AV368" s="85"/>
    </row>
    <row r="369" spans="1:49" s="12" customFormat="1" ht="12.6" thickBot="1" x14ac:dyDescent="0.3">
      <c r="A369" s="85"/>
      <c r="B369" s="85"/>
      <c r="C369" s="136" t="s">
        <v>24</v>
      </c>
      <c r="D369" s="137"/>
      <c r="E369" s="137"/>
      <c r="F369" s="137"/>
      <c r="G369" s="137"/>
      <c r="H369" s="138"/>
      <c r="I369" s="137"/>
      <c r="J369" s="139"/>
      <c r="K369" s="137"/>
      <c r="L369" s="137"/>
      <c r="M369" s="137"/>
      <c r="N369" s="137"/>
      <c r="O369" s="137"/>
      <c r="P369" s="137"/>
      <c r="Q369" s="137"/>
      <c r="R369" s="137"/>
      <c r="S369" s="137"/>
      <c r="T369" s="137"/>
      <c r="U369" s="140"/>
      <c r="V369" s="140"/>
      <c r="W369" s="140"/>
      <c r="X369" s="140"/>
      <c r="Y369" s="140"/>
      <c r="Z369" s="140"/>
      <c r="AA369" s="140"/>
      <c r="AB369" s="140"/>
      <c r="AC369" s="140"/>
      <c r="AD369" s="140"/>
      <c r="AE369" s="137"/>
      <c r="AF369" s="137"/>
      <c r="AG369" s="137"/>
      <c r="AH369" s="713">
        <v>0.25</v>
      </c>
      <c r="AI369" s="714"/>
      <c r="AJ369" s="714"/>
      <c r="AK369" s="714"/>
      <c r="AL369" s="714"/>
      <c r="AM369" s="85"/>
      <c r="AN369" s="85"/>
      <c r="AO369" s="85"/>
      <c r="AP369" s="85"/>
      <c r="AQ369" s="85"/>
      <c r="AR369" s="85"/>
      <c r="AS369" s="85"/>
      <c r="AT369" s="85"/>
      <c r="AU369" s="85"/>
      <c r="AV369" s="85"/>
    </row>
    <row r="370" spans="1:49" s="12" customFormat="1" ht="14.25" customHeight="1" thickTop="1" x14ac:dyDescent="0.25">
      <c r="A370" s="85"/>
      <c r="B370" s="85"/>
      <c r="C370" s="127" t="s">
        <v>63</v>
      </c>
      <c r="D370" s="127"/>
      <c r="E370" s="127"/>
      <c r="F370" s="127"/>
      <c r="G370" s="127"/>
      <c r="H370" s="169"/>
      <c r="I370" s="709">
        <f>1-AH369</f>
        <v>0.75</v>
      </c>
      <c r="J370" s="707"/>
      <c r="K370" s="707"/>
      <c r="L370" s="707"/>
      <c r="M370" s="707"/>
      <c r="N370" s="127" t="s">
        <v>7</v>
      </c>
      <c r="O370" s="127"/>
      <c r="P370" s="127"/>
      <c r="Q370" s="127"/>
      <c r="R370" s="127"/>
      <c r="S370" s="127"/>
      <c r="T370" s="127"/>
      <c r="U370" s="126"/>
      <c r="V370" s="126"/>
      <c r="W370" s="126"/>
      <c r="X370" s="126"/>
      <c r="Y370" s="126"/>
      <c r="Z370" s="126"/>
      <c r="AA370" s="126"/>
      <c r="AB370" s="126"/>
      <c r="AC370" s="126"/>
      <c r="AD370" s="126"/>
      <c r="AE370" s="127"/>
      <c r="AF370" s="127"/>
      <c r="AG370" s="127"/>
      <c r="AH370" s="170"/>
      <c r="AI370" s="171"/>
      <c r="AJ370" s="171"/>
      <c r="AK370" s="171"/>
      <c r="AL370" s="171"/>
      <c r="AM370" s="85"/>
      <c r="AN370" s="85"/>
      <c r="AO370" s="85"/>
      <c r="AP370" s="85"/>
      <c r="AQ370" s="85"/>
      <c r="AR370" s="85"/>
      <c r="AS370" s="85"/>
      <c r="AT370" s="85"/>
      <c r="AU370" s="85"/>
      <c r="AV370" s="85"/>
    </row>
    <row r="371" spans="1:49" s="12" customFormat="1" ht="15" customHeight="1" x14ac:dyDescent="0.25">
      <c r="A371" s="85"/>
      <c r="B371" s="85"/>
      <c r="C371" s="127" t="s">
        <v>132</v>
      </c>
      <c r="D371" s="127"/>
      <c r="E371" s="127"/>
      <c r="F371" s="127"/>
      <c r="G371" s="127"/>
      <c r="H371" s="169"/>
      <c r="I371" s="190"/>
      <c r="J371" s="189"/>
      <c r="K371" s="189"/>
      <c r="L371" s="189"/>
      <c r="M371" s="189"/>
      <c r="N371" s="127"/>
      <c r="O371" s="127"/>
      <c r="P371" s="127"/>
      <c r="Q371" s="127"/>
      <c r="R371" s="127"/>
      <c r="S371" s="127"/>
      <c r="T371" s="127"/>
      <c r="U371" s="126"/>
      <c r="V371" s="126"/>
      <c r="W371" s="126"/>
      <c r="X371" s="126"/>
      <c r="Y371" s="126"/>
      <c r="Z371" s="126"/>
      <c r="AA371" s="126"/>
      <c r="AB371" s="126"/>
      <c r="AC371" s="126"/>
      <c r="AD371" s="126"/>
      <c r="AE371" s="127"/>
      <c r="AF371" s="127"/>
      <c r="AG371" s="127"/>
      <c r="AH371" s="170"/>
      <c r="AI371" s="171"/>
      <c r="AJ371" s="171"/>
      <c r="AK371" s="171"/>
      <c r="AL371" s="171"/>
      <c r="AM371" s="85"/>
      <c r="AN371" s="85"/>
      <c r="AO371" s="85"/>
      <c r="AP371" s="85"/>
      <c r="AQ371" s="85"/>
      <c r="AR371" s="85"/>
      <c r="AS371" s="85"/>
      <c r="AT371" s="85"/>
      <c r="AU371" s="85"/>
      <c r="AV371" s="85"/>
    </row>
    <row r="372" spans="1:49" s="127" customFormat="1" ht="15" customHeight="1" x14ac:dyDescent="0.2">
      <c r="C372" s="127" t="s">
        <v>63</v>
      </c>
      <c r="I372" s="709">
        <f>100%-AH369</f>
        <v>0.75</v>
      </c>
      <c r="J372" s="707"/>
      <c r="K372" s="707"/>
      <c r="L372" s="707"/>
      <c r="M372" s="707"/>
      <c r="O372" s="706">
        <f>+AM356</f>
        <v>0</v>
      </c>
      <c r="P372" s="707"/>
      <c r="Q372" s="707"/>
      <c r="R372" s="707"/>
      <c r="S372" s="707"/>
      <c r="T372" s="707"/>
      <c r="U372" s="707"/>
      <c r="V372" s="707"/>
      <c r="W372" s="707"/>
      <c r="X372" s="126"/>
      <c r="Y372" s="126"/>
      <c r="AJ372" s="127" t="s">
        <v>18</v>
      </c>
      <c r="AM372" s="708">
        <f>+I372*O372</f>
        <v>0</v>
      </c>
      <c r="AN372" s="708"/>
      <c r="AO372" s="708"/>
      <c r="AP372" s="708"/>
      <c r="AQ372" s="708"/>
      <c r="AR372" s="708"/>
      <c r="AS372" s="708"/>
      <c r="AT372" s="708"/>
      <c r="AU372" s="708"/>
    </row>
    <row r="373" spans="1:49" s="399" customFormat="1" ht="15" customHeight="1" x14ac:dyDescent="0.25">
      <c r="A373" s="387"/>
      <c r="B373" s="387"/>
      <c r="C373" s="393" t="s">
        <v>97</v>
      </c>
      <c r="D373" s="393"/>
      <c r="E373" s="393"/>
      <c r="F373" s="393"/>
      <c r="G373" s="393"/>
      <c r="H373" s="394"/>
      <c r="I373" s="395"/>
      <c r="J373" s="396"/>
      <c r="K373" s="396"/>
      <c r="L373" s="396"/>
      <c r="M373" s="396"/>
      <c r="N373" s="393"/>
      <c r="O373" s="393"/>
      <c r="P373" s="393"/>
      <c r="Q373" s="393"/>
      <c r="R373" s="393"/>
      <c r="S373" s="393"/>
      <c r="T373" s="393"/>
      <c r="U373" s="393"/>
      <c r="V373" s="393"/>
      <c r="W373" s="393"/>
      <c r="X373" s="393"/>
      <c r="Y373" s="393"/>
      <c r="Z373" s="393"/>
      <c r="AA373" s="393"/>
      <c r="AB373" s="393"/>
      <c r="AC373" s="393"/>
      <c r="AD373" s="393"/>
      <c r="AE373" s="393"/>
      <c r="AF373" s="393"/>
      <c r="AG373" s="393"/>
      <c r="AH373" s="397"/>
      <c r="AI373" s="398"/>
      <c r="AJ373" s="398"/>
      <c r="AK373" s="398"/>
      <c r="AL373" s="398"/>
      <c r="AM373" s="387"/>
      <c r="AN373" s="387"/>
      <c r="AO373" s="387"/>
      <c r="AP373" s="387"/>
      <c r="AQ373" s="387"/>
      <c r="AR373" s="387"/>
      <c r="AS373" s="387"/>
      <c r="AT373" s="387"/>
      <c r="AU373" s="387"/>
      <c r="AV373" s="387"/>
    </row>
    <row r="374" spans="1:49" s="393" customFormat="1" ht="15" customHeight="1" x14ac:dyDescent="0.2">
      <c r="C374" s="393" t="s">
        <v>63</v>
      </c>
      <c r="I374" s="684">
        <f>+I372</f>
        <v>0.75</v>
      </c>
      <c r="J374" s="685"/>
      <c r="K374" s="685"/>
      <c r="L374" s="685"/>
      <c r="M374" s="685"/>
      <c r="O374" s="686">
        <f>+AM357</f>
        <v>0</v>
      </c>
      <c r="P374" s="685"/>
      <c r="Q374" s="685"/>
      <c r="R374" s="685"/>
      <c r="S374" s="685"/>
      <c r="T374" s="685"/>
      <c r="U374" s="685"/>
      <c r="V374" s="685"/>
      <c r="W374" s="685"/>
      <c r="AJ374" s="393" t="s">
        <v>18</v>
      </c>
      <c r="AM374" s="719">
        <f>+I374*O374</f>
        <v>0</v>
      </c>
      <c r="AN374" s="719"/>
      <c r="AO374" s="719"/>
      <c r="AP374" s="719"/>
      <c r="AQ374" s="719"/>
      <c r="AR374" s="719"/>
      <c r="AS374" s="719"/>
      <c r="AT374" s="719"/>
      <c r="AU374" s="719"/>
    </row>
    <row r="375" spans="1:49" s="399" customFormat="1" ht="15" customHeight="1" x14ac:dyDescent="0.25">
      <c r="A375" s="387"/>
      <c r="B375" s="387"/>
      <c r="C375" s="393" t="s">
        <v>110</v>
      </c>
      <c r="D375" s="393"/>
      <c r="E375" s="393"/>
      <c r="F375" s="393"/>
      <c r="G375" s="393"/>
      <c r="H375" s="394"/>
      <c r="I375" s="395"/>
      <c r="J375" s="396"/>
      <c r="K375" s="396"/>
      <c r="L375" s="396"/>
      <c r="M375" s="396"/>
      <c r="N375" s="393"/>
      <c r="O375" s="393"/>
      <c r="P375" s="393"/>
      <c r="Q375" s="393"/>
      <c r="R375" s="393"/>
      <c r="S375" s="393"/>
      <c r="T375" s="393"/>
      <c r="U375" s="393"/>
      <c r="V375" s="393"/>
      <c r="W375" s="393"/>
      <c r="X375" s="393"/>
      <c r="Y375" s="393"/>
      <c r="Z375" s="393"/>
      <c r="AA375" s="393"/>
      <c r="AB375" s="393"/>
      <c r="AC375" s="393"/>
      <c r="AD375" s="393"/>
      <c r="AE375" s="393"/>
      <c r="AF375" s="393"/>
      <c r="AG375" s="393"/>
      <c r="AH375" s="397"/>
      <c r="AI375" s="398"/>
      <c r="AJ375" s="398"/>
      <c r="AK375" s="398"/>
      <c r="AL375" s="398"/>
      <c r="AM375" s="387"/>
      <c r="AN375" s="387"/>
      <c r="AO375" s="387"/>
      <c r="AP375" s="387"/>
      <c r="AQ375" s="387"/>
      <c r="AR375" s="387"/>
      <c r="AS375" s="387"/>
      <c r="AT375" s="387"/>
      <c r="AU375" s="387"/>
      <c r="AV375" s="387"/>
    </row>
    <row r="376" spans="1:49" s="393" customFormat="1" ht="15" customHeight="1" x14ac:dyDescent="0.2">
      <c r="C376" s="393" t="s">
        <v>63</v>
      </c>
      <c r="I376" s="684">
        <f>+I374</f>
        <v>0.75</v>
      </c>
      <c r="J376" s="685"/>
      <c r="K376" s="685"/>
      <c r="L376" s="685"/>
      <c r="M376" s="685"/>
      <c r="O376" s="686">
        <f>+AM358</f>
        <v>0</v>
      </c>
      <c r="P376" s="685"/>
      <c r="Q376" s="685"/>
      <c r="R376" s="685"/>
      <c r="S376" s="685"/>
      <c r="T376" s="685"/>
      <c r="U376" s="685"/>
      <c r="V376" s="685"/>
      <c r="W376" s="685"/>
      <c r="AJ376" s="393" t="s">
        <v>18</v>
      </c>
      <c r="AM376" s="719">
        <f>+I376*O376</f>
        <v>0</v>
      </c>
      <c r="AN376" s="719"/>
      <c r="AO376" s="719"/>
      <c r="AP376" s="719"/>
      <c r="AQ376" s="719"/>
      <c r="AR376" s="719"/>
      <c r="AS376" s="719"/>
      <c r="AT376" s="719"/>
      <c r="AU376" s="719"/>
    </row>
    <row r="377" spans="1:49" s="123" customFormat="1" ht="20.100000000000001" customHeight="1" thickBot="1" x14ac:dyDescent="0.3">
      <c r="A377" s="88"/>
      <c r="B377" s="88"/>
      <c r="C377" s="141" t="s">
        <v>61</v>
      </c>
      <c r="D377" s="142"/>
      <c r="E377" s="142"/>
      <c r="F377" s="142"/>
      <c r="G377" s="142" t="str">
        <f>+C361</f>
        <v>VALOR DE REALIZACIÓN AUTOMÁTICA (VRA)</v>
      </c>
      <c r="H377" s="142"/>
      <c r="I377" s="142"/>
      <c r="J377" s="142"/>
      <c r="K377" s="142"/>
      <c r="L377" s="143"/>
      <c r="M377" s="142"/>
      <c r="N377" s="144"/>
      <c r="O377" s="144"/>
      <c r="P377" s="144"/>
      <c r="Q377" s="144"/>
      <c r="R377" s="144"/>
      <c r="S377" s="144"/>
      <c r="T377" s="144"/>
      <c r="U377" s="144"/>
      <c r="V377" s="144"/>
      <c r="W377" s="144"/>
      <c r="X377" s="144"/>
      <c r="Y377" s="144"/>
      <c r="Z377" s="144"/>
      <c r="AA377" s="144"/>
      <c r="AB377" s="144"/>
      <c r="AC377" s="144"/>
      <c r="AD377" s="144"/>
      <c r="AE377" s="144"/>
      <c r="AF377" s="144"/>
      <c r="AG377" s="144"/>
      <c r="AH377" s="144"/>
      <c r="AI377" s="145"/>
      <c r="AJ377" s="145" t="s">
        <v>18</v>
      </c>
      <c r="AK377" s="702"/>
      <c r="AL377" s="703"/>
      <c r="AM377" s="704">
        <f>SUM(AM372:AU376)</f>
        <v>0</v>
      </c>
      <c r="AN377" s="704"/>
      <c r="AO377" s="704"/>
      <c r="AP377" s="705"/>
      <c r="AQ377" s="705"/>
      <c r="AR377" s="705"/>
      <c r="AS377" s="705"/>
      <c r="AT377" s="705"/>
      <c r="AU377" s="705"/>
      <c r="AV377" s="117"/>
    </row>
    <row r="378" spans="1:49" s="12" customFormat="1" ht="29.1" customHeight="1" x14ac:dyDescent="0.2">
      <c r="A378" s="85"/>
      <c r="B378" s="85"/>
      <c r="C378" s="700" t="e">
        <f t="array" aca="1" ref="C378" ca="1">+CONCATENATE("SON: ",[1]!NumeLetras(AM377,"con","dolares americanos",1))</f>
        <v>#NAME?</v>
      </c>
      <c r="D378" s="700"/>
      <c r="E378" s="700"/>
      <c r="F378" s="700"/>
      <c r="G378" s="700"/>
      <c r="H378" s="700"/>
      <c r="I378" s="700"/>
      <c r="J378" s="700"/>
      <c r="K378" s="700"/>
      <c r="L378" s="700"/>
      <c r="M378" s="700"/>
      <c r="N378" s="700"/>
      <c r="O378" s="700"/>
      <c r="P378" s="700"/>
      <c r="Q378" s="700"/>
      <c r="R378" s="700"/>
      <c r="S378" s="700"/>
      <c r="T378" s="700"/>
      <c r="U378" s="701"/>
      <c r="V378" s="701"/>
      <c r="W378" s="701"/>
      <c r="X378" s="701"/>
      <c r="Y378" s="701"/>
      <c r="Z378" s="701"/>
      <c r="AA378" s="701"/>
      <c r="AB378" s="701"/>
      <c r="AC378" s="701"/>
      <c r="AD378" s="701"/>
      <c r="AE378" s="701"/>
      <c r="AF378" s="701"/>
      <c r="AG378" s="701"/>
      <c r="AH378" s="701"/>
      <c r="AI378" s="701"/>
      <c r="AJ378" s="701"/>
      <c r="AK378" s="701"/>
      <c r="AL378" s="701"/>
      <c r="AM378" s="701"/>
      <c r="AN378" s="701"/>
      <c r="AO378" s="701"/>
      <c r="AP378" s="701"/>
      <c r="AQ378" s="701"/>
      <c r="AR378" s="701"/>
      <c r="AS378" s="701"/>
      <c r="AT378" s="701"/>
      <c r="AU378" s="701"/>
      <c r="AV378" s="701"/>
    </row>
    <row r="379" spans="1:49" s="12" customFormat="1" ht="9.75" customHeight="1" x14ac:dyDescent="0.2">
      <c r="A379" s="85"/>
      <c r="B379" s="85"/>
      <c r="C379" s="320"/>
      <c r="D379" s="320"/>
      <c r="E379" s="320"/>
      <c r="F379" s="320"/>
      <c r="G379" s="320"/>
      <c r="H379" s="320"/>
      <c r="I379" s="320"/>
      <c r="J379" s="320"/>
      <c r="K379" s="320"/>
      <c r="L379" s="320"/>
      <c r="M379" s="320"/>
      <c r="N379" s="320"/>
      <c r="O379" s="320"/>
      <c r="P379" s="320"/>
      <c r="Q379" s="320"/>
      <c r="R379" s="320"/>
      <c r="S379" s="320"/>
      <c r="T379" s="320"/>
      <c r="U379" s="189"/>
      <c r="V379" s="189"/>
      <c r="W379" s="189"/>
      <c r="X379" s="189"/>
      <c r="Y379" s="189"/>
      <c r="Z379" s="189"/>
      <c r="AA379" s="189"/>
      <c r="AB379" s="189"/>
      <c r="AC379" s="189"/>
      <c r="AD379" s="189"/>
      <c r="AE379" s="189"/>
      <c r="AF379" s="189"/>
      <c r="AG379" s="189"/>
      <c r="AH379" s="189"/>
      <c r="AI379" s="189"/>
      <c r="AJ379" s="189"/>
      <c r="AK379" s="189"/>
      <c r="AL379" s="189"/>
      <c r="AM379" s="189"/>
      <c r="AN379" s="189"/>
      <c r="AO379" s="189"/>
      <c r="AP379" s="189"/>
      <c r="AQ379" s="189"/>
      <c r="AR379" s="189"/>
      <c r="AS379" s="189"/>
      <c r="AT379" s="189"/>
      <c r="AU379" s="189"/>
      <c r="AV379" s="189"/>
    </row>
    <row r="380" spans="1:49" s="322" customFormat="1" ht="30" customHeight="1" x14ac:dyDescent="0.25">
      <c r="A380" s="677">
        <f>+A361+1</f>
        <v>3</v>
      </c>
      <c r="B380" s="678"/>
      <c r="C380" s="130" t="s">
        <v>177</v>
      </c>
      <c r="D380" s="129"/>
      <c r="E380" s="129"/>
      <c r="F380" s="129"/>
      <c r="G380" s="129"/>
      <c r="H380" s="129"/>
      <c r="I380" s="129"/>
      <c r="J380" s="129"/>
      <c r="K380" s="129"/>
      <c r="L380" s="129"/>
      <c r="M380" s="367"/>
      <c r="N380" s="129"/>
      <c r="O380" s="129"/>
      <c r="P380" s="129"/>
      <c r="Q380" s="129"/>
      <c r="R380" s="367"/>
      <c r="S380" s="367"/>
      <c r="T380" s="367"/>
      <c r="U380" s="367"/>
      <c r="V380" s="367"/>
      <c r="W380" s="367"/>
      <c r="X380" s="367"/>
      <c r="Y380" s="367"/>
      <c r="Z380" s="367"/>
      <c r="AA380" s="367"/>
      <c r="AB380" s="367"/>
      <c r="AC380" s="367"/>
      <c r="AD380" s="367"/>
      <c r="AE380" s="367"/>
      <c r="AF380" s="367"/>
      <c r="AG380" s="129"/>
      <c r="AH380" s="129"/>
      <c r="AI380" s="129"/>
      <c r="AJ380" s="129"/>
      <c r="AK380" s="129"/>
      <c r="AL380" s="129"/>
      <c r="AM380" s="129"/>
      <c r="AN380" s="129"/>
      <c r="AO380" s="129"/>
      <c r="AP380" s="129"/>
      <c r="AQ380" s="129"/>
      <c r="AR380" s="129"/>
      <c r="AS380" s="129"/>
      <c r="AT380" s="129"/>
      <c r="AU380" s="129"/>
      <c r="AV380" s="129"/>
      <c r="AW380" s="321"/>
    </row>
    <row r="381" spans="1:49" s="187" customFormat="1" x14ac:dyDescent="0.25">
      <c r="A381" s="85"/>
      <c r="B381" s="85"/>
      <c r="C381" s="693" t="s">
        <v>46</v>
      </c>
      <c r="D381" s="694"/>
      <c r="E381" s="158" t="str">
        <f>+C282</f>
        <v>VALOR DE RECONSTRUCCION DE LA EDIFICACIÓN</v>
      </c>
      <c r="F381" s="85"/>
      <c r="G381" s="85"/>
      <c r="H381" s="85"/>
      <c r="I381" s="85"/>
      <c r="J381" s="85"/>
      <c r="K381" s="85"/>
      <c r="L381" s="86"/>
      <c r="M381" s="85"/>
      <c r="N381" s="87"/>
      <c r="O381" s="87"/>
      <c r="P381" s="85"/>
      <c r="Q381" s="85"/>
      <c r="R381" s="85"/>
      <c r="S381" s="85"/>
      <c r="T381" s="85"/>
      <c r="U381" s="72"/>
      <c r="V381" s="72"/>
      <c r="W381" s="72"/>
      <c r="X381" s="72"/>
      <c r="Y381" s="72"/>
      <c r="Z381" s="72"/>
      <c r="AA381" s="72"/>
      <c r="AB381" s="72"/>
      <c r="AC381" s="72"/>
      <c r="AD381" s="72"/>
      <c r="AE381" s="85"/>
      <c r="AF381" s="85"/>
      <c r="AG381" s="85"/>
      <c r="AH381" s="86"/>
      <c r="AI381" s="85"/>
      <c r="AJ381" s="86" t="s">
        <v>18</v>
      </c>
      <c r="AK381" s="695"/>
      <c r="AL381" s="695"/>
      <c r="AM381" s="769">
        <f>+AO282</f>
        <v>0</v>
      </c>
      <c r="AN381" s="769"/>
      <c r="AO381" s="769"/>
      <c r="AP381" s="694"/>
      <c r="AQ381" s="694"/>
      <c r="AR381" s="694"/>
      <c r="AS381" s="694"/>
      <c r="AT381" s="694"/>
      <c r="AU381" s="694"/>
      <c r="AV381" s="85"/>
    </row>
    <row r="382" spans="1:49" s="187" customFormat="1" x14ac:dyDescent="0.25">
      <c r="A382" s="85"/>
      <c r="B382" s="85"/>
      <c r="C382" s="157" t="s">
        <v>47</v>
      </c>
      <c r="D382" s="107"/>
      <c r="E382" s="158" t="str">
        <f>+C283</f>
        <v>VALOR DE RECONSTRUCCION DE LAS ÁREAS COMUNES</v>
      </c>
      <c r="F382" s="85"/>
      <c r="G382" s="85"/>
      <c r="H382" s="85"/>
      <c r="I382" s="85"/>
      <c r="J382" s="85"/>
      <c r="K382" s="85"/>
      <c r="L382" s="86"/>
      <c r="M382" s="85"/>
      <c r="N382" s="87"/>
      <c r="O382" s="87"/>
      <c r="P382" s="85"/>
      <c r="Q382" s="85"/>
      <c r="R382" s="85"/>
      <c r="S382" s="85"/>
      <c r="T382" s="85"/>
      <c r="U382" s="72"/>
      <c r="V382" s="72"/>
      <c r="W382" s="72"/>
      <c r="X382" s="72"/>
      <c r="Y382" s="72"/>
      <c r="Z382" s="72"/>
      <c r="AA382" s="72"/>
      <c r="AB382" s="72"/>
      <c r="AC382" s="72"/>
      <c r="AD382" s="72"/>
      <c r="AE382" s="85"/>
      <c r="AF382" s="85"/>
      <c r="AG382" s="85"/>
      <c r="AH382" s="86"/>
      <c r="AI382" s="85"/>
      <c r="AJ382" s="86" t="s">
        <v>18</v>
      </c>
      <c r="AK382" s="695"/>
      <c r="AL382" s="695"/>
      <c r="AM382" s="769">
        <f>+AO285</f>
        <v>0</v>
      </c>
      <c r="AN382" s="769"/>
      <c r="AO382" s="769"/>
      <c r="AP382" s="694"/>
      <c r="AQ382" s="694"/>
      <c r="AR382" s="694"/>
      <c r="AS382" s="694"/>
      <c r="AT382" s="694"/>
      <c r="AU382" s="694"/>
      <c r="AV382" s="85"/>
    </row>
    <row r="383" spans="1:49" s="187" customFormat="1" ht="15" customHeight="1" x14ac:dyDescent="0.3">
      <c r="A383" s="85"/>
      <c r="B383" s="85"/>
      <c r="C383" s="693" t="s">
        <v>1</v>
      </c>
      <c r="D383" s="694"/>
      <c r="E383" s="368" t="str">
        <f>+C286</f>
        <v>VALOR DE RECONSTRUCCION DE LAS OBRAS COMPLEMENTARIAS</v>
      </c>
      <c r="F383" s="85"/>
      <c r="G383" s="85"/>
      <c r="H383" s="85"/>
      <c r="I383" s="85"/>
      <c r="J383" s="85"/>
      <c r="K383" s="85"/>
      <c r="L383" s="85"/>
      <c r="M383" s="85"/>
      <c r="N383" s="85"/>
      <c r="O383" s="85"/>
      <c r="P383" s="85"/>
      <c r="Q383" s="85"/>
      <c r="R383" s="85"/>
      <c r="S383" s="85"/>
      <c r="T383" s="85"/>
      <c r="U383" s="72"/>
      <c r="V383" s="72"/>
      <c r="W383" s="72"/>
      <c r="X383" s="72"/>
      <c r="Y383" s="72"/>
      <c r="Z383" s="72"/>
      <c r="AA383" s="72"/>
      <c r="AB383" s="72"/>
      <c r="AC383" s="72"/>
      <c r="AD383" s="72"/>
      <c r="AE383" s="85"/>
      <c r="AF383" s="85"/>
      <c r="AG383" s="85"/>
      <c r="AH383" s="86"/>
      <c r="AI383" s="85"/>
      <c r="AJ383" s="86" t="s">
        <v>18</v>
      </c>
      <c r="AK383" s="695"/>
      <c r="AL383" s="695"/>
      <c r="AM383" s="771">
        <f>+AQ295</f>
        <v>0</v>
      </c>
      <c r="AN383" s="771"/>
      <c r="AO383" s="771"/>
      <c r="AP383" s="772"/>
      <c r="AQ383" s="772"/>
      <c r="AR383" s="772"/>
      <c r="AS383" s="772"/>
      <c r="AT383" s="772"/>
      <c r="AU383" s="772"/>
      <c r="AV383" s="85"/>
    </row>
    <row r="384" spans="1:49" s="262" customFormat="1" ht="15" customHeight="1" x14ac:dyDescent="0.25">
      <c r="A384" s="387"/>
      <c r="B384" s="387"/>
      <c r="C384" s="880"/>
      <c r="D384" s="881"/>
      <c r="E384" s="390" t="s">
        <v>179</v>
      </c>
      <c r="F384" s="387"/>
      <c r="G384" s="387"/>
      <c r="H384" s="387"/>
      <c r="I384" s="387"/>
      <c r="J384" s="387"/>
      <c r="K384" s="387"/>
      <c r="L384" s="387"/>
      <c r="M384" s="387"/>
      <c r="N384" s="387"/>
      <c r="O384" s="387"/>
      <c r="P384" s="387"/>
      <c r="Q384" s="387"/>
      <c r="R384" s="387"/>
      <c r="S384" s="387"/>
      <c r="T384" s="387"/>
      <c r="U384" s="387"/>
      <c r="V384" s="387"/>
      <c r="W384" s="387"/>
      <c r="X384" s="387"/>
      <c r="Y384" s="387"/>
      <c r="Z384" s="387"/>
      <c r="AA384" s="387"/>
      <c r="AB384" s="387"/>
      <c r="AC384" s="387"/>
      <c r="AD384" s="387"/>
      <c r="AE384" s="387"/>
      <c r="AF384" s="387"/>
      <c r="AG384" s="387"/>
      <c r="AH384" s="391"/>
      <c r="AI384" s="387"/>
      <c r="AJ384" s="391" t="s">
        <v>18</v>
      </c>
      <c r="AK384" s="720"/>
      <c r="AL384" s="720"/>
      <c r="AM384" s="882">
        <f>SUM(AM381:AU383)</f>
        <v>0</v>
      </c>
      <c r="AN384" s="882"/>
      <c r="AO384" s="882"/>
      <c r="AP384" s="881"/>
      <c r="AQ384" s="881"/>
      <c r="AR384" s="881"/>
      <c r="AS384" s="881"/>
      <c r="AT384" s="881"/>
      <c r="AU384" s="881"/>
      <c r="AV384" s="387"/>
    </row>
    <row r="385" spans="1:48" s="262" customFormat="1" ht="15" customHeight="1" x14ac:dyDescent="0.3">
      <c r="A385" s="387"/>
      <c r="B385" s="387"/>
      <c r="C385" s="880" t="s">
        <v>9</v>
      </c>
      <c r="D385" s="881"/>
      <c r="E385" s="400" t="str">
        <f>+C296</f>
        <v>VALOR DE RECONSTRUCCION DEL ESTACIONAMIENTO Nº</v>
      </c>
      <c r="F385" s="387"/>
      <c r="G385" s="387"/>
      <c r="H385" s="387"/>
      <c r="I385" s="387"/>
      <c r="J385" s="387"/>
      <c r="K385" s="387"/>
      <c r="L385" s="387"/>
      <c r="M385" s="387"/>
      <c r="N385" s="387"/>
      <c r="O385" s="387"/>
      <c r="P385" s="387"/>
      <c r="Q385" s="387"/>
      <c r="R385" s="387"/>
      <c r="S385" s="387"/>
      <c r="T385" s="387"/>
      <c r="U385" s="387"/>
      <c r="V385" s="387"/>
      <c r="W385" s="387"/>
      <c r="X385" s="387"/>
      <c r="Y385" s="387"/>
      <c r="Z385" s="387"/>
      <c r="AA385" s="387"/>
      <c r="AB385" s="387"/>
      <c r="AC385" s="387"/>
      <c r="AD385" s="387"/>
      <c r="AE385" s="387"/>
      <c r="AF385" s="387"/>
      <c r="AG385" s="387"/>
      <c r="AH385" s="391"/>
      <c r="AI385" s="387"/>
      <c r="AJ385" s="391" t="s">
        <v>18</v>
      </c>
      <c r="AK385" s="720"/>
      <c r="AL385" s="720"/>
      <c r="AM385" s="882">
        <f>+AO305</f>
        <v>0</v>
      </c>
      <c r="AN385" s="882"/>
      <c r="AO385" s="882"/>
      <c r="AP385" s="881"/>
      <c r="AQ385" s="881"/>
      <c r="AR385" s="881"/>
      <c r="AS385" s="881"/>
      <c r="AT385" s="881"/>
      <c r="AU385" s="881"/>
      <c r="AV385" s="387"/>
    </row>
    <row r="386" spans="1:48" s="262" customFormat="1" ht="15" customHeight="1" x14ac:dyDescent="0.25">
      <c r="A386" s="387"/>
      <c r="B386" s="387"/>
      <c r="C386" s="880" t="s">
        <v>96</v>
      </c>
      <c r="D386" s="881"/>
      <c r="E386" s="390" t="str">
        <f>+C306</f>
        <v>VALOR DE RECONSTRUCCION DEL DEPOSITO Nº</v>
      </c>
      <c r="F386" s="387"/>
      <c r="G386" s="387"/>
      <c r="H386" s="387"/>
      <c r="I386" s="387"/>
      <c r="J386" s="387"/>
      <c r="K386" s="387"/>
      <c r="L386" s="387"/>
      <c r="M386" s="387"/>
      <c r="N386" s="387"/>
      <c r="O386" s="387"/>
      <c r="P386" s="387"/>
      <c r="Q386" s="387"/>
      <c r="R386" s="387"/>
      <c r="S386" s="387"/>
      <c r="T386" s="387"/>
      <c r="U386" s="387"/>
      <c r="V386" s="387"/>
      <c r="W386" s="387"/>
      <c r="X386" s="387"/>
      <c r="Y386" s="387"/>
      <c r="Z386" s="387"/>
      <c r="AA386" s="387"/>
      <c r="AB386" s="387"/>
      <c r="AC386" s="387"/>
      <c r="AD386" s="387"/>
      <c r="AE386" s="387"/>
      <c r="AF386" s="387"/>
      <c r="AG386" s="387"/>
      <c r="AH386" s="391"/>
      <c r="AI386" s="387"/>
      <c r="AJ386" s="391" t="s">
        <v>18</v>
      </c>
      <c r="AK386" s="720"/>
      <c r="AL386" s="720"/>
      <c r="AM386" s="882">
        <f>+AO315</f>
        <v>0</v>
      </c>
      <c r="AN386" s="882"/>
      <c r="AO386" s="882"/>
      <c r="AP386" s="881"/>
      <c r="AQ386" s="881"/>
      <c r="AR386" s="881"/>
      <c r="AS386" s="881"/>
      <c r="AT386" s="881"/>
      <c r="AU386" s="881"/>
      <c r="AV386" s="387"/>
    </row>
    <row r="387" spans="1:48" s="23" customFormat="1" ht="20.100000000000001" customHeight="1" thickBot="1" x14ac:dyDescent="0.3">
      <c r="A387" s="88"/>
      <c r="B387" s="88"/>
      <c r="C387" s="323" t="s">
        <v>177</v>
      </c>
      <c r="D387" s="324"/>
      <c r="E387" s="324"/>
      <c r="F387" s="324"/>
      <c r="G387" s="325"/>
      <c r="H387" s="324"/>
      <c r="I387" s="324"/>
      <c r="J387" s="324"/>
      <c r="K387" s="324"/>
      <c r="L387" s="326"/>
      <c r="M387" s="324"/>
      <c r="N387" s="327"/>
      <c r="O387" s="327"/>
      <c r="P387" s="324"/>
      <c r="Q387" s="324"/>
      <c r="R387" s="324"/>
      <c r="S387" s="324"/>
      <c r="T387" s="324"/>
      <c r="U387" s="324"/>
      <c r="V387" s="324"/>
      <c r="W387" s="324"/>
      <c r="X387" s="324"/>
      <c r="Y387" s="324"/>
      <c r="Z387" s="324"/>
      <c r="AA387" s="324"/>
      <c r="AB387" s="324"/>
      <c r="AC387" s="324"/>
      <c r="AD387" s="324"/>
      <c r="AE387" s="324"/>
      <c r="AF387" s="324"/>
      <c r="AG387" s="324"/>
      <c r="AH387" s="326"/>
      <c r="AI387" s="324"/>
      <c r="AJ387" s="326" t="s">
        <v>18</v>
      </c>
      <c r="AK387" s="886"/>
      <c r="AL387" s="886"/>
      <c r="AM387" s="887">
        <f>SUM(AM384:AU386)</f>
        <v>0</v>
      </c>
      <c r="AN387" s="887"/>
      <c r="AO387" s="887"/>
      <c r="AP387" s="888"/>
      <c r="AQ387" s="888"/>
      <c r="AR387" s="888"/>
      <c r="AS387" s="888"/>
      <c r="AT387" s="888"/>
      <c r="AU387" s="888"/>
      <c r="AV387" s="328"/>
    </row>
    <row r="388" spans="1:48" s="187" customFormat="1" ht="29.25" customHeight="1" x14ac:dyDescent="0.25">
      <c r="A388" s="85"/>
      <c r="B388" s="85"/>
      <c r="C388" s="883" t="e">
        <f ca="1">+CONCATENATE("SON: ",[2]!NumeLetras(AM387,"con","dolares americanos",1))</f>
        <v>#NAME?</v>
      </c>
      <c r="D388" s="883"/>
      <c r="E388" s="883"/>
      <c r="F388" s="883"/>
      <c r="G388" s="883"/>
      <c r="H388" s="883"/>
      <c r="I388" s="883"/>
      <c r="J388" s="883"/>
      <c r="K388" s="883"/>
      <c r="L388" s="883"/>
      <c r="M388" s="883"/>
      <c r="N388" s="883"/>
      <c r="O388" s="883"/>
      <c r="P388" s="883"/>
      <c r="Q388" s="883"/>
      <c r="R388" s="883"/>
      <c r="S388" s="883"/>
      <c r="T388" s="883"/>
      <c r="U388" s="707"/>
      <c r="V388" s="707"/>
      <c r="W388" s="707"/>
      <c r="X388" s="707"/>
      <c r="Y388" s="707"/>
      <c r="Z388" s="707"/>
      <c r="AA388" s="707"/>
      <c r="AB388" s="707"/>
      <c r="AC388" s="707"/>
      <c r="AD388" s="707"/>
      <c r="AE388" s="707"/>
      <c r="AF388" s="707"/>
      <c r="AG388" s="707"/>
      <c r="AH388" s="707"/>
      <c r="AI388" s="707"/>
      <c r="AJ388" s="707"/>
      <c r="AK388" s="707"/>
      <c r="AL388" s="707"/>
      <c r="AM388" s="707"/>
      <c r="AN388" s="707"/>
      <c r="AO388" s="707"/>
      <c r="AP388" s="707"/>
      <c r="AQ388" s="707"/>
      <c r="AR388" s="707"/>
      <c r="AS388" s="707"/>
      <c r="AT388" s="707"/>
      <c r="AU388" s="707"/>
      <c r="AV388" s="707"/>
    </row>
    <row r="389" spans="1:48" s="187" customFormat="1" ht="12.75" customHeight="1" x14ac:dyDescent="0.25">
      <c r="U389" s="193"/>
      <c r="V389" s="193"/>
      <c r="W389" s="193"/>
      <c r="X389" s="193"/>
      <c r="Y389" s="193"/>
      <c r="Z389" s="193"/>
      <c r="AA389" s="193"/>
      <c r="AB389" s="193"/>
      <c r="AC389" s="193"/>
      <c r="AD389" s="193"/>
    </row>
    <row r="390" spans="1:48" s="29" customFormat="1" ht="39.9" customHeight="1" x14ac:dyDescent="0.25">
      <c r="C390" s="29" t="s">
        <v>25</v>
      </c>
      <c r="F390" s="698">
        <f>+V61</f>
        <v>0</v>
      </c>
      <c r="G390" s="699"/>
      <c r="H390" s="699"/>
      <c r="I390" s="699"/>
      <c r="J390" s="699"/>
      <c r="K390" s="699"/>
      <c r="L390" s="699"/>
      <c r="M390" s="699"/>
      <c r="N390" s="635"/>
      <c r="O390" s="635"/>
      <c r="P390" s="635"/>
      <c r="Q390" s="635"/>
      <c r="R390" s="635"/>
      <c r="S390" s="635"/>
      <c r="T390" s="635"/>
      <c r="U390" s="635"/>
      <c r="V390" s="635"/>
      <c r="W390" s="635"/>
      <c r="X390" s="635"/>
      <c r="Y390" s="635"/>
      <c r="Z390" s="635"/>
      <c r="AA390" s="635"/>
      <c r="AB390" s="635"/>
      <c r="AC390" s="635"/>
      <c r="AD390" s="635"/>
      <c r="AE390" s="635"/>
      <c r="AF390" s="635"/>
      <c r="AG390" s="635"/>
      <c r="AH390" s="635"/>
      <c r="AI390" s="635"/>
      <c r="AJ390" s="635"/>
      <c r="AK390" s="635"/>
      <c r="AL390" s="635"/>
      <c r="AM390" s="635"/>
      <c r="AN390" s="635"/>
      <c r="AO390" s="635"/>
      <c r="AP390" s="635"/>
      <c r="AQ390" s="635"/>
      <c r="AR390" s="635"/>
      <c r="AS390" s="635"/>
      <c r="AT390" s="635"/>
      <c r="AU390" s="635"/>
      <c r="AV390" s="635"/>
    </row>
    <row r="391" spans="1:48" ht="66.75" customHeight="1" x14ac:dyDescent="0.25"/>
    <row r="392" spans="1:48" x14ac:dyDescent="0.25"/>
    <row r="393" spans="1:48" x14ac:dyDescent="0.25"/>
    <row r="394" spans="1:48" x14ac:dyDescent="0.25"/>
    <row r="395" spans="1:48" x14ac:dyDescent="0.25"/>
    <row r="396" spans="1:48" x14ac:dyDescent="0.25"/>
    <row r="397" spans="1:48" x14ac:dyDescent="0.25"/>
    <row r="398" spans="1:48" x14ac:dyDescent="0.25"/>
    <row r="399" spans="1:48" x14ac:dyDescent="0.25"/>
    <row r="400" spans="1:48"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sheetData>
  <mergeCells count="701">
    <mergeCell ref="C162:D162"/>
    <mergeCell ref="E162:T162"/>
    <mergeCell ref="U162:AA162"/>
    <mergeCell ref="AB162:AF162"/>
    <mergeCell ref="AI162:AM162"/>
    <mergeCell ref="AP162:AT162"/>
    <mergeCell ref="U161:AA161"/>
    <mergeCell ref="AB165:AF165"/>
    <mergeCell ref="AI165:AM165"/>
    <mergeCell ref="AP165:AT165"/>
    <mergeCell ref="AI163:AM163"/>
    <mergeCell ref="AP163:AT163"/>
    <mergeCell ref="U164:AA164"/>
    <mergeCell ref="AB164:AF164"/>
    <mergeCell ref="AI164:AM164"/>
    <mergeCell ref="AP164:AT164"/>
    <mergeCell ref="C160:D160"/>
    <mergeCell ref="E160:T160"/>
    <mergeCell ref="U160:AA160"/>
    <mergeCell ref="AB160:AF160"/>
    <mergeCell ref="AI160:AM160"/>
    <mergeCell ref="AP160:AT160"/>
    <mergeCell ref="AB161:AF161"/>
    <mergeCell ref="AI161:AM161"/>
    <mergeCell ref="AP161:AT161"/>
    <mergeCell ref="C158:D158"/>
    <mergeCell ref="E158:T158"/>
    <mergeCell ref="U158:AA158"/>
    <mergeCell ref="AB158:AF158"/>
    <mergeCell ref="AI158:AM158"/>
    <mergeCell ref="AP158:AT158"/>
    <mergeCell ref="C159:D159"/>
    <mergeCell ref="E159:T159"/>
    <mergeCell ref="U159:AA159"/>
    <mergeCell ref="AB159:AF159"/>
    <mergeCell ref="AI159:AM159"/>
    <mergeCell ref="AP159:AT159"/>
    <mergeCell ref="AI156:AM156"/>
    <mergeCell ref="AP156:AT156"/>
    <mergeCell ref="C157:D157"/>
    <mergeCell ref="E157:T157"/>
    <mergeCell ref="U157:AA157"/>
    <mergeCell ref="AB157:AF157"/>
    <mergeCell ref="AI157:AM157"/>
    <mergeCell ref="AP157:AT157"/>
    <mergeCell ref="C156:D156"/>
    <mergeCell ref="E156:T156"/>
    <mergeCell ref="C154:D154"/>
    <mergeCell ref="E154:T154"/>
    <mergeCell ref="U154:AA154"/>
    <mergeCell ref="AB154:AF154"/>
    <mergeCell ref="AI154:AM154"/>
    <mergeCell ref="AP154:AT154"/>
    <mergeCell ref="C155:D155"/>
    <mergeCell ref="E155:T155"/>
    <mergeCell ref="U155:AA155"/>
    <mergeCell ref="AB155:AF155"/>
    <mergeCell ref="AI155:AM155"/>
    <mergeCell ref="AP155:AT155"/>
    <mergeCell ref="C152:D152"/>
    <mergeCell ref="E152:T152"/>
    <mergeCell ref="U152:AA152"/>
    <mergeCell ref="AB152:AF152"/>
    <mergeCell ref="AI152:AM152"/>
    <mergeCell ref="AP152:AT152"/>
    <mergeCell ref="C153:D153"/>
    <mergeCell ref="E153:T153"/>
    <mergeCell ref="U153:AA153"/>
    <mergeCell ref="AB153:AF153"/>
    <mergeCell ref="AI153:AM153"/>
    <mergeCell ref="AP153:AT153"/>
    <mergeCell ref="AB150:AF150"/>
    <mergeCell ref="AI150:AM150"/>
    <mergeCell ref="AP150:AT150"/>
    <mergeCell ref="U149:AA149"/>
    <mergeCell ref="AB149:AF149"/>
    <mergeCell ref="C151:D151"/>
    <mergeCell ref="E151:T151"/>
    <mergeCell ref="U151:AA151"/>
    <mergeCell ref="AB151:AF151"/>
    <mergeCell ref="AI151:AM151"/>
    <mergeCell ref="AP151:AT151"/>
    <mergeCell ref="AP147:AT147"/>
    <mergeCell ref="C148:D148"/>
    <mergeCell ref="E148:T148"/>
    <mergeCell ref="U148:AA148"/>
    <mergeCell ref="AB148:AF148"/>
    <mergeCell ref="AI148:AM148"/>
    <mergeCell ref="AP148:AT148"/>
    <mergeCell ref="AI149:AM149"/>
    <mergeCell ref="AP149:AT149"/>
    <mergeCell ref="AP144:AT144"/>
    <mergeCell ref="C145:D145"/>
    <mergeCell ref="E145:T145"/>
    <mergeCell ref="U145:AA145"/>
    <mergeCell ref="AB145:AF145"/>
    <mergeCell ref="AI145:AM145"/>
    <mergeCell ref="AP145:AT145"/>
    <mergeCell ref="C146:D146"/>
    <mergeCell ref="E146:T146"/>
    <mergeCell ref="U146:AA146"/>
    <mergeCell ref="AB146:AF146"/>
    <mergeCell ref="AI146:AM146"/>
    <mergeCell ref="AP146:AT146"/>
    <mergeCell ref="C116:E116"/>
    <mergeCell ref="F116:Q116"/>
    <mergeCell ref="R116:X116"/>
    <mergeCell ref="Z116:AB116"/>
    <mergeCell ref="AC116:AN116"/>
    <mergeCell ref="AO116:AV116"/>
    <mergeCell ref="U156:AA156"/>
    <mergeCell ref="AB156:AF156"/>
    <mergeCell ref="U165:AA165"/>
    <mergeCell ref="C163:D163"/>
    <mergeCell ref="E163:T163"/>
    <mergeCell ref="U163:AA163"/>
    <mergeCell ref="AB163:AF163"/>
    <mergeCell ref="E142:T142"/>
    <mergeCell ref="U142:AA142"/>
    <mergeCell ref="AB142:AH142"/>
    <mergeCell ref="AI142:AO142"/>
    <mergeCell ref="AP142:AV142"/>
    <mergeCell ref="C143:D143"/>
    <mergeCell ref="E143:T143"/>
    <mergeCell ref="U143:AA143"/>
    <mergeCell ref="AB143:AF143"/>
    <mergeCell ref="AI143:AM143"/>
    <mergeCell ref="AP143:AT143"/>
    <mergeCell ref="AC114:AN114"/>
    <mergeCell ref="AO114:AV114"/>
    <mergeCell ref="C115:E115"/>
    <mergeCell ref="F115:Q115"/>
    <mergeCell ref="R115:X115"/>
    <mergeCell ref="Z115:AB115"/>
    <mergeCell ref="AC115:AN115"/>
    <mergeCell ref="AO115:AV115"/>
    <mergeCell ref="C114:E114"/>
    <mergeCell ref="F114:Q114"/>
    <mergeCell ref="C112:E112"/>
    <mergeCell ref="F112:Q112"/>
    <mergeCell ref="R112:X112"/>
    <mergeCell ref="Z112:AB112"/>
    <mergeCell ref="AC112:AN112"/>
    <mergeCell ref="AO112:AV112"/>
    <mergeCell ref="C113:E113"/>
    <mergeCell ref="F113:Q113"/>
    <mergeCell ref="R113:X113"/>
    <mergeCell ref="Z113:AB113"/>
    <mergeCell ref="AC113:AN113"/>
    <mergeCell ref="AO113:AV113"/>
    <mergeCell ref="AC109:AN109"/>
    <mergeCell ref="AO109:AV109"/>
    <mergeCell ref="AC110:AN110"/>
    <mergeCell ref="AO110:AV110"/>
    <mergeCell ref="C111:E111"/>
    <mergeCell ref="F111:Q111"/>
    <mergeCell ref="R111:X111"/>
    <mergeCell ref="Z111:AB111"/>
    <mergeCell ref="AC111:AN111"/>
    <mergeCell ref="AO111:AV111"/>
    <mergeCell ref="M104:N104"/>
    <mergeCell ref="C223:AV223"/>
    <mergeCell ref="C222:Q222"/>
    <mergeCell ref="R222:T222"/>
    <mergeCell ref="AA220:AC220"/>
    <mergeCell ref="R221:T221"/>
    <mergeCell ref="AA222:AC222"/>
    <mergeCell ref="C168:AL169"/>
    <mergeCell ref="C219:AV219"/>
    <mergeCell ref="C192:AV192"/>
    <mergeCell ref="X222:Z222"/>
    <mergeCell ref="R220:T220"/>
    <mergeCell ref="U220:W220"/>
    <mergeCell ref="R114:X114"/>
    <mergeCell ref="Z114:AB114"/>
    <mergeCell ref="C108:AV108"/>
    <mergeCell ref="C110:E110"/>
    <mergeCell ref="F110:Q110"/>
    <mergeCell ref="R110:X110"/>
    <mergeCell ref="Z110:AB110"/>
    <mergeCell ref="C109:E109"/>
    <mergeCell ref="F109:Q109"/>
    <mergeCell ref="R109:X109"/>
    <mergeCell ref="Z109:AB109"/>
    <mergeCell ref="N277:S277"/>
    <mergeCell ref="AA277:AD277"/>
    <mergeCell ref="N248:S248"/>
    <mergeCell ref="X224:Z224"/>
    <mergeCell ref="C225:AV236"/>
    <mergeCell ref="AI222:AM222"/>
    <mergeCell ref="R328:T328"/>
    <mergeCell ref="U328:W328"/>
    <mergeCell ref="X328:Z328"/>
    <mergeCell ref="AA328:AC328"/>
    <mergeCell ref="AD328:AH328"/>
    <mergeCell ref="AF289:AJ289"/>
    <mergeCell ref="C289:T289"/>
    <mergeCell ref="C292:T292"/>
    <mergeCell ref="U292:X292"/>
    <mergeCell ref="Y292:Z292"/>
    <mergeCell ref="C224:Q224"/>
    <mergeCell ref="R224:T224"/>
    <mergeCell ref="U224:W224"/>
    <mergeCell ref="AA289:AE289"/>
    <mergeCell ref="AA224:AC224"/>
    <mergeCell ref="U291:X291"/>
    <mergeCell ref="C288:T288"/>
    <mergeCell ref="U288:Z288"/>
    <mergeCell ref="AO96:AS96"/>
    <mergeCell ref="C139:AV139"/>
    <mergeCell ref="AK387:AL387"/>
    <mergeCell ref="AM387:AU387"/>
    <mergeCell ref="AA281:AD281"/>
    <mergeCell ref="AO281:AV281"/>
    <mergeCell ref="C291:T291"/>
    <mergeCell ref="AK383:AL383"/>
    <mergeCell ref="AA292:AE292"/>
    <mergeCell ref="AF292:AJ292"/>
    <mergeCell ref="AM102:AN102"/>
    <mergeCell ref="AN328:AR328"/>
    <mergeCell ref="C327:AV327"/>
    <mergeCell ref="C328:Q328"/>
    <mergeCell ref="AM169:AQ169"/>
    <mergeCell ref="AR169:AV169"/>
    <mergeCell ref="AO305:AV305"/>
    <mergeCell ref="C304:H304"/>
    <mergeCell ref="O304:V304"/>
    <mergeCell ref="AB304:AE304"/>
    <mergeCell ref="M100:N100"/>
    <mergeCell ref="W102:X102"/>
    <mergeCell ref="M102:N102"/>
    <mergeCell ref="AD102:AE102"/>
    <mergeCell ref="AO315:AV315"/>
    <mergeCell ref="AM357:AU357"/>
    <mergeCell ref="AK351:AL351"/>
    <mergeCell ref="AB347:AF347"/>
    <mergeCell ref="C320:AV320"/>
    <mergeCell ref="C322:Q322"/>
    <mergeCell ref="C388:AV388"/>
    <mergeCell ref="C316:AV316"/>
    <mergeCell ref="C386:D386"/>
    <mergeCell ref="AK386:AL386"/>
    <mergeCell ref="AM386:AU386"/>
    <mergeCell ref="AS328:AV328"/>
    <mergeCell ref="C385:D385"/>
    <mergeCell ref="AK385:AL385"/>
    <mergeCell ref="AM385:AU385"/>
    <mergeCell ref="C383:D383"/>
    <mergeCell ref="C323:AV323"/>
    <mergeCell ref="A380:B380"/>
    <mergeCell ref="C381:D381"/>
    <mergeCell ref="AK381:AL381"/>
    <mergeCell ref="AM381:AU381"/>
    <mergeCell ref="AK382:AL382"/>
    <mergeCell ref="AM382:AU382"/>
    <mergeCell ref="AM383:AU383"/>
    <mergeCell ref="C384:D384"/>
    <mergeCell ref="AK384:AL384"/>
    <mergeCell ref="AM384:AU384"/>
    <mergeCell ref="C311:H311"/>
    <mergeCell ref="O311:T311"/>
    <mergeCell ref="AB311:AE311"/>
    <mergeCell ref="AP311:AV311"/>
    <mergeCell ref="AP312:AV312"/>
    <mergeCell ref="C314:H314"/>
    <mergeCell ref="O314:V314"/>
    <mergeCell ref="AB314:AE314"/>
    <mergeCell ref="AP314:AV314"/>
    <mergeCell ref="A296:B296"/>
    <mergeCell ref="C299:H299"/>
    <mergeCell ref="O299:T299"/>
    <mergeCell ref="AB299:AE299"/>
    <mergeCell ref="AP299:AV299"/>
    <mergeCell ref="A306:B306"/>
    <mergeCell ref="C309:H309"/>
    <mergeCell ref="O309:T309"/>
    <mergeCell ref="AB309:AE309"/>
    <mergeCell ref="AP309:AV309"/>
    <mergeCell ref="C301:H301"/>
    <mergeCell ref="O301:T301"/>
    <mergeCell ref="AB301:AE301"/>
    <mergeCell ref="AP301:AV301"/>
    <mergeCell ref="AP302:AV302"/>
    <mergeCell ref="N284:U284"/>
    <mergeCell ref="AO284:AV284"/>
    <mergeCell ref="AF288:AJ288"/>
    <mergeCell ref="AK289:AP289"/>
    <mergeCell ref="Y291:Z291"/>
    <mergeCell ref="AK291:AP291"/>
    <mergeCell ref="AP304:AV304"/>
    <mergeCell ref="AK294:AP294"/>
    <mergeCell ref="AQ295:AV295"/>
    <mergeCell ref="AK293:AP293"/>
    <mergeCell ref="AK292:AP292"/>
    <mergeCell ref="Y290:Z290"/>
    <mergeCell ref="AA290:AE290"/>
    <mergeCell ref="AA288:AE288"/>
    <mergeCell ref="AK290:AP290"/>
    <mergeCell ref="C290:T290"/>
    <mergeCell ref="U290:X290"/>
    <mergeCell ref="U289:X289"/>
    <mergeCell ref="Y289:Z289"/>
    <mergeCell ref="AF291:AJ291"/>
    <mergeCell ref="AM170:AQ171"/>
    <mergeCell ref="AM178:AQ179"/>
    <mergeCell ref="AM176:AQ177"/>
    <mergeCell ref="C177:AL177"/>
    <mergeCell ref="U222:W222"/>
    <mergeCell ref="U218:W218"/>
    <mergeCell ref="C191:AV191"/>
    <mergeCell ref="A210:AV210"/>
    <mergeCell ref="A192:B192"/>
    <mergeCell ref="X218:Z218"/>
    <mergeCell ref="AS220:AV220"/>
    <mergeCell ref="AC188:AI188"/>
    <mergeCell ref="C218:Q218"/>
    <mergeCell ref="R218:T218"/>
    <mergeCell ref="AR184:AV184"/>
    <mergeCell ref="E198:AV198"/>
    <mergeCell ref="E201:AV201"/>
    <mergeCell ref="X220:Z220"/>
    <mergeCell ref="D188:N188"/>
    <mergeCell ref="R186:V186"/>
    <mergeCell ref="AS218:AV218"/>
    <mergeCell ref="AI220:AM220"/>
    <mergeCell ref="AN222:AR222"/>
    <mergeCell ref="AD218:AH218"/>
    <mergeCell ref="A211:B211"/>
    <mergeCell ref="A190:B190"/>
    <mergeCell ref="C176:AL176"/>
    <mergeCell ref="C175:AL175"/>
    <mergeCell ref="C174:AL174"/>
    <mergeCell ref="A194:B194"/>
    <mergeCell ref="C179:AL179"/>
    <mergeCell ref="A185:B185"/>
    <mergeCell ref="AR178:AV179"/>
    <mergeCell ref="C183:AL183"/>
    <mergeCell ref="C182:AL182"/>
    <mergeCell ref="C180:AL180"/>
    <mergeCell ref="C181:AL181"/>
    <mergeCell ref="O188:Q188"/>
    <mergeCell ref="AM182:AQ183"/>
    <mergeCell ref="AR182:AV183"/>
    <mergeCell ref="AM184:AQ184"/>
    <mergeCell ref="C178:AL178"/>
    <mergeCell ref="C187:N187"/>
    <mergeCell ref="O187:T187"/>
    <mergeCell ref="U187:AB187"/>
    <mergeCell ref="AC187:AI187"/>
    <mergeCell ref="A135:B135"/>
    <mergeCell ref="A140:B140"/>
    <mergeCell ref="A166:B166"/>
    <mergeCell ref="C171:AL171"/>
    <mergeCell ref="C173:AL173"/>
    <mergeCell ref="C172:AL172"/>
    <mergeCell ref="C170:AL170"/>
    <mergeCell ref="C144:D144"/>
    <mergeCell ref="E144:T144"/>
    <mergeCell ref="U144:AA144"/>
    <mergeCell ref="AB144:AF144"/>
    <mergeCell ref="AI144:AM144"/>
    <mergeCell ref="C147:D147"/>
    <mergeCell ref="E147:T147"/>
    <mergeCell ref="U147:AA147"/>
    <mergeCell ref="AB147:AF147"/>
    <mergeCell ref="AI147:AM147"/>
    <mergeCell ref="C150:D150"/>
    <mergeCell ref="E150:T150"/>
    <mergeCell ref="U150:AA150"/>
    <mergeCell ref="U188:AB188"/>
    <mergeCell ref="C198:D198"/>
    <mergeCell ref="C196:D196"/>
    <mergeCell ref="E200:AV200"/>
    <mergeCell ref="AA257:AE257"/>
    <mergeCell ref="C257:T257"/>
    <mergeCell ref="U257:X257"/>
    <mergeCell ref="AF256:AJ256"/>
    <mergeCell ref="C254:T254"/>
    <mergeCell ref="AA248:AD248"/>
    <mergeCell ref="AA221:AC221"/>
    <mergeCell ref="C244:H244"/>
    <mergeCell ref="AA218:AC218"/>
    <mergeCell ref="C216:AV216"/>
    <mergeCell ref="AI218:AM218"/>
    <mergeCell ref="AD220:AH220"/>
    <mergeCell ref="AD222:AH222"/>
    <mergeCell ref="AS222:AV222"/>
    <mergeCell ref="AN218:AR218"/>
    <mergeCell ref="AN220:AR220"/>
    <mergeCell ref="AS224:AV224"/>
    <mergeCell ref="AN224:AR224"/>
    <mergeCell ref="AI221:AM221"/>
    <mergeCell ref="AN221:AR221"/>
    <mergeCell ref="C137:AV137"/>
    <mergeCell ref="AM36:AU36"/>
    <mergeCell ref="C119:AV119"/>
    <mergeCell ref="Z47:AB47"/>
    <mergeCell ref="AM40:AU40"/>
    <mergeCell ref="AM356:AU356"/>
    <mergeCell ref="C266:H266"/>
    <mergeCell ref="N266:U266"/>
    <mergeCell ref="T356:AB356"/>
    <mergeCell ref="AK356:AL356"/>
    <mergeCell ref="E356:K356"/>
    <mergeCell ref="AM351:AU351"/>
    <mergeCell ref="AO267:AV267"/>
    <mergeCell ref="AM350:AU350"/>
    <mergeCell ref="AK350:AL350"/>
    <mergeCell ref="AM353:AU353"/>
    <mergeCell ref="AB317:AF317"/>
    <mergeCell ref="AM352:AU352"/>
    <mergeCell ref="AF254:AJ254"/>
    <mergeCell ref="AC238:AF238"/>
    <mergeCell ref="AA266:AD266"/>
    <mergeCell ref="AO266:AV266"/>
    <mergeCell ref="AK352:AL352"/>
    <mergeCell ref="AF257:AJ257"/>
    <mergeCell ref="P14:AV14"/>
    <mergeCell ref="AM42:AU42"/>
    <mergeCell ref="F16:N16"/>
    <mergeCell ref="P16:AV16"/>
    <mergeCell ref="X36:AC36"/>
    <mergeCell ref="AM45:AU45"/>
    <mergeCell ref="A30:AV31"/>
    <mergeCell ref="A22:AV22"/>
    <mergeCell ref="A23:AV27"/>
    <mergeCell ref="A28:AV29"/>
    <mergeCell ref="AM41:AU41"/>
    <mergeCell ref="AM44:AU44"/>
    <mergeCell ref="P15:AV15"/>
    <mergeCell ref="A361:B361"/>
    <mergeCell ref="AH369:AL369"/>
    <mergeCell ref="C367:D367"/>
    <mergeCell ref="C366:D366"/>
    <mergeCell ref="C364:D364"/>
    <mergeCell ref="AH368:AL368"/>
    <mergeCell ref="AH364:AL364"/>
    <mergeCell ref="AH365:AL365"/>
    <mergeCell ref="AA258:AE258"/>
    <mergeCell ref="C349:D349"/>
    <mergeCell ref="AK358:AL358"/>
    <mergeCell ref="AK357:AL357"/>
    <mergeCell ref="AK259:AP259"/>
    <mergeCell ref="AK258:AP258"/>
    <mergeCell ref="AK349:AL349"/>
    <mergeCell ref="AA263:AD263"/>
    <mergeCell ref="C258:T258"/>
    <mergeCell ref="U258:X258"/>
    <mergeCell ref="AM349:AU349"/>
    <mergeCell ref="R322:T322"/>
    <mergeCell ref="U322:W322"/>
    <mergeCell ref="AI322:AM322"/>
    <mergeCell ref="AN322:AR322"/>
    <mergeCell ref="AA322:AC322"/>
    <mergeCell ref="F390:AV390"/>
    <mergeCell ref="C378:AV378"/>
    <mergeCell ref="AK377:AL377"/>
    <mergeCell ref="AM377:AU377"/>
    <mergeCell ref="O372:W372"/>
    <mergeCell ref="AH367:AL367"/>
    <mergeCell ref="AM372:AU372"/>
    <mergeCell ref="I372:M372"/>
    <mergeCell ref="AM358:AU358"/>
    <mergeCell ref="AK359:AL359"/>
    <mergeCell ref="AM376:AU376"/>
    <mergeCell ref="I374:M374"/>
    <mergeCell ref="O374:W374"/>
    <mergeCell ref="I370:M370"/>
    <mergeCell ref="AM374:AU374"/>
    <mergeCell ref="AM359:AU359"/>
    <mergeCell ref="I376:M376"/>
    <mergeCell ref="O376:W376"/>
    <mergeCell ref="C365:D365"/>
    <mergeCell ref="C360:AV360"/>
    <mergeCell ref="C346:AV346"/>
    <mergeCell ref="U255:X255"/>
    <mergeCell ref="AO261:AV261"/>
    <mergeCell ref="C350:D350"/>
    <mergeCell ref="Y258:Z258"/>
    <mergeCell ref="AK353:AL353"/>
    <mergeCell ref="C368:D368"/>
    <mergeCell ref="AH366:AL366"/>
    <mergeCell ref="Y257:Z257"/>
    <mergeCell ref="AD322:AH322"/>
    <mergeCell ref="AB271:AF271"/>
    <mergeCell ref="C277:H277"/>
    <mergeCell ref="C270:AV270"/>
    <mergeCell ref="Y255:Z255"/>
    <mergeCell ref="AO273:AV273"/>
    <mergeCell ref="AO274:AV274"/>
    <mergeCell ref="AO277:AV277"/>
    <mergeCell ref="C279:H279"/>
    <mergeCell ref="N279:S279"/>
    <mergeCell ref="AO285:AV285"/>
    <mergeCell ref="E355:AV355"/>
    <mergeCell ref="AF255:AJ255"/>
    <mergeCell ref="A348:B348"/>
    <mergeCell ref="A268:AV268"/>
    <mergeCell ref="A250:B250"/>
    <mergeCell ref="A253:B253"/>
    <mergeCell ref="C251:H251"/>
    <mergeCell ref="AA251:AD251"/>
    <mergeCell ref="N251:U251"/>
    <mergeCell ref="A262:B262"/>
    <mergeCell ref="U254:Z254"/>
    <mergeCell ref="A283:B283"/>
    <mergeCell ref="A272:B272"/>
    <mergeCell ref="A286:B286"/>
    <mergeCell ref="C281:H281"/>
    <mergeCell ref="N281:S281"/>
    <mergeCell ref="AA279:AD279"/>
    <mergeCell ref="AF290:AJ290"/>
    <mergeCell ref="AA291:AE291"/>
    <mergeCell ref="A275:B275"/>
    <mergeCell ref="AK288:AP288"/>
    <mergeCell ref="AO279:AV279"/>
    <mergeCell ref="AO282:AV282"/>
    <mergeCell ref="C284:I284"/>
    <mergeCell ref="C263:H263"/>
    <mergeCell ref="U256:X256"/>
    <mergeCell ref="C200:D200"/>
    <mergeCell ref="C201:D201"/>
    <mergeCell ref="C203:D203"/>
    <mergeCell ref="AB212:AF212"/>
    <mergeCell ref="E207:AV207"/>
    <mergeCell ref="C205:D205"/>
    <mergeCell ref="C211:AV211"/>
    <mergeCell ref="C207:D207"/>
    <mergeCell ref="AS221:AV221"/>
    <mergeCell ref="AD224:AH224"/>
    <mergeCell ref="AD221:AH221"/>
    <mergeCell ref="AI224:AM224"/>
    <mergeCell ref="C221:Q221"/>
    <mergeCell ref="U221:W221"/>
    <mergeCell ref="X221:Z221"/>
    <mergeCell ref="C248:H248"/>
    <mergeCell ref="AA254:AE254"/>
    <mergeCell ref="A69:B69"/>
    <mergeCell ref="A117:B117"/>
    <mergeCell ref="AP83:AS84"/>
    <mergeCell ref="AB10:AF10"/>
    <mergeCell ref="A46:AV46"/>
    <mergeCell ref="A57:AV57"/>
    <mergeCell ref="AB56:AF56"/>
    <mergeCell ref="A11:AV11"/>
    <mergeCell ref="A18:AV21"/>
    <mergeCell ref="P13:AV13"/>
    <mergeCell ref="F14:N14"/>
    <mergeCell ref="F15:N15"/>
    <mergeCell ref="AM39:AU39"/>
    <mergeCell ref="AP85:AS86"/>
    <mergeCell ref="AM38:AU38"/>
    <mergeCell ref="X37:AC37"/>
    <mergeCell ref="AM43:AU43"/>
    <mergeCell ref="AM37:AU37"/>
    <mergeCell ref="C66:AV66"/>
    <mergeCell ref="C64:AV64"/>
    <mergeCell ref="AM49:AU49"/>
    <mergeCell ref="A50:AV50"/>
    <mergeCell ref="A48:AV48"/>
    <mergeCell ref="J52:AV52"/>
    <mergeCell ref="A105:B105"/>
    <mergeCell ref="M53:V53"/>
    <mergeCell ref="S59:AV59"/>
    <mergeCell ref="S60:AV60"/>
    <mergeCell ref="A97:B97"/>
    <mergeCell ref="C65:AV65"/>
    <mergeCell ref="C71:AV71"/>
    <mergeCell ref="C75:AV75"/>
    <mergeCell ref="C78:AV78"/>
    <mergeCell ref="C73:AV73"/>
    <mergeCell ref="C72:AV72"/>
    <mergeCell ref="AP79:AS80"/>
    <mergeCell ref="C76:AV76"/>
    <mergeCell ref="C80:AO80"/>
    <mergeCell ref="C86:AO86"/>
    <mergeCell ref="C74:AV74"/>
    <mergeCell ref="AP81:AS82"/>
    <mergeCell ref="C84:AO84"/>
    <mergeCell ref="C67:AV67"/>
    <mergeCell ref="C68:AV68"/>
    <mergeCell ref="A88:B88"/>
    <mergeCell ref="A77:B77"/>
    <mergeCell ref="AO87:AS87"/>
    <mergeCell ref="C82:AO82"/>
    <mergeCell ref="C240:G240"/>
    <mergeCell ref="D189:N189"/>
    <mergeCell ref="N244:S244"/>
    <mergeCell ref="AO90:AS90"/>
    <mergeCell ref="AO92:AS92"/>
    <mergeCell ref="C134:AV134"/>
    <mergeCell ref="C106:AV106"/>
    <mergeCell ref="AG238:AV238"/>
    <mergeCell ref="AM47:AU47"/>
    <mergeCell ref="J51:AV51"/>
    <mergeCell ref="AN91:AU91"/>
    <mergeCell ref="AR176:AV177"/>
    <mergeCell ref="AM174:AQ175"/>
    <mergeCell ref="C118:AV118"/>
    <mergeCell ref="E196:AV196"/>
    <mergeCell ref="J54:K54"/>
    <mergeCell ref="V61:AV61"/>
    <mergeCell ref="AR170:AV171"/>
    <mergeCell ref="AR172:AV173"/>
    <mergeCell ref="AP93:AT93"/>
    <mergeCell ref="AO94:AS94"/>
    <mergeCell ref="AP95:AT95"/>
    <mergeCell ref="C121:AI132"/>
    <mergeCell ref="AJ121:AV132"/>
    <mergeCell ref="C246:H246"/>
    <mergeCell ref="AO240:AV240"/>
    <mergeCell ref="AO249:AV249"/>
    <mergeCell ref="N246:S246"/>
    <mergeCell ref="AO246:AV246"/>
    <mergeCell ref="A107:B107"/>
    <mergeCell ref="AR180:AV181"/>
    <mergeCell ref="Y256:Z256"/>
    <mergeCell ref="AA256:AE256"/>
    <mergeCell ref="AA246:AD246"/>
    <mergeCell ref="A133:B133"/>
    <mergeCell ref="O189:Q189"/>
    <mergeCell ref="U189:AB189"/>
    <mergeCell ref="C256:T256"/>
    <mergeCell ref="AC189:AI189"/>
    <mergeCell ref="C238:U238"/>
    <mergeCell ref="C237:AV237"/>
    <mergeCell ref="AR174:AV175"/>
    <mergeCell ref="A242:B242"/>
    <mergeCell ref="A213:B213"/>
    <mergeCell ref="AA244:AD244"/>
    <mergeCell ref="C214:AV214"/>
    <mergeCell ref="V238:AB238"/>
    <mergeCell ref="AO244:AV244"/>
    <mergeCell ref="A318:B318"/>
    <mergeCell ref="A265:B265"/>
    <mergeCell ref="AM172:AQ173"/>
    <mergeCell ref="AM168:AV168"/>
    <mergeCell ref="N263:U263"/>
    <mergeCell ref="AO263:AV263"/>
    <mergeCell ref="AO264:AV264"/>
    <mergeCell ref="AF258:AJ258"/>
    <mergeCell ref="C209:D209"/>
    <mergeCell ref="E209:AV209"/>
    <mergeCell ref="AQ260:AV260"/>
    <mergeCell ref="AK260:AP260"/>
    <mergeCell ref="AK257:AP257"/>
    <mergeCell ref="AK256:AP256"/>
    <mergeCell ref="AK255:AP255"/>
    <mergeCell ref="AO248:AV248"/>
    <mergeCell ref="AK254:AP254"/>
    <mergeCell ref="AO251:AV251"/>
    <mergeCell ref="C255:T255"/>
    <mergeCell ref="N240:S240"/>
    <mergeCell ref="C193:AV193"/>
    <mergeCell ref="AA255:AE255"/>
    <mergeCell ref="AO252:AV252"/>
    <mergeCell ref="AO241:AV241"/>
    <mergeCell ref="C345:AV345"/>
    <mergeCell ref="AI325:AM325"/>
    <mergeCell ref="AN325:AR325"/>
    <mergeCell ref="AS325:AV325"/>
    <mergeCell ref="C326:Q326"/>
    <mergeCell ref="AD324:AH324"/>
    <mergeCell ref="R325:T325"/>
    <mergeCell ref="U325:W325"/>
    <mergeCell ref="U326:W326"/>
    <mergeCell ref="AD325:AH325"/>
    <mergeCell ref="AS324:AV324"/>
    <mergeCell ref="C329:AV342"/>
    <mergeCell ref="C324:Q324"/>
    <mergeCell ref="R324:T324"/>
    <mergeCell ref="U324:W324"/>
    <mergeCell ref="X324:Z324"/>
    <mergeCell ref="AA324:AC324"/>
    <mergeCell ref="X325:Z325"/>
    <mergeCell ref="AA325:AC325"/>
    <mergeCell ref="AI328:AM328"/>
    <mergeCell ref="U33:AC33"/>
    <mergeCell ref="AK33:AS33"/>
    <mergeCell ref="C344:U344"/>
    <mergeCell ref="V344:AB344"/>
    <mergeCell ref="AC344:AF344"/>
    <mergeCell ref="AG344:AV344"/>
    <mergeCell ref="AS326:AV326"/>
    <mergeCell ref="AD326:AH326"/>
    <mergeCell ref="AI326:AM326"/>
    <mergeCell ref="R326:T326"/>
    <mergeCell ref="C319:AV319"/>
    <mergeCell ref="C343:AV343"/>
    <mergeCell ref="C325:Q325"/>
    <mergeCell ref="AN326:AR326"/>
    <mergeCell ref="X326:Z326"/>
    <mergeCell ref="AA326:AC326"/>
    <mergeCell ref="AS322:AV322"/>
    <mergeCell ref="AI324:AM324"/>
    <mergeCell ref="AN324:AR324"/>
    <mergeCell ref="X322:Z322"/>
    <mergeCell ref="C98:AV98"/>
    <mergeCell ref="C220:Q220"/>
    <mergeCell ref="W100:X100"/>
    <mergeCell ref="AM180:AQ181"/>
  </mergeCells>
  <phoneticPr fontId="7" type="noConversion"/>
  <dataValidations count="2">
    <dataValidation type="list" allowBlank="1" showInputMessage="1" showErrorMessage="1" sqref="J101 V101:W101" xr:uid="{E52E166F-1950-4B7F-98BD-0637F4BC9982}">
      <formula1>$AW$168:$AW$169</formula1>
    </dataValidation>
    <dataValidation type="list" allowBlank="1" showInputMessage="1" showErrorMessage="1" sqref="J102:J104 V104:W104" xr:uid="{5EF306FD-9778-4B16-992C-F1CA9F2ABEFD}">
      <formula1>$AW$138:$AW$139</formula1>
    </dataValidation>
  </dataValidations>
  <printOptions horizontalCentered="1"/>
  <pageMargins left="0.78740157480314965" right="0.78740157480314965" top="0.59055118110236227" bottom="0.59055118110236227" header="0" footer="0"/>
  <pageSetup paperSize="9" orientation="portrait" horizontalDpi="4294967294" verticalDpi="300" r:id="rId1"/>
  <headerFooter alignWithMargins="0">
    <oddFooter>&amp;L&amp;G&amp;R&amp;"Arial Narrow,Normal"&amp;8&amp;G
&amp;F - Pág. &amp;P de &amp;N</oddFooter>
  </headerFooter>
  <rowBreaks count="9" manualBreakCount="9">
    <brk id="55" max="16383" man="1"/>
    <brk id="96" max="16383" man="1"/>
    <brk id="165" max="47" man="1"/>
    <brk id="210" max="16383" man="1"/>
    <brk id="236" max="47" man="1"/>
    <brk id="269" max="16383" man="1"/>
    <brk id="316" max="16383" man="1"/>
    <brk id="345" max="47" man="1"/>
    <brk id="379"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9CF2-9886-4B7E-9156-8323D81676E5}">
  <dimension ref="A4:IV57"/>
  <sheetViews>
    <sheetView workbookViewId="0">
      <selection activeCell="I14" sqref="I14"/>
    </sheetView>
  </sheetViews>
  <sheetFormatPr baseColWidth="10" defaultColWidth="0" defaultRowHeight="13.8" x14ac:dyDescent="0.25"/>
  <cols>
    <col min="1" max="1" width="7" style="415" customWidth="1"/>
    <col min="2" max="2" width="28" style="415" customWidth="1"/>
    <col min="3" max="3" width="7.6640625" style="416" customWidth="1"/>
    <col min="4" max="4" width="8.44140625" style="416" customWidth="1"/>
    <col min="5" max="5" width="11.109375" style="416" customWidth="1"/>
    <col min="6" max="6" width="8.44140625" style="416" customWidth="1"/>
    <col min="7" max="7" width="0.44140625" style="416" hidden="1" customWidth="1"/>
    <col min="8" max="8" width="7.6640625" style="416" customWidth="1"/>
    <col min="9" max="9" width="7.33203125" style="416" customWidth="1"/>
    <col min="10" max="10" width="10.5546875" style="416" customWidth="1"/>
    <col min="11" max="11" width="8" style="416" customWidth="1"/>
    <col min="12" max="12" width="6.6640625" style="416" customWidth="1"/>
    <col min="13" max="13" width="10.88671875" style="416" customWidth="1"/>
    <col min="14" max="14" width="9" style="416" customWidth="1"/>
    <col min="15" max="15" width="12" style="416" customWidth="1"/>
    <col min="16" max="16" width="9.5546875" style="416" customWidth="1"/>
    <col min="17" max="17" width="12.88671875" style="416" customWidth="1"/>
    <col min="18" max="18" width="11.44140625" style="416" customWidth="1"/>
    <col min="19" max="19" width="8.6640625" style="417" customWidth="1"/>
    <col min="20" max="20" width="10.44140625" style="416" customWidth="1"/>
    <col min="21" max="21" width="10.88671875" style="416" customWidth="1"/>
    <col min="22" max="22" width="9.6640625" style="416" customWidth="1"/>
    <col min="23" max="23" width="12.109375" style="416" customWidth="1"/>
    <col min="24" max="24" width="11.6640625" style="416" customWidth="1"/>
    <col min="25" max="25" width="13.44140625" style="416" customWidth="1"/>
    <col min="26" max="26" width="10.109375" style="416" customWidth="1"/>
    <col min="27" max="27" width="10.5546875" style="416" customWidth="1"/>
    <col min="28" max="28" width="13.44140625" style="416" customWidth="1"/>
    <col min="29" max="250" width="11.44140625" style="415" customWidth="1"/>
    <col min="251" max="251" width="0" style="415" hidden="1" customWidth="1"/>
    <col min="252" max="252" width="31.6640625" style="415" customWidth="1"/>
    <col min="253" max="254" width="0" style="415" hidden="1" customWidth="1"/>
    <col min="255" max="255" width="13.44140625" style="415" customWidth="1"/>
    <col min="256" max="16384" width="0" style="415" hidden="1"/>
  </cols>
  <sheetData>
    <row r="4" spans="1:256" ht="14.4" thickBot="1" x14ac:dyDescent="0.3"/>
    <row r="5" spans="1:256" ht="16.2" thickBot="1" x14ac:dyDescent="0.3">
      <c r="A5" s="421"/>
      <c r="B5" s="422" t="s">
        <v>211</v>
      </c>
      <c r="C5" s="980" t="s">
        <v>62</v>
      </c>
      <c r="D5" s="981"/>
      <c r="E5" s="982"/>
      <c r="F5" s="980" t="s">
        <v>212</v>
      </c>
      <c r="G5" s="981"/>
      <c r="H5" s="981"/>
      <c r="I5" s="981"/>
      <c r="J5" s="981"/>
      <c r="K5" s="981"/>
      <c r="L5" s="981"/>
      <c r="M5" s="981"/>
      <c r="N5" s="981"/>
      <c r="O5" s="981"/>
      <c r="P5" s="981"/>
      <c r="Q5" s="982"/>
      <c r="R5" s="980" t="s">
        <v>213</v>
      </c>
      <c r="S5" s="981"/>
      <c r="T5" s="982"/>
      <c r="U5" s="981" t="s">
        <v>214</v>
      </c>
      <c r="V5" s="981"/>
      <c r="W5" s="981"/>
      <c r="X5" s="982"/>
      <c r="Y5" s="983" t="s">
        <v>215</v>
      </c>
      <c r="Z5" s="984"/>
      <c r="AA5" s="984"/>
      <c r="AB5" s="985"/>
      <c r="AC5" s="423"/>
      <c r="AD5" s="423"/>
      <c r="AE5" s="423"/>
      <c r="AF5" s="423"/>
      <c r="AG5" s="423"/>
      <c r="AH5" s="423"/>
      <c r="AI5" s="423"/>
      <c r="AJ5" s="423"/>
      <c r="AK5" s="423"/>
      <c r="AL5" s="423"/>
      <c r="AM5" s="423"/>
      <c r="AN5" s="423"/>
      <c r="AO5" s="423"/>
      <c r="AP5" s="423"/>
      <c r="AQ5" s="423"/>
      <c r="AR5" s="423"/>
      <c r="AS5" s="423"/>
      <c r="AT5" s="423"/>
      <c r="AU5" s="423"/>
      <c r="AV5" s="423"/>
      <c r="AW5" s="423"/>
      <c r="AX5" s="423"/>
      <c r="AY5" s="423"/>
      <c r="AZ5" s="423"/>
      <c r="BA5" s="423"/>
      <c r="BB5" s="423"/>
      <c r="BC5" s="423"/>
      <c r="BD5" s="423"/>
      <c r="BE5" s="423"/>
      <c r="BF5" s="423"/>
      <c r="BG5" s="423"/>
      <c r="BH5" s="423"/>
      <c r="BI5" s="423"/>
      <c r="BJ5" s="423"/>
      <c r="BK5" s="423"/>
      <c r="BL5" s="423"/>
      <c r="BM5" s="423"/>
      <c r="BN5" s="423"/>
      <c r="BO5" s="423"/>
      <c r="BP5" s="423"/>
      <c r="BQ5" s="423"/>
      <c r="BR5" s="423"/>
      <c r="BS5" s="423"/>
      <c r="BT5" s="423"/>
      <c r="BU5" s="423"/>
      <c r="BV5" s="423"/>
      <c r="BW5" s="423"/>
      <c r="BX5" s="423"/>
      <c r="BY5" s="423"/>
      <c r="BZ5" s="423"/>
      <c r="CA5" s="423"/>
      <c r="CB5" s="423"/>
      <c r="CC5" s="423"/>
      <c r="CD5" s="423"/>
      <c r="CE5" s="423"/>
      <c r="CF5" s="423"/>
      <c r="CG5" s="423"/>
      <c r="CH5" s="423"/>
      <c r="CI5" s="423"/>
      <c r="CJ5" s="423"/>
      <c r="CK5" s="423"/>
      <c r="CL5" s="423"/>
      <c r="CM5" s="423"/>
      <c r="CN5" s="423"/>
      <c r="CO5" s="423"/>
      <c r="CP5" s="423"/>
      <c r="CQ5" s="423"/>
      <c r="CR5" s="423"/>
      <c r="CS5" s="423"/>
      <c r="CT5" s="423"/>
      <c r="CU5" s="423"/>
      <c r="CV5" s="423"/>
      <c r="CW5" s="423"/>
      <c r="CX5" s="423"/>
      <c r="CY5" s="423"/>
      <c r="CZ5" s="423"/>
      <c r="DA5" s="423"/>
      <c r="DB5" s="423"/>
      <c r="DC5" s="423"/>
      <c r="DD5" s="423"/>
      <c r="DE5" s="423"/>
      <c r="DF5" s="423"/>
      <c r="DG5" s="423"/>
      <c r="DH5" s="423"/>
      <c r="DI5" s="423"/>
      <c r="DJ5" s="423"/>
      <c r="DK5" s="423"/>
      <c r="DL5" s="423"/>
      <c r="DM5" s="423"/>
      <c r="DN5" s="423"/>
      <c r="DO5" s="423"/>
      <c r="DP5" s="423"/>
      <c r="DQ5" s="423"/>
      <c r="DR5" s="423"/>
      <c r="DS5" s="423"/>
      <c r="DT5" s="423"/>
      <c r="DU5" s="423"/>
      <c r="DV5" s="423"/>
      <c r="DW5" s="423"/>
      <c r="DX5" s="423"/>
      <c r="DY5" s="423"/>
      <c r="DZ5" s="423"/>
      <c r="EA5" s="423"/>
      <c r="EB5" s="423"/>
      <c r="EC5" s="423"/>
      <c r="ED5" s="423"/>
      <c r="EE5" s="423"/>
      <c r="EF5" s="423"/>
      <c r="EG5" s="423"/>
      <c r="EH5" s="423"/>
      <c r="EI5" s="423"/>
      <c r="EJ5" s="423"/>
      <c r="EK5" s="423"/>
      <c r="EL5" s="423"/>
      <c r="EM5" s="423"/>
      <c r="EN5" s="423"/>
      <c r="EO5" s="423"/>
      <c r="EP5" s="423"/>
      <c r="EQ5" s="423"/>
      <c r="ER5" s="423"/>
      <c r="ES5" s="423"/>
      <c r="ET5" s="423"/>
      <c r="EU5" s="423"/>
      <c r="EV5" s="423"/>
      <c r="EW5" s="423"/>
      <c r="EX5" s="423"/>
      <c r="EY5" s="423"/>
      <c r="EZ5" s="423"/>
      <c r="FA5" s="423"/>
      <c r="FB5" s="423"/>
      <c r="FC5" s="423"/>
      <c r="FD5" s="423"/>
      <c r="FE5" s="423"/>
      <c r="FF5" s="423"/>
      <c r="FG5" s="423"/>
      <c r="FH5" s="423"/>
      <c r="FI5" s="423"/>
      <c r="FJ5" s="423"/>
      <c r="FK5" s="423"/>
      <c r="FL5" s="423"/>
      <c r="FM5" s="423"/>
      <c r="FN5" s="423"/>
      <c r="FO5" s="423"/>
      <c r="FP5" s="423"/>
      <c r="FQ5" s="423"/>
      <c r="FR5" s="423"/>
      <c r="FS5" s="423"/>
      <c r="FT5" s="423"/>
      <c r="FU5" s="423"/>
      <c r="FV5" s="423"/>
      <c r="FW5" s="423"/>
      <c r="FX5" s="423"/>
      <c r="FY5" s="423"/>
      <c r="FZ5" s="423"/>
      <c r="GA5" s="423"/>
      <c r="GB5" s="423"/>
      <c r="GC5" s="423"/>
      <c r="GD5" s="423"/>
      <c r="GE5" s="423"/>
      <c r="GF5" s="423"/>
      <c r="GG5" s="423"/>
      <c r="GH5" s="423"/>
      <c r="GI5" s="423"/>
      <c r="GJ5" s="423"/>
      <c r="GK5" s="423"/>
      <c r="GL5" s="423"/>
      <c r="GM5" s="423"/>
      <c r="GN5" s="423"/>
      <c r="GO5" s="423"/>
      <c r="GP5" s="423"/>
      <c r="GQ5" s="423"/>
      <c r="GR5" s="423"/>
      <c r="GS5" s="423"/>
      <c r="GT5" s="423"/>
      <c r="GU5" s="423"/>
      <c r="GV5" s="423"/>
      <c r="GW5" s="423"/>
      <c r="GX5" s="423"/>
      <c r="GY5" s="423"/>
      <c r="GZ5" s="423"/>
      <c r="HA5" s="423"/>
      <c r="HB5" s="423"/>
      <c r="HC5" s="423"/>
      <c r="HD5" s="423"/>
      <c r="HE5" s="423"/>
      <c r="HF5" s="423"/>
      <c r="HG5" s="423"/>
      <c r="HH5" s="423"/>
      <c r="HI5" s="423"/>
      <c r="HJ5" s="423"/>
      <c r="HK5" s="423"/>
      <c r="HL5" s="423"/>
      <c r="HM5" s="423"/>
      <c r="HN5" s="423"/>
      <c r="HO5" s="423"/>
      <c r="HP5" s="423"/>
      <c r="HQ5" s="423"/>
      <c r="HR5" s="423"/>
      <c r="HS5" s="423"/>
      <c r="HT5" s="423"/>
      <c r="HU5" s="423"/>
      <c r="HV5" s="423"/>
      <c r="HW5" s="423"/>
      <c r="HX5" s="423"/>
      <c r="HY5" s="423"/>
      <c r="HZ5" s="423"/>
      <c r="IA5" s="423"/>
      <c r="IB5" s="423"/>
      <c r="IC5" s="423"/>
      <c r="ID5" s="423"/>
      <c r="IE5" s="423"/>
      <c r="IF5" s="423"/>
      <c r="IG5" s="423"/>
      <c r="IH5" s="423"/>
      <c r="II5" s="423"/>
      <c r="IJ5" s="423"/>
      <c r="IK5" s="423"/>
      <c r="IL5" s="423"/>
      <c r="IM5" s="423"/>
      <c r="IN5" s="423"/>
      <c r="IO5" s="423"/>
      <c r="IP5" s="423"/>
      <c r="IQ5" s="423"/>
      <c r="IR5" s="423"/>
      <c r="IS5" s="423"/>
      <c r="IT5" s="423"/>
      <c r="IU5" s="423"/>
      <c r="IV5" s="423"/>
    </row>
    <row r="6" spans="1:256" x14ac:dyDescent="0.25">
      <c r="A6" s="986" t="s">
        <v>194</v>
      </c>
      <c r="B6" s="988" t="s">
        <v>73</v>
      </c>
      <c r="C6" s="424" t="s">
        <v>216</v>
      </c>
      <c r="D6" s="425" t="s">
        <v>217</v>
      </c>
      <c r="E6" s="426" t="s">
        <v>218</v>
      </c>
      <c r="F6" s="424" t="s">
        <v>219</v>
      </c>
      <c r="G6" s="427"/>
      <c r="H6" s="425" t="s">
        <v>220</v>
      </c>
      <c r="I6" s="428" t="s">
        <v>221</v>
      </c>
      <c r="J6" s="425" t="s">
        <v>218</v>
      </c>
      <c r="K6" s="425" t="s">
        <v>218</v>
      </c>
      <c r="L6" s="990" t="s">
        <v>222</v>
      </c>
      <c r="M6" s="425" t="s">
        <v>223</v>
      </c>
      <c r="N6" s="425" t="s">
        <v>224</v>
      </c>
      <c r="O6" s="425" t="s">
        <v>218</v>
      </c>
      <c r="P6" s="990" t="s">
        <v>225</v>
      </c>
      <c r="Q6" s="429" t="s">
        <v>226</v>
      </c>
      <c r="R6" s="428"/>
      <c r="S6" s="992" t="s">
        <v>227</v>
      </c>
      <c r="T6" s="429" t="s">
        <v>61</v>
      </c>
      <c r="U6" s="994" t="s">
        <v>228</v>
      </c>
      <c r="V6" s="996" t="s">
        <v>229</v>
      </c>
      <c r="W6" s="994" t="s">
        <v>230</v>
      </c>
      <c r="X6" s="998" t="s">
        <v>231</v>
      </c>
      <c r="Y6" s="1001" t="s">
        <v>232</v>
      </c>
      <c r="Z6" s="1001" t="s">
        <v>233</v>
      </c>
      <c r="AA6" s="430">
        <f>+R6</f>
        <v>0</v>
      </c>
      <c r="AB6" s="1004" t="s">
        <v>234</v>
      </c>
    </row>
    <row r="7" spans="1:256" x14ac:dyDescent="0.25">
      <c r="A7" s="987"/>
      <c r="B7" s="989"/>
      <c r="C7" s="431" t="s">
        <v>235</v>
      </c>
      <c r="D7" s="432" t="s">
        <v>236</v>
      </c>
      <c r="E7" s="433" t="s">
        <v>62</v>
      </c>
      <c r="F7" s="434" t="s">
        <v>237</v>
      </c>
      <c r="G7" s="432"/>
      <c r="H7" s="435" t="s">
        <v>238</v>
      </c>
      <c r="I7" s="436" t="s">
        <v>235</v>
      </c>
      <c r="J7" s="432" t="s">
        <v>219</v>
      </c>
      <c r="K7" s="432" t="s">
        <v>219</v>
      </c>
      <c r="L7" s="991"/>
      <c r="M7" s="432" t="s">
        <v>219</v>
      </c>
      <c r="N7" s="432" t="s">
        <v>219</v>
      </c>
      <c r="O7" s="432" t="s">
        <v>61</v>
      </c>
      <c r="P7" s="991"/>
      <c r="Q7" s="437" t="s">
        <v>212</v>
      </c>
      <c r="R7" s="436" t="s">
        <v>239</v>
      </c>
      <c r="S7" s="993"/>
      <c r="T7" s="436" t="s">
        <v>240</v>
      </c>
      <c r="U7" s="995"/>
      <c r="V7" s="997"/>
      <c r="W7" s="995"/>
      <c r="X7" s="999"/>
      <c r="Y7" s="1002"/>
      <c r="Z7" s="1002"/>
      <c r="AA7" s="438" t="str">
        <f>+R7</f>
        <v xml:space="preserve">OBRAS </v>
      </c>
      <c r="AB7" s="1005"/>
    </row>
    <row r="8" spans="1:256" x14ac:dyDescent="0.25">
      <c r="A8" s="987"/>
      <c r="B8" s="989"/>
      <c r="C8" s="431"/>
      <c r="D8" s="432"/>
      <c r="E8" s="439"/>
      <c r="F8" s="431" t="s">
        <v>64</v>
      </c>
      <c r="G8" s="440"/>
      <c r="H8" s="432"/>
      <c r="I8" s="436"/>
      <c r="J8" s="432" t="s">
        <v>238</v>
      </c>
      <c r="K8" s="432" t="s">
        <v>241</v>
      </c>
      <c r="L8" s="991"/>
      <c r="M8" s="432" t="s">
        <v>238</v>
      </c>
      <c r="N8" s="432" t="s">
        <v>241</v>
      </c>
      <c r="O8" s="432" t="s">
        <v>219</v>
      </c>
      <c r="P8" s="991"/>
      <c r="Q8" s="437"/>
      <c r="R8" s="436" t="s">
        <v>242</v>
      </c>
      <c r="S8" s="993"/>
      <c r="T8" s="436" t="s">
        <v>243</v>
      </c>
      <c r="U8" s="995"/>
      <c r="V8" s="997"/>
      <c r="W8" s="995"/>
      <c r="X8" s="999"/>
      <c r="Y8" s="1002"/>
      <c r="Z8" s="1002"/>
      <c r="AA8" s="438" t="str">
        <f>+R8</f>
        <v>COMPLEM.</v>
      </c>
      <c r="AB8" s="1005"/>
    </row>
    <row r="9" spans="1:256" ht="14.4" thickBot="1" x14ac:dyDescent="0.3">
      <c r="A9" s="987"/>
      <c r="B9" s="989"/>
      <c r="C9" s="431"/>
      <c r="D9" s="432" t="s">
        <v>64</v>
      </c>
      <c r="E9" s="433" t="s">
        <v>244</v>
      </c>
      <c r="F9" s="431" t="s">
        <v>235</v>
      </c>
      <c r="G9" s="440"/>
      <c r="H9" s="432" t="s">
        <v>235</v>
      </c>
      <c r="I9" s="436"/>
      <c r="J9" s="432" t="s">
        <v>236</v>
      </c>
      <c r="K9" s="432" t="s">
        <v>236</v>
      </c>
      <c r="L9" s="991"/>
      <c r="M9" s="432" t="s">
        <v>244</v>
      </c>
      <c r="N9" s="432" t="s">
        <v>244</v>
      </c>
      <c r="O9" s="432" t="s">
        <v>244</v>
      </c>
      <c r="P9" s="991"/>
      <c r="Q9" s="437" t="s">
        <v>244</v>
      </c>
      <c r="R9" s="432" t="s">
        <v>244</v>
      </c>
      <c r="S9" s="441" t="s">
        <v>245</v>
      </c>
      <c r="T9" s="432" t="s">
        <v>244</v>
      </c>
      <c r="U9" s="995"/>
      <c r="V9" s="997"/>
      <c r="W9" s="995"/>
      <c r="X9" s="999"/>
      <c r="Y9" s="1003"/>
      <c r="Z9" s="1002"/>
      <c r="AA9" s="438"/>
      <c r="AB9" s="1005"/>
    </row>
    <row r="10" spans="1:256" x14ac:dyDescent="0.25">
      <c r="A10" s="442" t="s">
        <v>246</v>
      </c>
      <c r="B10" s="443"/>
      <c r="C10" s="444"/>
      <c r="D10" s="444"/>
      <c r="E10" s="444"/>
      <c r="F10" s="444"/>
      <c r="G10" s="444"/>
      <c r="H10" s="444"/>
      <c r="I10" s="444"/>
      <c r="J10" s="444"/>
      <c r="K10" s="444"/>
      <c r="L10" s="444"/>
      <c r="M10" s="444"/>
      <c r="N10" s="444"/>
      <c r="O10" s="444"/>
      <c r="P10" s="444"/>
      <c r="Q10" s="444"/>
      <c r="R10" s="444"/>
      <c r="S10" s="444"/>
      <c r="T10" s="444"/>
      <c r="U10" s="444"/>
      <c r="V10" s="444"/>
      <c r="W10" s="444"/>
      <c r="X10" s="444"/>
      <c r="Y10" s="444"/>
      <c r="Z10" s="444"/>
      <c r="AA10" s="444"/>
      <c r="AB10" s="445"/>
    </row>
    <row r="11" spans="1:256" x14ac:dyDescent="0.25">
      <c r="A11" s="446">
        <v>1</v>
      </c>
      <c r="B11" s="447" t="str">
        <f>+'[3]MEMORIA Y VAL'!E133</f>
        <v>Departamento Flat Nº</v>
      </c>
      <c r="C11" s="448" t="e">
        <f>+'[3]MEMORIA Y VAL'!AB133</f>
        <v>#DIV/0!</v>
      </c>
      <c r="D11" s="449">
        <f>+'[3]MEMORIA Y VAL'!V228</f>
        <v>0</v>
      </c>
      <c r="E11" s="449" t="e">
        <f t="shared" ref="E11:E16" si="0">+C11*D11</f>
        <v>#DIV/0!</v>
      </c>
      <c r="F11" s="449">
        <f>+'[3]MEMORIA Y VAL'!AP133</f>
        <v>0</v>
      </c>
      <c r="G11" s="450"/>
      <c r="H11" s="449">
        <f>+'[3]MEMORIA Y VAL'!AI133</f>
        <v>0</v>
      </c>
      <c r="I11" s="450">
        <f t="shared" ref="I11:I16" si="1">+F11-H11</f>
        <v>0</v>
      </c>
      <c r="J11" s="449">
        <f>+'[3]MEMORIA Y VAL'!$AR$174</f>
        <v>0</v>
      </c>
      <c r="K11" s="451">
        <v>0</v>
      </c>
      <c r="L11" s="450">
        <f>1-'[3]MEMORIA Y VAL'!AG178</f>
        <v>1</v>
      </c>
      <c r="M11" s="450">
        <f t="shared" ref="M11:M16" si="2">H11*J11*L11</f>
        <v>0</v>
      </c>
      <c r="N11" s="450">
        <f t="shared" ref="N11:N16" si="3">+I11*K11</f>
        <v>0</v>
      </c>
      <c r="O11" s="449">
        <f t="shared" ref="O11:O16" si="4">+M11+N11</f>
        <v>0</v>
      </c>
      <c r="P11" s="449">
        <f t="shared" ref="P11:P16" si="5">+O11*0.15</f>
        <v>0</v>
      </c>
      <c r="Q11" s="449">
        <f t="shared" ref="Q11:Q16" si="6">+O11+P11</f>
        <v>0</v>
      </c>
      <c r="R11" s="450">
        <f>+'[3]MEMORIA Y VAL'!$AO$249</f>
        <v>0</v>
      </c>
      <c r="S11" s="452" t="e">
        <f>+'[3]MEMORIA Y VAL'!U133</f>
        <v>#DIV/0!</v>
      </c>
      <c r="T11" s="449" t="e">
        <f t="shared" ref="T11:T16" si="7">+R11*S11</f>
        <v>#DIV/0!</v>
      </c>
      <c r="U11" s="453" t="e">
        <f t="shared" ref="U11:U16" si="8">+E11+Q11+T11</f>
        <v>#DIV/0!</v>
      </c>
      <c r="V11" s="454">
        <v>1</v>
      </c>
      <c r="W11" s="453" t="e">
        <f t="shared" ref="W11:W16" si="9">+U11*V11</f>
        <v>#DIV/0!</v>
      </c>
      <c r="X11" s="455" t="e">
        <f t="shared" ref="X11:X16" si="10">+W11*0.8</f>
        <v>#DIV/0!</v>
      </c>
      <c r="Y11" s="456">
        <f t="shared" ref="Y11:Y16" si="11">+H11*J11</f>
        <v>0</v>
      </c>
      <c r="Z11" s="457">
        <f t="shared" ref="Z11:Z16" si="12">+Y11*0.15</f>
        <v>0</v>
      </c>
      <c r="AA11" s="450" t="e">
        <f>+'[3]MEMORIA Y VAL'!$AO$273*S11</f>
        <v>#DIV/0!</v>
      </c>
      <c r="AB11" s="458" t="e">
        <f t="shared" ref="AB11:AB16" si="13">+Y11+Z11+AA11</f>
        <v>#DIV/0!</v>
      </c>
    </row>
    <row r="12" spans="1:256" x14ac:dyDescent="0.25">
      <c r="A12" s="446">
        <f>+A11+1</f>
        <v>2</v>
      </c>
      <c r="B12" s="447" t="str">
        <f>+'[3]MEMORIA Y VAL'!E134</f>
        <v>Departamento Flat Nº</v>
      </c>
      <c r="C12" s="448" t="e">
        <f>+'[3]MEMORIA Y VAL'!AB134</f>
        <v>#DIV/0!</v>
      </c>
      <c r="D12" s="449">
        <f>+D11</f>
        <v>0</v>
      </c>
      <c r="E12" s="449" t="e">
        <f t="shared" si="0"/>
        <v>#DIV/0!</v>
      </c>
      <c r="F12" s="449">
        <f>+'[3]MEMORIA Y VAL'!AP134</f>
        <v>0</v>
      </c>
      <c r="G12" s="450"/>
      <c r="H12" s="449">
        <f>+'[3]MEMORIA Y VAL'!AI134</f>
        <v>0</v>
      </c>
      <c r="I12" s="450">
        <f t="shared" si="1"/>
        <v>0</v>
      </c>
      <c r="J12" s="449">
        <f>+J11</f>
        <v>0</v>
      </c>
      <c r="K12" s="451">
        <v>0</v>
      </c>
      <c r="L12" s="450">
        <f>+L11</f>
        <v>1</v>
      </c>
      <c r="M12" s="450">
        <f t="shared" si="2"/>
        <v>0</v>
      </c>
      <c r="N12" s="450">
        <f t="shared" si="3"/>
        <v>0</v>
      </c>
      <c r="O12" s="449">
        <f t="shared" si="4"/>
        <v>0</v>
      </c>
      <c r="P12" s="449">
        <f t="shared" si="5"/>
        <v>0</v>
      </c>
      <c r="Q12" s="449">
        <f t="shared" si="6"/>
        <v>0</v>
      </c>
      <c r="R12" s="450">
        <f>+R11</f>
        <v>0</v>
      </c>
      <c r="S12" s="452" t="e">
        <f>+'[3]MEMORIA Y VAL'!U134</f>
        <v>#DIV/0!</v>
      </c>
      <c r="T12" s="449" t="e">
        <f t="shared" si="7"/>
        <v>#DIV/0!</v>
      </c>
      <c r="U12" s="459" t="e">
        <f t="shared" si="8"/>
        <v>#DIV/0!</v>
      </c>
      <c r="V12" s="454">
        <v>1</v>
      </c>
      <c r="W12" s="453" t="e">
        <f t="shared" si="9"/>
        <v>#DIV/0!</v>
      </c>
      <c r="X12" s="460" t="e">
        <f t="shared" si="10"/>
        <v>#DIV/0!</v>
      </c>
      <c r="Y12" s="456">
        <f t="shared" si="11"/>
        <v>0</v>
      </c>
      <c r="Z12" s="461">
        <f t="shared" si="12"/>
        <v>0</v>
      </c>
      <c r="AA12" s="450" t="e">
        <f>+'[3]MEMORIA Y VAL'!$AO$273*S12</f>
        <v>#DIV/0!</v>
      </c>
      <c r="AB12" s="458" t="e">
        <f t="shared" si="13"/>
        <v>#DIV/0!</v>
      </c>
    </row>
    <row r="13" spans="1:256" x14ac:dyDescent="0.25">
      <c r="A13" s="446">
        <f>+A12+1</f>
        <v>3</v>
      </c>
      <c r="B13" s="447" t="str">
        <f>+'[3]MEMORIA Y VAL'!E135</f>
        <v>Departamento Flat Nº</v>
      </c>
      <c r="C13" s="448" t="e">
        <f>+'[3]MEMORIA Y VAL'!AB135</f>
        <v>#DIV/0!</v>
      </c>
      <c r="D13" s="449">
        <f>+D12</f>
        <v>0</v>
      </c>
      <c r="E13" s="449" t="e">
        <f t="shared" si="0"/>
        <v>#DIV/0!</v>
      </c>
      <c r="F13" s="449">
        <f>+'[3]MEMORIA Y VAL'!AP135</f>
        <v>0</v>
      </c>
      <c r="G13" s="450"/>
      <c r="H13" s="449">
        <f>+'[3]MEMORIA Y VAL'!AI135</f>
        <v>0</v>
      </c>
      <c r="I13" s="450">
        <f t="shared" si="1"/>
        <v>0</v>
      </c>
      <c r="J13" s="449">
        <f>+J12</f>
        <v>0</v>
      </c>
      <c r="K13" s="451">
        <v>0</v>
      </c>
      <c r="L13" s="450">
        <f>+L12</f>
        <v>1</v>
      </c>
      <c r="M13" s="450">
        <f t="shared" si="2"/>
        <v>0</v>
      </c>
      <c r="N13" s="450">
        <f t="shared" si="3"/>
        <v>0</v>
      </c>
      <c r="O13" s="449">
        <f t="shared" si="4"/>
        <v>0</v>
      </c>
      <c r="P13" s="449">
        <f t="shared" si="5"/>
        <v>0</v>
      </c>
      <c r="Q13" s="449">
        <f t="shared" si="6"/>
        <v>0</v>
      </c>
      <c r="R13" s="450">
        <f>+R12</f>
        <v>0</v>
      </c>
      <c r="S13" s="452" t="e">
        <f>+'[3]MEMORIA Y VAL'!U135</f>
        <v>#DIV/0!</v>
      </c>
      <c r="T13" s="449" t="e">
        <f t="shared" si="7"/>
        <v>#DIV/0!</v>
      </c>
      <c r="U13" s="459" t="e">
        <f t="shared" si="8"/>
        <v>#DIV/0!</v>
      </c>
      <c r="V13" s="454">
        <v>1</v>
      </c>
      <c r="W13" s="453" t="e">
        <f t="shared" si="9"/>
        <v>#DIV/0!</v>
      </c>
      <c r="X13" s="460" t="e">
        <f t="shared" si="10"/>
        <v>#DIV/0!</v>
      </c>
      <c r="Y13" s="456">
        <f t="shared" si="11"/>
        <v>0</v>
      </c>
      <c r="Z13" s="461">
        <f t="shared" si="12"/>
        <v>0</v>
      </c>
      <c r="AA13" s="450" t="e">
        <f>+'[3]MEMORIA Y VAL'!$AO$273*S13</f>
        <v>#DIV/0!</v>
      </c>
      <c r="AB13" s="458" t="e">
        <f t="shared" si="13"/>
        <v>#DIV/0!</v>
      </c>
    </row>
    <row r="14" spans="1:256" x14ac:dyDescent="0.25">
      <c r="A14" s="446">
        <f>+A13+1</f>
        <v>4</v>
      </c>
      <c r="B14" s="447" t="str">
        <f>+'[3]MEMORIA Y VAL'!E136</f>
        <v>Departamento Flat Nº</v>
      </c>
      <c r="C14" s="448" t="e">
        <f>+'[3]MEMORIA Y VAL'!AB136</f>
        <v>#DIV/0!</v>
      </c>
      <c r="D14" s="449">
        <f>+D13</f>
        <v>0</v>
      </c>
      <c r="E14" s="449" t="e">
        <f t="shared" si="0"/>
        <v>#DIV/0!</v>
      </c>
      <c r="F14" s="449">
        <f>+'[3]MEMORIA Y VAL'!AP136</f>
        <v>0</v>
      </c>
      <c r="G14" s="450"/>
      <c r="H14" s="449">
        <f>+'[3]MEMORIA Y VAL'!AI136</f>
        <v>0</v>
      </c>
      <c r="I14" s="450">
        <f t="shared" si="1"/>
        <v>0</v>
      </c>
      <c r="J14" s="449">
        <f>+J13</f>
        <v>0</v>
      </c>
      <c r="K14" s="451">
        <v>0</v>
      </c>
      <c r="L14" s="450">
        <f>+L13</f>
        <v>1</v>
      </c>
      <c r="M14" s="450">
        <f t="shared" si="2"/>
        <v>0</v>
      </c>
      <c r="N14" s="450">
        <f t="shared" si="3"/>
        <v>0</v>
      </c>
      <c r="O14" s="449">
        <f t="shared" si="4"/>
        <v>0</v>
      </c>
      <c r="P14" s="449">
        <f t="shared" si="5"/>
        <v>0</v>
      </c>
      <c r="Q14" s="449">
        <f t="shared" si="6"/>
        <v>0</v>
      </c>
      <c r="R14" s="450">
        <f>+R13</f>
        <v>0</v>
      </c>
      <c r="S14" s="452" t="e">
        <f>+'[3]MEMORIA Y VAL'!U136</f>
        <v>#DIV/0!</v>
      </c>
      <c r="T14" s="449" t="e">
        <f t="shared" si="7"/>
        <v>#DIV/0!</v>
      </c>
      <c r="U14" s="459" t="e">
        <f t="shared" si="8"/>
        <v>#DIV/0!</v>
      </c>
      <c r="V14" s="454">
        <v>1</v>
      </c>
      <c r="W14" s="453" t="e">
        <f t="shared" si="9"/>
        <v>#DIV/0!</v>
      </c>
      <c r="X14" s="460" t="e">
        <f t="shared" si="10"/>
        <v>#DIV/0!</v>
      </c>
      <c r="Y14" s="456">
        <f t="shared" si="11"/>
        <v>0</v>
      </c>
      <c r="Z14" s="461">
        <f t="shared" si="12"/>
        <v>0</v>
      </c>
      <c r="AA14" s="450" t="e">
        <f>+'[3]MEMORIA Y VAL'!$AO$273*S14</f>
        <v>#DIV/0!</v>
      </c>
      <c r="AB14" s="458" t="e">
        <f t="shared" si="13"/>
        <v>#DIV/0!</v>
      </c>
    </row>
    <row r="15" spans="1:256" x14ac:dyDescent="0.25">
      <c r="A15" s="446">
        <f>+A14+1</f>
        <v>5</v>
      </c>
      <c r="B15" s="447" t="str">
        <f>+'[3]MEMORIA Y VAL'!E137</f>
        <v xml:space="preserve">Departamento Dúplex Nº </v>
      </c>
      <c r="C15" s="448" t="e">
        <f>+'[3]MEMORIA Y VAL'!AB137</f>
        <v>#DIV/0!</v>
      </c>
      <c r="D15" s="449">
        <f>+D14</f>
        <v>0</v>
      </c>
      <c r="E15" s="449" t="e">
        <f t="shared" si="0"/>
        <v>#DIV/0!</v>
      </c>
      <c r="F15" s="449">
        <f>+'[3]MEMORIA Y VAL'!AP137</f>
        <v>0</v>
      </c>
      <c r="G15" s="450"/>
      <c r="H15" s="449">
        <f>+'[3]MEMORIA Y VAL'!AI137</f>
        <v>0</v>
      </c>
      <c r="I15" s="450">
        <f t="shared" si="1"/>
        <v>0</v>
      </c>
      <c r="J15" s="449">
        <f>+J14</f>
        <v>0</v>
      </c>
      <c r="K15" s="451">
        <v>0</v>
      </c>
      <c r="L15" s="450">
        <f>+L14</f>
        <v>1</v>
      </c>
      <c r="M15" s="450">
        <f t="shared" si="2"/>
        <v>0</v>
      </c>
      <c r="N15" s="450">
        <f t="shared" si="3"/>
        <v>0</v>
      </c>
      <c r="O15" s="449">
        <f t="shared" si="4"/>
        <v>0</v>
      </c>
      <c r="P15" s="449">
        <f t="shared" si="5"/>
        <v>0</v>
      </c>
      <c r="Q15" s="449">
        <f t="shared" si="6"/>
        <v>0</v>
      </c>
      <c r="R15" s="450">
        <f>+R14</f>
        <v>0</v>
      </c>
      <c r="S15" s="452" t="e">
        <f>+'[3]MEMORIA Y VAL'!U137</f>
        <v>#DIV/0!</v>
      </c>
      <c r="T15" s="449" t="e">
        <f t="shared" si="7"/>
        <v>#DIV/0!</v>
      </c>
      <c r="U15" s="459" t="e">
        <f t="shared" si="8"/>
        <v>#DIV/0!</v>
      </c>
      <c r="V15" s="454">
        <v>1</v>
      </c>
      <c r="W15" s="453" t="e">
        <f t="shared" si="9"/>
        <v>#DIV/0!</v>
      </c>
      <c r="X15" s="460" t="e">
        <f t="shared" si="10"/>
        <v>#DIV/0!</v>
      </c>
      <c r="Y15" s="456">
        <f t="shared" si="11"/>
        <v>0</v>
      </c>
      <c r="Z15" s="461">
        <f t="shared" si="12"/>
        <v>0</v>
      </c>
      <c r="AA15" s="450" t="e">
        <f>+'[3]MEMORIA Y VAL'!$AO$273*S15</f>
        <v>#DIV/0!</v>
      </c>
      <c r="AB15" s="458" t="e">
        <f t="shared" si="13"/>
        <v>#DIV/0!</v>
      </c>
    </row>
    <row r="16" spans="1:256" ht="14.4" thickBot="1" x14ac:dyDescent="0.3">
      <c r="A16" s="446">
        <f>+A15+1</f>
        <v>6</v>
      </c>
      <c r="B16" s="447" t="str">
        <f>+'[3]MEMORIA Y VAL'!E138</f>
        <v xml:space="preserve">Departamento Dúplex Nº </v>
      </c>
      <c r="C16" s="448" t="e">
        <f>+'[3]MEMORIA Y VAL'!AB138</f>
        <v>#DIV/0!</v>
      </c>
      <c r="D16" s="449">
        <f>+D15</f>
        <v>0</v>
      </c>
      <c r="E16" s="449" t="e">
        <f t="shared" si="0"/>
        <v>#DIV/0!</v>
      </c>
      <c r="F16" s="449">
        <f>+'[3]MEMORIA Y VAL'!AP138</f>
        <v>0</v>
      </c>
      <c r="G16" s="450"/>
      <c r="H16" s="449">
        <f>+'[3]MEMORIA Y VAL'!AI138</f>
        <v>0</v>
      </c>
      <c r="I16" s="450">
        <f t="shared" si="1"/>
        <v>0</v>
      </c>
      <c r="J16" s="449">
        <f>+J15</f>
        <v>0</v>
      </c>
      <c r="K16" s="451">
        <v>0</v>
      </c>
      <c r="L16" s="450">
        <f>+L15</f>
        <v>1</v>
      </c>
      <c r="M16" s="450">
        <f t="shared" si="2"/>
        <v>0</v>
      </c>
      <c r="N16" s="450">
        <f t="shared" si="3"/>
        <v>0</v>
      </c>
      <c r="O16" s="449">
        <f t="shared" si="4"/>
        <v>0</v>
      </c>
      <c r="P16" s="449">
        <f t="shared" si="5"/>
        <v>0</v>
      </c>
      <c r="Q16" s="449">
        <f t="shared" si="6"/>
        <v>0</v>
      </c>
      <c r="R16" s="450">
        <f>+R15</f>
        <v>0</v>
      </c>
      <c r="S16" s="452" t="e">
        <f>+'[3]MEMORIA Y VAL'!U138</f>
        <v>#DIV/0!</v>
      </c>
      <c r="T16" s="449" t="e">
        <f t="shared" si="7"/>
        <v>#DIV/0!</v>
      </c>
      <c r="U16" s="459" t="e">
        <f t="shared" si="8"/>
        <v>#DIV/0!</v>
      </c>
      <c r="V16" s="454">
        <v>1</v>
      </c>
      <c r="W16" s="453" t="e">
        <f t="shared" si="9"/>
        <v>#DIV/0!</v>
      </c>
      <c r="X16" s="460" t="e">
        <f t="shared" si="10"/>
        <v>#DIV/0!</v>
      </c>
      <c r="Y16" s="456">
        <f t="shared" si="11"/>
        <v>0</v>
      </c>
      <c r="Z16" s="461">
        <f t="shared" si="12"/>
        <v>0</v>
      </c>
      <c r="AA16" s="450" t="e">
        <f>+'[3]MEMORIA Y VAL'!$AO$273*S16</f>
        <v>#DIV/0!</v>
      </c>
      <c r="AB16" s="458" t="e">
        <f t="shared" si="13"/>
        <v>#DIV/0!</v>
      </c>
    </row>
    <row r="17" spans="1:28" ht="14.4" thickBot="1" x14ac:dyDescent="0.3">
      <c r="A17" s="1006" t="s">
        <v>247</v>
      </c>
      <c r="B17" s="1007"/>
      <c r="C17" s="462" t="e">
        <f>SUM(C11:C16)</f>
        <v>#DIV/0!</v>
      </c>
      <c r="D17" s="463"/>
      <c r="E17" s="463" t="e">
        <f>SUM(E11:E16)</f>
        <v>#DIV/0!</v>
      </c>
      <c r="F17" s="463">
        <f>SUM(F11:F16)</f>
        <v>0</v>
      </c>
      <c r="G17" s="463" t="e">
        <f>+#REF!+#REF!+#REF!+#REF!</f>
        <v>#REF!</v>
      </c>
      <c r="H17" s="463">
        <f>SUM(H11:H16)</f>
        <v>0</v>
      </c>
      <c r="I17" s="463">
        <f>SUM(I11:I16)</f>
        <v>0</v>
      </c>
      <c r="J17" s="463"/>
      <c r="K17" s="463"/>
      <c r="L17" s="463"/>
      <c r="M17" s="463">
        <f>SUM(M11:M16)</f>
        <v>0</v>
      </c>
      <c r="N17" s="463">
        <f>SUM(N11:N16)</f>
        <v>0</v>
      </c>
      <c r="O17" s="463">
        <f>SUM(O11:O16)</f>
        <v>0</v>
      </c>
      <c r="P17" s="463">
        <f>SUM(P11:P16)</f>
        <v>0</v>
      </c>
      <c r="Q17" s="463">
        <f>SUM(Q11:Q16)</f>
        <v>0</v>
      </c>
      <c r="R17" s="463"/>
      <c r="S17" s="463"/>
      <c r="T17" s="463" t="e">
        <f>SUM(T11:T16)</f>
        <v>#DIV/0!</v>
      </c>
      <c r="U17" s="463" t="e">
        <f>SUM(U11:U16)</f>
        <v>#DIV/0!</v>
      </c>
      <c r="V17" s="463"/>
      <c r="W17" s="463" t="e">
        <f t="shared" ref="W17:AB17" si="14">SUM(W11:W16)</f>
        <v>#DIV/0!</v>
      </c>
      <c r="X17" s="463" t="e">
        <f t="shared" si="14"/>
        <v>#DIV/0!</v>
      </c>
      <c r="Y17" s="464">
        <f t="shared" si="14"/>
        <v>0</v>
      </c>
      <c r="Z17" s="464">
        <f t="shared" si="14"/>
        <v>0</v>
      </c>
      <c r="AA17" s="464" t="e">
        <f t="shared" si="14"/>
        <v>#DIV/0!</v>
      </c>
      <c r="AB17" s="464" t="e">
        <f t="shared" si="14"/>
        <v>#DIV/0!</v>
      </c>
    </row>
    <row r="18" spans="1:28" x14ac:dyDescent="0.25">
      <c r="A18" s="442" t="s">
        <v>248</v>
      </c>
      <c r="B18" s="443"/>
      <c r="C18" s="444"/>
      <c r="D18" s="444"/>
      <c r="E18" s="444"/>
      <c r="F18" s="444"/>
      <c r="G18" s="444"/>
      <c r="H18" s="444"/>
      <c r="I18" s="444"/>
      <c r="J18" s="444"/>
      <c r="K18" s="444"/>
      <c r="L18" s="444"/>
      <c r="M18" s="444"/>
      <c r="N18" s="444"/>
      <c r="O18" s="444"/>
      <c r="P18" s="444"/>
      <c r="Q18" s="444"/>
      <c r="R18" s="444"/>
      <c r="S18" s="444"/>
      <c r="T18" s="444"/>
      <c r="U18" s="444"/>
      <c r="V18" s="444"/>
      <c r="W18" s="444"/>
      <c r="X18" s="444"/>
      <c r="Y18" s="444"/>
      <c r="Z18" s="444"/>
      <c r="AA18" s="444"/>
      <c r="AB18" s="445"/>
    </row>
    <row r="19" spans="1:28" x14ac:dyDescent="0.25">
      <c r="A19" s="446">
        <f>1+A16</f>
        <v>7</v>
      </c>
      <c r="B19" s="447" t="str">
        <f>+'[3]MEMORIA Y VAL'!E140</f>
        <v xml:space="preserve">Estacionamiento  Nº </v>
      </c>
      <c r="C19" s="448" t="e">
        <f>+'[3]MEMORIA Y VAL'!AB140</f>
        <v>#DIV/0!</v>
      </c>
      <c r="D19" s="449">
        <f>+D16</f>
        <v>0</v>
      </c>
      <c r="E19" s="449" t="e">
        <f>+C19*D19</f>
        <v>#DIV/0!</v>
      </c>
      <c r="F19" s="449">
        <f>+'[3]MEMORIA Y VAL'!AP140</f>
        <v>0</v>
      </c>
      <c r="G19" s="450"/>
      <c r="H19" s="449">
        <f>+'[3]MEMORIA Y VAL'!AI140</f>
        <v>0</v>
      </c>
      <c r="I19" s="450">
        <f>+F19-H19</f>
        <v>0</v>
      </c>
      <c r="J19" s="465">
        <f>+'[4]MEMORIA Y VAL'!AR1967</f>
        <v>0</v>
      </c>
      <c r="K19" s="451">
        <v>0</v>
      </c>
      <c r="L19" s="450">
        <f>+L16</f>
        <v>1</v>
      </c>
      <c r="M19" s="450">
        <f>H19*J19*L19</f>
        <v>0</v>
      </c>
      <c r="N19" s="450">
        <f t="shared" ref="N19:N28" si="15">+I19*K19</f>
        <v>0</v>
      </c>
      <c r="O19" s="449">
        <f>+M19+N19</f>
        <v>0</v>
      </c>
      <c r="P19" s="449">
        <f t="shared" ref="P19:P28" si="16">+O19*0.15</f>
        <v>0</v>
      </c>
      <c r="Q19" s="449">
        <f t="shared" ref="Q19:Q28" si="17">+O19+P19</f>
        <v>0</v>
      </c>
      <c r="R19" s="450">
        <f>+R16</f>
        <v>0</v>
      </c>
      <c r="S19" s="452" t="e">
        <f>+'[3]MEMORIA Y VAL'!U140</f>
        <v>#DIV/0!</v>
      </c>
      <c r="T19" s="449" t="e">
        <f t="shared" ref="T19:T28" si="18">+R19*S19</f>
        <v>#DIV/0!</v>
      </c>
      <c r="U19" s="453" t="e">
        <f t="shared" ref="U19:U28" si="19">+E19+Q19+T19</f>
        <v>#DIV/0!</v>
      </c>
      <c r="V19" s="454">
        <v>1</v>
      </c>
      <c r="W19" s="453" t="e">
        <f>+U19*V19</f>
        <v>#DIV/0!</v>
      </c>
      <c r="X19" s="455" t="e">
        <f>+W19*0.8</f>
        <v>#DIV/0!</v>
      </c>
      <c r="Y19" s="456">
        <f t="shared" ref="Y19:Y28" si="20">+H19*J19</f>
        <v>0</v>
      </c>
      <c r="Z19" s="457">
        <f>+Y19*0.15</f>
        <v>0</v>
      </c>
      <c r="AA19" s="450" t="e">
        <f>+'[3]MEMORIA Y VAL'!$AO$273*S19</f>
        <v>#DIV/0!</v>
      </c>
      <c r="AB19" s="458" t="e">
        <f>+Y19+Z19+AA19</f>
        <v>#DIV/0!</v>
      </c>
    </row>
    <row r="20" spans="1:28" x14ac:dyDescent="0.25">
      <c r="A20" s="446">
        <f t="shared" ref="A20:A28" si="21">+A19+1</f>
        <v>8</v>
      </c>
      <c r="B20" s="447" t="str">
        <f>+'[3]MEMORIA Y VAL'!E142</f>
        <v xml:space="preserve">Estacionamiento  Nº </v>
      </c>
      <c r="C20" s="448" t="e">
        <f>+'[3]MEMORIA Y VAL'!AB141</f>
        <v>#DIV/0!</v>
      </c>
      <c r="D20" s="449">
        <f t="shared" ref="D20:D28" si="22">+D19</f>
        <v>0</v>
      </c>
      <c r="E20" s="449" t="e">
        <f t="shared" ref="E20:E28" si="23">+C20*D20</f>
        <v>#DIV/0!</v>
      </c>
      <c r="F20" s="449">
        <f>+'[3]MEMORIA Y VAL'!AP141</f>
        <v>0</v>
      </c>
      <c r="G20" s="450"/>
      <c r="H20" s="449">
        <f>+'[3]MEMORIA Y VAL'!AI141</f>
        <v>0</v>
      </c>
      <c r="I20" s="450">
        <f t="shared" ref="I20:I28" si="24">+F20-H20</f>
        <v>0</v>
      </c>
      <c r="J20" s="465">
        <f>+J19</f>
        <v>0</v>
      </c>
      <c r="K20" s="451">
        <v>0</v>
      </c>
      <c r="L20" s="450">
        <f t="shared" ref="L20:L28" si="25">+L19</f>
        <v>1</v>
      </c>
      <c r="M20" s="450">
        <f t="shared" ref="M20:M28" si="26">H20*J20*L20</f>
        <v>0</v>
      </c>
      <c r="N20" s="450">
        <f t="shared" si="15"/>
        <v>0</v>
      </c>
      <c r="O20" s="449">
        <f t="shared" ref="O20:O28" si="27">+M20+N20</f>
        <v>0</v>
      </c>
      <c r="P20" s="449">
        <f t="shared" si="16"/>
        <v>0</v>
      </c>
      <c r="Q20" s="449">
        <f t="shared" si="17"/>
        <v>0</v>
      </c>
      <c r="R20" s="450">
        <f t="shared" ref="R20:R28" si="28">+R19</f>
        <v>0</v>
      </c>
      <c r="S20" s="452" t="e">
        <f>+'[3]MEMORIA Y VAL'!U141</f>
        <v>#DIV/0!</v>
      </c>
      <c r="T20" s="449" t="e">
        <f t="shared" si="18"/>
        <v>#DIV/0!</v>
      </c>
      <c r="U20" s="459" t="e">
        <f t="shared" si="19"/>
        <v>#DIV/0!</v>
      </c>
      <c r="V20" s="454">
        <v>1</v>
      </c>
      <c r="W20" s="453" t="e">
        <f t="shared" ref="W20:W28" si="29">+U20*V20</f>
        <v>#DIV/0!</v>
      </c>
      <c r="X20" s="460" t="e">
        <f t="shared" ref="X20:X28" si="30">+W20*0.8</f>
        <v>#DIV/0!</v>
      </c>
      <c r="Y20" s="456">
        <f t="shared" si="20"/>
        <v>0</v>
      </c>
      <c r="Z20" s="461">
        <f t="shared" ref="Z20:Z28" si="31">+Y20*0.15</f>
        <v>0</v>
      </c>
      <c r="AA20" s="450" t="e">
        <f>+'[3]MEMORIA Y VAL'!$AO$273*S20</f>
        <v>#DIV/0!</v>
      </c>
      <c r="AB20" s="458" t="e">
        <f t="shared" ref="AB20:AB28" si="32">+Y20+Z20+AA20</f>
        <v>#DIV/0!</v>
      </c>
    </row>
    <row r="21" spans="1:28" x14ac:dyDescent="0.25">
      <c r="A21" s="446">
        <f t="shared" si="21"/>
        <v>9</v>
      </c>
      <c r="B21" s="447" t="str">
        <f>+'[3]MEMORIA Y VAL'!E143</f>
        <v xml:space="preserve">Estacionamiento  Nº </v>
      </c>
      <c r="C21" s="448" t="e">
        <f>+'[3]MEMORIA Y VAL'!AB142</f>
        <v>#DIV/0!</v>
      </c>
      <c r="D21" s="449">
        <f t="shared" si="22"/>
        <v>0</v>
      </c>
      <c r="E21" s="449" t="e">
        <f t="shared" si="23"/>
        <v>#DIV/0!</v>
      </c>
      <c r="F21" s="449">
        <f>+'[3]MEMORIA Y VAL'!AP142</f>
        <v>0</v>
      </c>
      <c r="G21" s="450"/>
      <c r="H21" s="449">
        <f>+'[3]MEMORIA Y VAL'!AI142</f>
        <v>0</v>
      </c>
      <c r="I21" s="450">
        <f t="shared" si="24"/>
        <v>0</v>
      </c>
      <c r="J21" s="465">
        <f t="shared" ref="J21:J27" si="33">+J20</f>
        <v>0</v>
      </c>
      <c r="K21" s="451">
        <v>0</v>
      </c>
      <c r="L21" s="450">
        <f t="shared" si="25"/>
        <v>1</v>
      </c>
      <c r="M21" s="450">
        <f t="shared" si="26"/>
        <v>0</v>
      </c>
      <c r="N21" s="450">
        <f t="shared" si="15"/>
        <v>0</v>
      </c>
      <c r="O21" s="449">
        <f t="shared" si="27"/>
        <v>0</v>
      </c>
      <c r="P21" s="449">
        <f t="shared" si="16"/>
        <v>0</v>
      </c>
      <c r="Q21" s="449">
        <f t="shared" si="17"/>
        <v>0</v>
      </c>
      <c r="R21" s="450">
        <f t="shared" si="28"/>
        <v>0</v>
      </c>
      <c r="S21" s="452" t="e">
        <f>+'[3]MEMORIA Y VAL'!U142</f>
        <v>#DIV/0!</v>
      </c>
      <c r="T21" s="449" t="e">
        <f t="shared" si="18"/>
        <v>#DIV/0!</v>
      </c>
      <c r="U21" s="459" t="e">
        <f t="shared" si="19"/>
        <v>#DIV/0!</v>
      </c>
      <c r="V21" s="454">
        <v>1</v>
      </c>
      <c r="W21" s="453" t="e">
        <f t="shared" si="29"/>
        <v>#DIV/0!</v>
      </c>
      <c r="X21" s="460" t="e">
        <f t="shared" si="30"/>
        <v>#DIV/0!</v>
      </c>
      <c r="Y21" s="456">
        <f t="shared" si="20"/>
        <v>0</v>
      </c>
      <c r="Z21" s="461">
        <f t="shared" si="31"/>
        <v>0</v>
      </c>
      <c r="AA21" s="450" t="e">
        <f>+'[3]MEMORIA Y VAL'!$AO$273*S21</f>
        <v>#DIV/0!</v>
      </c>
      <c r="AB21" s="458" t="e">
        <f t="shared" si="32"/>
        <v>#DIV/0!</v>
      </c>
    </row>
    <row r="22" spans="1:28" x14ac:dyDescent="0.25">
      <c r="A22" s="446">
        <f t="shared" si="21"/>
        <v>10</v>
      </c>
      <c r="B22" s="447" t="str">
        <f>+'[3]MEMORIA Y VAL'!E144</f>
        <v xml:space="preserve">Estacionamiento  Nº </v>
      </c>
      <c r="C22" s="448" t="e">
        <f>+'[3]MEMORIA Y VAL'!AB143</f>
        <v>#DIV/0!</v>
      </c>
      <c r="D22" s="449">
        <f t="shared" si="22"/>
        <v>0</v>
      </c>
      <c r="E22" s="449" t="e">
        <f t="shared" si="23"/>
        <v>#DIV/0!</v>
      </c>
      <c r="F22" s="449">
        <f>+'[3]MEMORIA Y VAL'!AP143</f>
        <v>0</v>
      </c>
      <c r="G22" s="450"/>
      <c r="H22" s="449">
        <f>+'[3]MEMORIA Y VAL'!AI143</f>
        <v>0</v>
      </c>
      <c r="I22" s="450">
        <f t="shared" si="24"/>
        <v>0</v>
      </c>
      <c r="J22" s="465">
        <f t="shared" si="33"/>
        <v>0</v>
      </c>
      <c r="K22" s="451">
        <v>0</v>
      </c>
      <c r="L22" s="450">
        <f t="shared" si="25"/>
        <v>1</v>
      </c>
      <c r="M22" s="450">
        <f t="shared" si="26"/>
        <v>0</v>
      </c>
      <c r="N22" s="450">
        <f t="shared" si="15"/>
        <v>0</v>
      </c>
      <c r="O22" s="449">
        <f t="shared" si="27"/>
        <v>0</v>
      </c>
      <c r="P22" s="449">
        <f t="shared" si="16"/>
        <v>0</v>
      </c>
      <c r="Q22" s="449">
        <f t="shared" si="17"/>
        <v>0</v>
      </c>
      <c r="R22" s="450">
        <f t="shared" si="28"/>
        <v>0</v>
      </c>
      <c r="S22" s="452" t="e">
        <f>+'[3]MEMORIA Y VAL'!U143</f>
        <v>#DIV/0!</v>
      </c>
      <c r="T22" s="449" t="e">
        <f t="shared" si="18"/>
        <v>#DIV/0!</v>
      </c>
      <c r="U22" s="459" t="e">
        <f t="shared" si="19"/>
        <v>#DIV/0!</v>
      </c>
      <c r="V22" s="454">
        <v>1</v>
      </c>
      <c r="W22" s="453" t="e">
        <f t="shared" si="29"/>
        <v>#DIV/0!</v>
      </c>
      <c r="X22" s="460" t="e">
        <f t="shared" si="30"/>
        <v>#DIV/0!</v>
      </c>
      <c r="Y22" s="456">
        <f t="shared" si="20"/>
        <v>0</v>
      </c>
      <c r="Z22" s="461">
        <f t="shared" si="31"/>
        <v>0</v>
      </c>
      <c r="AA22" s="450" t="e">
        <f>+'[3]MEMORIA Y VAL'!$AO$273*S22</f>
        <v>#DIV/0!</v>
      </c>
      <c r="AB22" s="458" t="e">
        <f t="shared" si="32"/>
        <v>#DIV/0!</v>
      </c>
    </row>
    <row r="23" spans="1:28" x14ac:dyDescent="0.25">
      <c r="A23" s="446">
        <f t="shared" si="21"/>
        <v>11</v>
      </c>
      <c r="B23" s="447" t="str">
        <f>+'[3]MEMORIA Y VAL'!E145</f>
        <v xml:space="preserve">Estacionamiento  Nº </v>
      </c>
      <c r="C23" s="448" t="e">
        <f>+'[3]MEMORIA Y VAL'!AB144</f>
        <v>#DIV/0!</v>
      </c>
      <c r="D23" s="449">
        <f t="shared" si="22"/>
        <v>0</v>
      </c>
      <c r="E23" s="449" t="e">
        <f t="shared" si="23"/>
        <v>#DIV/0!</v>
      </c>
      <c r="F23" s="449">
        <f>+'[3]MEMORIA Y VAL'!AP144</f>
        <v>0</v>
      </c>
      <c r="G23" s="450"/>
      <c r="H23" s="449">
        <f>+'[3]MEMORIA Y VAL'!AI144</f>
        <v>0</v>
      </c>
      <c r="I23" s="450">
        <f t="shared" si="24"/>
        <v>0</v>
      </c>
      <c r="J23" s="465">
        <f t="shared" si="33"/>
        <v>0</v>
      </c>
      <c r="K23" s="451">
        <v>0</v>
      </c>
      <c r="L23" s="450">
        <f t="shared" si="25"/>
        <v>1</v>
      </c>
      <c r="M23" s="450">
        <f t="shared" si="26"/>
        <v>0</v>
      </c>
      <c r="N23" s="450">
        <f t="shared" si="15"/>
        <v>0</v>
      </c>
      <c r="O23" s="449">
        <f t="shared" si="27"/>
        <v>0</v>
      </c>
      <c r="P23" s="449">
        <f t="shared" si="16"/>
        <v>0</v>
      </c>
      <c r="Q23" s="449">
        <f t="shared" si="17"/>
        <v>0</v>
      </c>
      <c r="R23" s="450">
        <f t="shared" si="28"/>
        <v>0</v>
      </c>
      <c r="S23" s="452" t="e">
        <f>+'[3]MEMORIA Y VAL'!U144</f>
        <v>#DIV/0!</v>
      </c>
      <c r="T23" s="449" t="e">
        <f t="shared" si="18"/>
        <v>#DIV/0!</v>
      </c>
      <c r="U23" s="459" t="e">
        <f t="shared" si="19"/>
        <v>#DIV/0!</v>
      </c>
      <c r="V23" s="454">
        <v>1</v>
      </c>
      <c r="W23" s="453" t="e">
        <f t="shared" si="29"/>
        <v>#DIV/0!</v>
      </c>
      <c r="X23" s="460" t="e">
        <f t="shared" si="30"/>
        <v>#DIV/0!</v>
      </c>
      <c r="Y23" s="456">
        <f t="shared" si="20"/>
        <v>0</v>
      </c>
      <c r="Z23" s="461">
        <f t="shared" si="31"/>
        <v>0</v>
      </c>
      <c r="AA23" s="450" t="e">
        <f>+'[3]MEMORIA Y VAL'!$AO$273*S23</f>
        <v>#DIV/0!</v>
      </c>
      <c r="AB23" s="458" t="e">
        <f t="shared" si="32"/>
        <v>#DIV/0!</v>
      </c>
    </row>
    <row r="24" spans="1:28" x14ac:dyDescent="0.25">
      <c r="A24" s="446">
        <f t="shared" si="21"/>
        <v>12</v>
      </c>
      <c r="B24" s="447" t="str">
        <f>+'[3]MEMORIA Y VAL'!E146</f>
        <v xml:space="preserve">Estacionamiento  Nº </v>
      </c>
      <c r="C24" s="448" t="e">
        <f>+'[3]MEMORIA Y VAL'!AB145</f>
        <v>#DIV/0!</v>
      </c>
      <c r="D24" s="449">
        <f t="shared" si="22"/>
        <v>0</v>
      </c>
      <c r="E24" s="449" t="e">
        <f t="shared" si="23"/>
        <v>#DIV/0!</v>
      </c>
      <c r="F24" s="449">
        <f>+'[3]MEMORIA Y VAL'!AP145</f>
        <v>0</v>
      </c>
      <c r="G24" s="450"/>
      <c r="H24" s="449">
        <f>+'[3]MEMORIA Y VAL'!AI145</f>
        <v>0</v>
      </c>
      <c r="I24" s="450">
        <f t="shared" si="24"/>
        <v>0</v>
      </c>
      <c r="J24" s="465">
        <f>+J23</f>
        <v>0</v>
      </c>
      <c r="K24" s="451">
        <v>0</v>
      </c>
      <c r="L24" s="450">
        <f t="shared" si="25"/>
        <v>1</v>
      </c>
      <c r="M24" s="450">
        <f t="shared" si="26"/>
        <v>0</v>
      </c>
      <c r="N24" s="450">
        <f t="shared" si="15"/>
        <v>0</v>
      </c>
      <c r="O24" s="449">
        <f t="shared" si="27"/>
        <v>0</v>
      </c>
      <c r="P24" s="449">
        <f t="shared" si="16"/>
        <v>0</v>
      </c>
      <c r="Q24" s="449">
        <f t="shared" si="17"/>
        <v>0</v>
      </c>
      <c r="R24" s="450">
        <f t="shared" si="28"/>
        <v>0</v>
      </c>
      <c r="S24" s="452" t="e">
        <f>+'[3]MEMORIA Y VAL'!U145</f>
        <v>#DIV/0!</v>
      </c>
      <c r="T24" s="449" t="e">
        <f t="shared" si="18"/>
        <v>#DIV/0!</v>
      </c>
      <c r="U24" s="459" t="e">
        <f t="shared" si="19"/>
        <v>#DIV/0!</v>
      </c>
      <c r="V24" s="454">
        <v>1</v>
      </c>
      <c r="W24" s="453" t="e">
        <f t="shared" si="29"/>
        <v>#DIV/0!</v>
      </c>
      <c r="X24" s="460" t="e">
        <f t="shared" si="30"/>
        <v>#DIV/0!</v>
      </c>
      <c r="Y24" s="456">
        <f t="shared" si="20"/>
        <v>0</v>
      </c>
      <c r="Z24" s="461">
        <f t="shared" si="31"/>
        <v>0</v>
      </c>
      <c r="AA24" s="450" t="e">
        <f>+'[3]MEMORIA Y VAL'!$AO$273*S24</f>
        <v>#DIV/0!</v>
      </c>
      <c r="AB24" s="458" t="e">
        <f t="shared" si="32"/>
        <v>#DIV/0!</v>
      </c>
    </row>
    <row r="25" spans="1:28" x14ac:dyDescent="0.25">
      <c r="A25" s="446">
        <f t="shared" si="21"/>
        <v>13</v>
      </c>
      <c r="B25" s="447" t="str">
        <f>+'[3]MEMORIA Y VAL'!E147</f>
        <v xml:space="preserve">Estacionamiento  Nº </v>
      </c>
      <c r="C25" s="448" t="e">
        <f>+'[3]MEMORIA Y VAL'!AB146</f>
        <v>#DIV/0!</v>
      </c>
      <c r="D25" s="449">
        <f t="shared" si="22"/>
        <v>0</v>
      </c>
      <c r="E25" s="449" t="e">
        <f t="shared" si="23"/>
        <v>#DIV/0!</v>
      </c>
      <c r="F25" s="449">
        <f>+'[3]MEMORIA Y VAL'!AP146</f>
        <v>0</v>
      </c>
      <c r="G25" s="450"/>
      <c r="H25" s="449">
        <f>+'[3]MEMORIA Y VAL'!AI146</f>
        <v>0</v>
      </c>
      <c r="I25" s="450">
        <f t="shared" si="24"/>
        <v>0</v>
      </c>
      <c r="J25" s="465">
        <f t="shared" si="33"/>
        <v>0</v>
      </c>
      <c r="K25" s="451">
        <v>0</v>
      </c>
      <c r="L25" s="450">
        <f t="shared" si="25"/>
        <v>1</v>
      </c>
      <c r="M25" s="450">
        <f t="shared" si="26"/>
        <v>0</v>
      </c>
      <c r="N25" s="450">
        <f t="shared" si="15"/>
        <v>0</v>
      </c>
      <c r="O25" s="449">
        <f t="shared" si="27"/>
        <v>0</v>
      </c>
      <c r="P25" s="449">
        <f t="shared" si="16"/>
        <v>0</v>
      </c>
      <c r="Q25" s="449">
        <f t="shared" si="17"/>
        <v>0</v>
      </c>
      <c r="R25" s="450">
        <f t="shared" si="28"/>
        <v>0</v>
      </c>
      <c r="S25" s="452" t="e">
        <f>+'[3]MEMORIA Y VAL'!U146</f>
        <v>#DIV/0!</v>
      </c>
      <c r="T25" s="449" t="e">
        <f t="shared" si="18"/>
        <v>#DIV/0!</v>
      </c>
      <c r="U25" s="459" t="e">
        <f t="shared" si="19"/>
        <v>#DIV/0!</v>
      </c>
      <c r="V25" s="454">
        <v>1</v>
      </c>
      <c r="W25" s="453" t="e">
        <f t="shared" si="29"/>
        <v>#DIV/0!</v>
      </c>
      <c r="X25" s="460" t="e">
        <f t="shared" si="30"/>
        <v>#DIV/0!</v>
      </c>
      <c r="Y25" s="456">
        <f t="shared" si="20"/>
        <v>0</v>
      </c>
      <c r="Z25" s="461">
        <f t="shared" si="31"/>
        <v>0</v>
      </c>
      <c r="AA25" s="450" t="e">
        <f>+'[3]MEMORIA Y VAL'!$AO$273*S25</f>
        <v>#DIV/0!</v>
      </c>
      <c r="AB25" s="458" t="e">
        <f t="shared" si="32"/>
        <v>#DIV/0!</v>
      </c>
    </row>
    <row r="26" spans="1:28" x14ac:dyDescent="0.25">
      <c r="A26" s="446">
        <f t="shared" si="21"/>
        <v>14</v>
      </c>
      <c r="B26" s="447" t="str">
        <f>+'[3]MEMORIA Y VAL'!E148</f>
        <v xml:space="preserve">Estacionamiento  Nº </v>
      </c>
      <c r="C26" s="448" t="e">
        <f>+'[3]MEMORIA Y VAL'!AB147</f>
        <v>#DIV/0!</v>
      </c>
      <c r="D26" s="449">
        <f t="shared" si="22"/>
        <v>0</v>
      </c>
      <c r="E26" s="449" t="e">
        <f t="shared" si="23"/>
        <v>#DIV/0!</v>
      </c>
      <c r="F26" s="449">
        <f>+'[3]MEMORIA Y VAL'!AP147</f>
        <v>0</v>
      </c>
      <c r="G26" s="450"/>
      <c r="H26" s="449">
        <f>+'[3]MEMORIA Y VAL'!AI147</f>
        <v>0</v>
      </c>
      <c r="I26" s="450">
        <f t="shared" si="24"/>
        <v>0</v>
      </c>
      <c r="J26" s="465">
        <f t="shared" si="33"/>
        <v>0</v>
      </c>
      <c r="K26" s="451">
        <v>0</v>
      </c>
      <c r="L26" s="450">
        <f t="shared" si="25"/>
        <v>1</v>
      </c>
      <c r="M26" s="450">
        <f t="shared" si="26"/>
        <v>0</v>
      </c>
      <c r="N26" s="450">
        <f t="shared" si="15"/>
        <v>0</v>
      </c>
      <c r="O26" s="449">
        <f t="shared" si="27"/>
        <v>0</v>
      </c>
      <c r="P26" s="449">
        <f t="shared" si="16"/>
        <v>0</v>
      </c>
      <c r="Q26" s="449">
        <f t="shared" si="17"/>
        <v>0</v>
      </c>
      <c r="R26" s="450">
        <f t="shared" si="28"/>
        <v>0</v>
      </c>
      <c r="S26" s="452" t="e">
        <f>+'[3]MEMORIA Y VAL'!U147</f>
        <v>#DIV/0!</v>
      </c>
      <c r="T26" s="449" t="e">
        <f t="shared" si="18"/>
        <v>#DIV/0!</v>
      </c>
      <c r="U26" s="459" t="e">
        <f t="shared" si="19"/>
        <v>#DIV/0!</v>
      </c>
      <c r="V26" s="454">
        <v>1</v>
      </c>
      <c r="W26" s="453" t="e">
        <f t="shared" si="29"/>
        <v>#DIV/0!</v>
      </c>
      <c r="X26" s="460" t="e">
        <f t="shared" si="30"/>
        <v>#DIV/0!</v>
      </c>
      <c r="Y26" s="456">
        <f t="shared" si="20"/>
        <v>0</v>
      </c>
      <c r="Z26" s="461">
        <f t="shared" si="31"/>
        <v>0</v>
      </c>
      <c r="AA26" s="450" t="e">
        <f>+'[3]MEMORIA Y VAL'!$AO$273*S26</f>
        <v>#DIV/0!</v>
      </c>
      <c r="AB26" s="458" t="e">
        <f t="shared" si="32"/>
        <v>#DIV/0!</v>
      </c>
    </row>
    <row r="27" spans="1:28" x14ac:dyDescent="0.25">
      <c r="A27" s="446">
        <f t="shared" si="21"/>
        <v>15</v>
      </c>
      <c r="B27" s="447" t="str">
        <f>+'[3]MEMORIA Y VAL'!E149</f>
        <v xml:space="preserve">Estacionamiento  Nº </v>
      </c>
      <c r="C27" s="448" t="e">
        <f>+'[3]MEMORIA Y VAL'!AB148</f>
        <v>#DIV/0!</v>
      </c>
      <c r="D27" s="449">
        <f t="shared" si="22"/>
        <v>0</v>
      </c>
      <c r="E27" s="449" t="e">
        <f t="shared" si="23"/>
        <v>#DIV/0!</v>
      </c>
      <c r="F27" s="449">
        <f>+'[3]MEMORIA Y VAL'!AP148</f>
        <v>0</v>
      </c>
      <c r="G27" s="450"/>
      <c r="H27" s="449">
        <f>+'[3]MEMORIA Y VAL'!AI148</f>
        <v>0</v>
      </c>
      <c r="I27" s="450">
        <f t="shared" si="24"/>
        <v>0</v>
      </c>
      <c r="J27" s="465">
        <f t="shared" si="33"/>
        <v>0</v>
      </c>
      <c r="K27" s="451">
        <v>0</v>
      </c>
      <c r="L27" s="450">
        <f t="shared" si="25"/>
        <v>1</v>
      </c>
      <c r="M27" s="450">
        <f t="shared" si="26"/>
        <v>0</v>
      </c>
      <c r="N27" s="450">
        <f t="shared" si="15"/>
        <v>0</v>
      </c>
      <c r="O27" s="449">
        <f t="shared" si="27"/>
        <v>0</v>
      </c>
      <c r="P27" s="449">
        <f t="shared" si="16"/>
        <v>0</v>
      </c>
      <c r="Q27" s="449">
        <f t="shared" si="17"/>
        <v>0</v>
      </c>
      <c r="R27" s="450">
        <f t="shared" si="28"/>
        <v>0</v>
      </c>
      <c r="S27" s="452" t="e">
        <f>+'[3]MEMORIA Y VAL'!U148</f>
        <v>#DIV/0!</v>
      </c>
      <c r="T27" s="449" t="e">
        <f t="shared" si="18"/>
        <v>#DIV/0!</v>
      </c>
      <c r="U27" s="459" t="e">
        <f t="shared" si="19"/>
        <v>#DIV/0!</v>
      </c>
      <c r="V27" s="454">
        <v>1</v>
      </c>
      <c r="W27" s="453" t="e">
        <f t="shared" si="29"/>
        <v>#DIV/0!</v>
      </c>
      <c r="X27" s="460" t="e">
        <f t="shared" si="30"/>
        <v>#DIV/0!</v>
      </c>
      <c r="Y27" s="456">
        <f t="shared" si="20"/>
        <v>0</v>
      </c>
      <c r="Z27" s="461">
        <f t="shared" si="31"/>
        <v>0</v>
      </c>
      <c r="AA27" s="450" t="e">
        <f>+'[3]MEMORIA Y VAL'!$AO$273*S27</f>
        <v>#DIV/0!</v>
      </c>
      <c r="AB27" s="458" t="e">
        <f t="shared" si="32"/>
        <v>#DIV/0!</v>
      </c>
    </row>
    <row r="28" spans="1:28" ht="14.4" thickBot="1" x14ac:dyDescent="0.3">
      <c r="A28" s="446">
        <f t="shared" si="21"/>
        <v>16</v>
      </c>
      <c r="B28" s="447" t="str">
        <f>+'[3]MEMORIA Y VAL'!E150</f>
        <v xml:space="preserve">Estacionamiento  Nº </v>
      </c>
      <c r="C28" s="448" t="e">
        <f>+'[3]MEMORIA Y VAL'!AB149</f>
        <v>#DIV/0!</v>
      </c>
      <c r="D28" s="449">
        <f t="shared" si="22"/>
        <v>0</v>
      </c>
      <c r="E28" s="449" t="e">
        <f t="shared" si="23"/>
        <v>#DIV/0!</v>
      </c>
      <c r="F28" s="449">
        <f>+'[3]MEMORIA Y VAL'!AP149</f>
        <v>0</v>
      </c>
      <c r="G28" s="450"/>
      <c r="H28" s="449">
        <f>+'[3]MEMORIA Y VAL'!AI149</f>
        <v>0</v>
      </c>
      <c r="I28" s="450">
        <f t="shared" si="24"/>
        <v>0</v>
      </c>
      <c r="J28" s="465">
        <f>+J27</f>
        <v>0</v>
      </c>
      <c r="K28" s="451">
        <v>0</v>
      </c>
      <c r="L28" s="450">
        <f t="shared" si="25"/>
        <v>1</v>
      </c>
      <c r="M28" s="450">
        <f t="shared" si="26"/>
        <v>0</v>
      </c>
      <c r="N28" s="450">
        <f t="shared" si="15"/>
        <v>0</v>
      </c>
      <c r="O28" s="449">
        <f t="shared" si="27"/>
        <v>0</v>
      </c>
      <c r="P28" s="449">
        <f t="shared" si="16"/>
        <v>0</v>
      </c>
      <c r="Q28" s="449">
        <f t="shared" si="17"/>
        <v>0</v>
      </c>
      <c r="R28" s="450">
        <f t="shared" si="28"/>
        <v>0</v>
      </c>
      <c r="S28" s="452" t="e">
        <f>+'[3]MEMORIA Y VAL'!U149</f>
        <v>#DIV/0!</v>
      </c>
      <c r="T28" s="449" t="e">
        <f t="shared" si="18"/>
        <v>#DIV/0!</v>
      </c>
      <c r="U28" s="459" t="e">
        <f t="shared" si="19"/>
        <v>#DIV/0!</v>
      </c>
      <c r="V28" s="454">
        <v>1</v>
      </c>
      <c r="W28" s="453" t="e">
        <f t="shared" si="29"/>
        <v>#DIV/0!</v>
      </c>
      <c r="X28" s="460" t="e">
        <f t="shared" si="30"/>
        <v>#DIV/0!</v>
      </c>
      <c r="Y28" s="456">
        <f t="shared" si="20"/>
        <v>0</v>
      </c>
      <c r="Z28" s="461">
        <f t="shared" si="31"/>
        <v>0</v>
      </c>
      <c r="AA28" s="450" t="e">
        <f>+'[3]MEMORIA Y VAL'!$AO$273*S28</f>
        <v>#DIV/0!</v>
      </c>
      <c r="AB28" s="458" t="e">
        <f t="shared" si="32"/>
        <v>#DIV/0!</v>
      </c>
    </row>
    <row r="29" spans="1:28" ht="14.4" thickBot="1" x14ac:dyDescent="0.3">
      <c r="A29" s="1008" t="s">
        <v>249</v>
      </c>
      <c r="B29" s="1009"/>
      <c r="C29" s="462" t="e">
        <f>SUM(C19:C28)</f>
        <v>#DIV/0!</v>
      </c>
      <c r="D29" s="463"/>
      <c r="E29" s="466" t="e">
        <f>SUM(E19:E28)</f>
        <v>#DIV/0!</v>
      </c>
      <c r="F29" s="466">
        <f>SUM(F19:F28)</f>
        <v>0</v>
      </c>
      <c r="G29" s="463" t="e">
        <f>+#REF!+#REF!+#REF!+#REF!</f>
        <v>#REF!</v>
      </c>
      <c r="H29" s="466">
        <f>SUM(H19:H28)</f>
        <v>0</v>
      </c>
      <c r="I29" s="466">
        <f>SUM(I19:I28)</f>
        <v>0</v>
      </c>
      <c r="J29" s="466">
        <f>SUM(J19:J28)</f>
        <v>0</v>
      </c>
      <c r="K29" s="466">
        <f>SUM(K19:K28)</f>
        <v>0</v>
      </c>
      <c r="L29" s="463"/>
      <c r="M29" s="466">
        <f>SUM(M19:M28)</f>
        <v>0</v>
      </c>
      <c r="N29" s="466">
        <f>SUM(N19:N28)</f>
        <v>0</v>
      </c>
      <c r="O29" s="466">
        <f>SUM(O19:O28)</f>
        <v>0</v>
      </c>
      <c r="P29" s="466">
        <f>SUM(P19:P28)</f>
        <v>0</v>
      </c>
      <c r="Q29" s="466">
        <f>SUM(Q19:Q28)</f>
        <v>0</v>
      </c>
      <c r="R29" s="463"/>
      <c r="S29" s="463"/>
      <c r="T29" s="466" t="e">
        <f>SUM(T19:T28)</f>
        <v>#DIV/0!</v>
      </c>
      <c r="U29" s="466" t="e">
        <f>SUM(U19:U28)</f>
        <v>#DIV/0!</v>
      </c>
      <c r="V29" s="463"/>
      <c r="W29" s="466" t="e">
        <f t="shared" ref="W29:AB29" si="34">SUM(W19:W28)</f>
        <v>#DIV/0!</v>
      </c>
      <c r="X29" s="466" t="e">
        <f t="shared" si="34"/>
        <v>#DIV/0!</v>
      </c>
      <c r="Y29" s="467">
        <f t="shared" si="34"/>
        <v>0</v>
      </c>
      <c r="Z29" s="467">
        <f t="shared" si="34"/>
        <v>0</v>
      </c>
      <c r="AA29" s="467" t="e">
        <f t="shared" si="34"/>
        <v>#DIV/0!</v>
      </c>
      <c r="AB29" s="467" t="e">
        <f t="shared" si="34"/>
        <v>#DIV/0!</v>
      </c>
    </row>
    <row r="30" spans="1:28" x14ac:dyDescent="0.25">
      <c r="A30" s="442" t="s">
        <v>250</v>
      </c>
      <c r="B30" s="443"/>
      <c r="C30" s="444"/>
      <c r="D30" s="444"/>
      <c r="E30" s="444"/>
      <c r="F30" s="444"/>
      <c r="G30" s="444"/>
      <c r="H30" s="444"/>
      <c r="I30" s="444"/>
      <c r="J30" s="444"/>
      <c r="K30" s="444"/>
      <c r="L30" s="444"/>
      <c r="M30" s="444"/>
      <c r="N30" s="444"/>
      <c r="O30" s="444"/>
      <c r="P30" s="444"/>
      <c r="Q30" s="444"/>
      <c r="R30" s="444"/>
      <c r="S30" s="444"/>
      <c r="T30" s="444"/>
      <c r="U30" s="444"/>
      <c r="V30" s="444"/>
      <c r="W30" s="444"/>
      <c r="X30" s="444"/>
      <c r="Y30" s="444"/>
      <c r="Z30" s="444"/>
      <c r="AA30" s="444"/>
      <c r="AB30" s="445"/>
    </row>
    <row r="31" spans="1:28" x14ac:dyDescent="0.25">
      <c r="A31" s="446">
        <f>1+A28</f>
        <v>17</v>
      </c>
      <c r="B31" s="447" t="str">
        <f>+'[3]MEMORIA Y VAL'!E152</f>
        <v xml:space="preserve">Depósito Nº </v>
      </c>
      <c r="C31" s="448" t="e">
        <f>+'[3]MEMORIA Y VAL'!AB152</f>
        <v>#DIV/0!</v>
      </c>
      <c r="D31" s="449">
        <f>+D28</f>
        <v>0</v>
      </c>
      <c r="E31" s="449" t="e">
        <f>+C31*D31</f>
        <v>#DIV/0!</v>
      </c>
      <c r="F31" s="449">
        <f>+'[3]MEMORIA Y VAL'!AP152</f>
        <v>0</v>
      </c>
      <c r="G31" s="450"/>
      <c r="H31" s="449">
        <f>+'[3]MEMORIA Y VAL'!AI152</f>
        <v>0</v>
      </c>
      <c r="I31" s="450">
        <f>+F31-H31</f>
        <v>0</v>
      </c>
      <c r="J31" s="465" t="e">
        <f>+'[4]MEMORIA Y VAL'!AR1975</f>
        <v>#REF!</v>
      </c>
      <c r="K31" s="451">
        <v>0</v>
      </c>
      <c r="L31" s="450">
        <f>+L28</f>
        <v>1</v>
      </c>
      <c r="M31" s="450" t="e">
        <f>H31*J31*L31</f>
        <v>#REF!</v>
      </c>
      <c r="N31" s="450">
        <f>+I31*K31</f>
        <v>0</v>
      </c>
      <c r="O31" s="449" t="e">
        <f>+M31+N31</f>
        <v>#REF!</v>
      </c>
      <c r="P31" s="449" t="e">
        <f>+O31*0.15</f>
        <v>#REF!</v>
      </c>
      <c r="Q31" s="449" t="e">
        <f>+O31+P31</f>
        <v>#REF!</v>
      </c>
      <c r="R31" s="450">
        <f>+R28</f>
        <v>0</v>
      </c>
      <c r="S31" s="452" t="e">
        <f>+'[3]MEMORIA Y VAL'!U152</f>
        <v>#DIV/0!</v>
      </c>
      <c r="T31" s="449" t="e">
        <f>+R31*S31</f>
        <v>#DIV/0!</v>
      </c>
      <c r="U31" s="453" t="e">
        <f>+E31+Q31+T31</f>
        <v>#DIV/0!</v>
      </c>
      <c r="V31" s="454">
        <v>1</v>
      </c>
      <c r="W31" s="453" t="e">
        <f>+U31*V31</f>
        <v>#DIV/0!</v>
      </c>
      <c r="X31" s="455" t="e">
        <f>+W31*0.8</f>
        <v>#DIV/0!</v>
      </c>
      <c r="Y31" s="456" t="e">
        <f>+H31*J31</f>
        <v>#REF!</v>
      </c>
      <c r="Z31" s="457" t="e">
        <f>+Y31*0.15</f>
        <v>#REF!</v>
      </c>
      <c r="AA31" s="450" t="e">
        <f>+'[3]MEMORIA Y VAL'!$AO$273*S31</f>
        <v>#DIV/0!</v>
      </c>
      <c r="AB31" s="458" t="e">
        <f>+Y31+Z31+AA31</f>
        <v>#REF!</v>
      </c>
    </row>
    <row r="32" spans="1:28" ht="14.4" thickBot="1" x14ac:dyDescent="0.3">
      <c r="A32" s="446">
        <f>+A31+1</f>
        <v>18</v>
      </c>
      <c r="B32" s="447" t="str">
        <f>+'[3]MEMORIA Y VAL'!E153</f>
        <v xml:space="preserve">Depósito Nº </v>
      </c>
      <c r="C32" s="448" t="e">
        <f>+'[3]MEMORIA Y VAL'!AB153</f>
        <v>#DIV/0!</v>
      </c>
      <c r="D32" s="449">
        <f>+D31</f>
        <v>0</v>
      </c>
      <c r="E32" s="449" t="e">
        <f>+C32*D32</f>
        <v>#DIV/0!</v>
      </c>
      <c r="F32" s="449">
        <f>+'[3]MEMORIA Y VAL'!AP153</f>
        <v>0</v>
      </c>
      <c r="G32" s="450"/>
      <c r="H32" s="449">
        <f>+'[3]MEMORIA Y VAL'!AI153</f>
        <v>0</v>
      </c>
      <c r="I32" s="450">
        <f>+F32-H32</f>
        <v>0</v>
      </c>
      <c r="J32" s="465" t="e">
        <f>+J31</f>
        <v>#REF!</v>
      </c>
      <c r="K32" s="451">
        <v>0</v>
      </c>
      <c r="L32" s="450">
        <f>+L31</f>
        <v>1</v>
      </c>
      <c r="M32" s="450" t="e">
        <f>H32*J32*L32</f>
        <v>#REF!</v>
      </c>
      <c r="N32" s="450">
        <f>+I32*K32</f>
        <v>0</v>
      </c>
      <c r="O32" s="449" t="e">
        <f>+M32+N32</f>
        <v>#REF!</v>
      </c>
      <c r="P32" s="449" t="e">
        <f>+O32*0.15</f>
        <v>#REF!</v>
      </c>
      <c r="Q32" s="449" t="e">
        <f>+O32+P32</f>
        <v>#REF!</v>
      </c>
      <c r="R32" s="450">
        <f>+R31</f>
        <v>0</v>
      </c>
      <c r="S32" s="452" t="e">
        <f>+'[3]MEMORIA Y VAL'!U153</f>
        <v>#DIV/0!</v>
      </c>
      <c r="T32" s="449" t="e">
        <f>+R32*S32</f>
        <v>#DIV/0!</v>
      </c>
      <c r="U32" s="459" t="e">
        <f>+E32+Q32+T32</f>
        <v>#DIV/0!</v>
      </c>
      <c r="V32" s="454">
        <v>1</v>
      </c>
      <c r="W32" s="453" t="e">
        <f>+U32*V32</f>
        <v>#DIV/0!</v>
      </c>
      <c r="X32" s="460" t="e">
        <f>+W32*0.8</f>
        <v>#DIV/0!</v>
      </c>
      <c r="Y32" s="456" t="e">
        <f>+H32*J32</f>
        <v>#REF!</v>
      </c>
      <c r="Z32" s="461" t="e">
        <f>+Y32*0.15</f>
        <v>#REF!</v>
      </c>
      <c r="AA32" s="450" t="e">
        <f>+'[3]MEMORIA Y VAL'!$AO$273*S32</f>
        <v>#DIV/0!</v>
      </c>
      <c r="AB32" s="458" t="e">
        <f>+Y32+Z32+AA32</f>
        <v>#REF!</v>
      </c>
    </row>
    <row r="33" spans="1:256" ht="14.4" thickBot="1" x14ac:dyDescent="0.3">
      <c r="A33" s="1010" t="s">
        <v>251</v>
      </c>
      <c r="B33" s="1010"/>
      <c r="C33" s="468" t="e">
        <f>SUM(C31:C32)</f>
        <v>#DIV/0!</v>
      </c>
      <c r="D33" s="469"/>
      <c r="E33" s="469" t="e">
        <f>SUM(E31:E32)</f>
        <v>#DIV/0!</v>
      </c>
      <c r="F33" s="469">
        <f>SUM(F31:F32)</f>
        <v>0</v>
      </c>
      <c r="G33" s="469" t="e">
        <f>+#REF!+#REF!+#REF!+#REF!</f>
        <v>#REF!</v>
      </c>
      <c r="H33" s="469">
        <f>SUM(H31:H32)</f>
        <v>0</v>
      </c>
      <c r="I33" s="469">
        <f>SUM(I31:I32)</f>
        <v>0</v>
      </c>
      <c r="J33" s="469"/>
      <c r="K33" s="469"/>
      <c r="L33" s="469"/>
      <c r="M33" s="469" t="e">
        <f>SUM(M31:M32)</f>
        <v>#REF!</v>
      </c>
      <c r="N33" s="469">
        <f>SUM(N31:N32)</f>
        <v>0</v>
      </c>
      <c r="O33" s="469" t="e">
        <f>SUM(O31:O32)</f>
        <v>#REF!</v>
      </c>
      <c r="P33" s="469" t="e">
        <f>SUM(P31:P32)</f>
        <v>#REF!</v>
      </c>
      <c r="Q33" s="469" t="e">
        <f>SUM(Q31:Q32)</f>
        <v>#REF!</v>
      </c>
      <c r="R33" s="469"/>
      <c r="S33" s="469"/>
      <c r="T33" s="469" t="e">
        <f>SUM(T31:T32)</f>
        <v>#DIV/0!</v>
      </c>
      <c r="U33" s="469" t="e">
        <f>SUM(U31:U32)</f>
        <v>#DIV/0!</v>
      </c>
      <c r="V33" s="469"/>
      <c r="W33" s="469" t="e">
        <f t="shared" ref="W33:AB33" si="35">SUM(W31:W32)</f>
        <v>#DIV/0!</v>
      </c>
      <c r="X33" s="469" t="e">
        <f t="shared" si="35"/>
        <v>#DIV/0!</v>
      </c>
      <c r="Y33" s="470" t="e">
        <f t="shared" si="35"/>
        <v>#REF!</v>
      </c>
      <c r="Z33" s="470" t="e">
        <f t="shared" si="35"/>
        <v>#REF!</v>
      </c>
      <c r="AA33" s="470" t="e">
        <f t="shared" si="35"/>
        <v>#DIV/0!</v>
      </c>
      <c r="AB33" s="470" t="e">
        <f t="shared" si="35"/>
        <v>#REF!</v>
      </c>
    </row>
    <row r="34" spans="1:256" ht="14.4" thickBot="1" x14ac:dyDescent="0.3">
      <c r="C34" s="415"/>
      <c r="D34" s="415"/>
      <c r="E34" s="415"/>
      <c r="F34" s="415"/>
      <c r="G34" s="415"/>
      <c r="H34" s="415"/>
      <c r="I34" s="415"/>
      <c r="J34" s="415"/>
      <c r="K34" s="415"/>
      <c r="L34" s="415"/>
      <c r="M34" s="415"/>
      <c r="N34" s="415"/>
      <c r="O34" s="415"/>
      <c r="P34" s="415"/>
      <c r="Q34" s="415"/>
      <c r="R34" s="415"/>
      <c r="S34" s="415"/>
      <c r="T34" s="415"/>
      <c r="U34" s="415"/>
      <c r="V34" s="415"/>
      <c r="W34" s="415"/>
      <c r="X34" s="415"/>
      <c r="Y34" s="415"/>
      <c r="Z34" s="415"/>
      <c r="AA34" s="415"/>
      <c r="AB34" s="415"/>
    </row>
    <row r="35" spans="1:256" ht="14.4" thickBot="1" x14ac:dyDescent="0.3">
      <c r="A35" s="1000" t="s">
        <v>252</v>
      </c>
      <c r="B35" s="1000"/>
      <c r="C35" s="468" t="e">
        <f>+C17+C29+C33</f>
        <v>#DIV/0!</v>
      </c>
      <c r="D35" s="469"/>
      <c r="E35" s="469" t="e">
        <f>+E17+E29+E33</f>
        <v>#DIV/0!</v>
      </c>
      <c r="F35" s="469">
        <f>+F17+F29+F33</f>
        <v>0</v>
      </c>
      <c r="G35" s="469" t="e">
        <f>+#REF!+#REF!+#REF!+#REF!</f>
        <v>#REF!</v>
      </c>
      <c r="H35" s="469">
        <f>+H17+H29+H33</f>
        <v>0</v>
      </c>
      <c r="I35" s="469">
        <f>+I17+I29+I33</f>
        <v>0</v>
      </c>
      <c r="J35" s="469"/>
      <c r="K35" s="469"/>
      <c r="L35" s="469"/>
      <c r="M35" s="469" t="e">
        <f>+M17+M29+M33</f>
        <v>#REF!</v>
      </c>
      <c r="N35" s="469">
        <f>+N17+N29+N33</f>
        <v>0</v>
      </c>
      <c r="O35" s="469" t="e">
        <f>+O17+O29+O33</f>
        <v>#REF!</v>
      </c>
      <c r="P35" s="469" t="e">
        <f>+P17+P29+P33</f>
        <v>#REF!</v>
      </c>
      <c r="Q35" s="469" t="e">
        <f>+Q17+Q29+Q33</f>
        <v>#REF!</v>
      </c>
      <c r="R35" s="469"/>
      <c r="S35" s="469"/>
      <c r="T35" s="469" t="e">
        <f>+T17+T29+T33</f>
        <v>#DIV/0!</v>
      </c>
      <c r="U35" s="469" t="e">
        <f>+U17+U29+U33</f>
        <v>#DIV/0!</v>
      </c>
      <c r="V35" s="469"/>
      <c r="W35" s="469" t="e">
        <f t="shared" ref="W35:AB35" si="36">+W17+W29+W33</f>
        <v>#DIV/0!</v>
      </c>
      <c r="X35" s="469" t="e">
        <f t="shared" si="36"/>
        <v>#DIV/0!</v>
      </c>
      <c r="Y35" s="470" t="e">
        <f t="shared" si="36"/>
        <v>#REF!</v>
      </c>
      <c r="Z35" s="470" t="e">
        <f t="shared" si="36"/>
        <v>#REF!</v>
      </c>
      <c r="AA35" s="470" t="e">
        <f t="shared" si="36"/>
        <v>#DIV/0!</v>
      </c>
      <c r="AB35" s="470" t="e">
        <f t="shared" si="36"/>
        <v>#DIV/0!</v>
      </c>
    </row>
    <row r="36" spans="1:256" x14ac:dyDescent="0.25">
      <c r="A36" s="471"/>
      <c r="B36" s="418"/>
      <c r="C36" s="420"/>
      <c r="D36" s="420"/>
      <c r="E36" s="420"/>
      <c r="F36" s="420"/>
      <c r="G36" s="420"/>
      <c r="H36" s="420"/>
      <c r="I36" s="420"/>
      <c r="J36" s="420"/>
      <c r="K36" s="420"/>
      <c r="L36" s="420"/>
      <c r="M36" s="420"/>
      <c r="N36" s="420"/>
      <c r="O36" s="420"/>
      <c r="P36" s="420"/>
      <c r="Q36" s="420"/>
      <c r="R36" s="420"/>
      <c r="S36" s="420"/>
      <c r="T36" s="420"/>
      <c r="U36" s="420"/>
      <c r="V36" s="420"/>
      <c r="W36" s="420"/>
      <c r="X36" s="420"/>
      <c r="Y36" s="420"/>
      <c r="Z36" s="420"/>
      <c r="AA36" s="420"/>
      <c r="AB36" s="420"/>
    </row>
    <row r="37" spans="1:256" x14ac:dyDescent="0.25">
      <c r="A37" s="471"/>
      <c r="B37" s="418"/>
      <c r="C37" s="420"/>
      <c r="D37" s="419"/>
      <c r="E37" s="420"/>
      <c r="F37" s="420"/>
      <c r="G37" s="420"/>
      <c r="H37" s="415"/>
      <c r="I37" s="415"/>
      <c r="J37" s="420"/>
      <c r="K37" s="420"/>
      <c r="L37" s="420"/>
      <c r="M37" s="420"/>
      <c r="N37" s="420"/>
      <c r="O37" s="472"/>
      <c r="P37" s="472"/>
      <c r="Q37" s="472"/>
      <c r="R37" s="420"/>
      <c r="S37" s="420"/>
      <c r="T37" s="420"/>
      <c r="U37" s="419"/>
      <c r="V37" s="419"/>
      <c r="W37" s="473"/>
      <c r="X37" s="420"/>
      <c r="Y37" s="420"/>
      <c r="Z37" s="420"/>
      <c r="AA37" s="420"/>
      <c r="AB37" s="420"/>
    </row>
    <row r="38" spans="1:256" x14ac:dyDescent="0.25">
      <c r="A38" s="471"/>
      <c r="B38" s="418"/>
      <c r="C38" s="420"/>
      <c r="D38" s="419"/>
      <c r="E38" s="420"/>
      <c r="F38" s="420"/>
      <c r="G38" s="473"/>
      <c r="H38" s="420"/>
      <c r="I38" s="420"/>
      <c r="J38" s="419"/>
      <c r="K38" s="419"/>
      <c r="L38" s="419"/>
      <c r="M38" s="473"/>
      <c r="N38" s="473"/>
      <c r="O38" s="473"/>
      <c r="P38" s="473"/>
      <c r="Q38" s="473"/>
      <c r="R38" s="473"/>
      <c r="S38" s="474"/>
      <c r="T38" s="473"/>
      <c r="U38" s="473"/>
      <c r="V38" s="473"/>
      <c r="W38" s="473"/>
      <c r="X38" s="473"/>
      <c r="Y38" s="473"/>
      <c r="Z38" s="473"/>
      <c r="AA38" s="473"/>
      <c r="AB38" s="473"/>
    </row>
    <row r="39" spans="1:256" x14ac:dyDescent="0.25">
      <c r="A39" s="471"/>
      <c r="B39" s="418"/>
      <c r="C39" s="420"/>
      <c r="D39" s="420"/>
      <c r="E39" s="420"/>
      <c r="F39" s="420"/>
      <c r="G39" s="420"/>
      <c r="H39" s="420"/>
      <c r="I39" s="420"/>
      <c r="J39" s="420"/>
      <c r="K39" s="420"/>
      <c r="L39" s="420"/>
      <c r="M39" s="420"/>
      <c r="N39" s="420"/>
      <c r="O39" s="472"/>
      <c r="P39" s="472"/>
      <c r="Q39" s="472"/>
      <c r="R39" s="472"/>
      <c r="S39" s="472"/>
      <c r="T39" s="472"/>
      <c r="U39" s="472"/>
      <c r="V39" s="472"/>
      <c r="W39" s="472"/>
      <c r="X39" s="472"/>
      <c r="Y39" s="472"/>
      <c r="Z39" s="472"/>
      <c r="AA39" s="472"/>
      <c r="AB39" s="472"/>
    </row>
    <row r="47" spans="1:256" x14ac:dyDescent="0.25">
      <c r="AC47" s="416"/>
      <c r="AD47" s="416"/>
      <c r="AE47" s="416"/>
      <c r="AF47" s="416"/>
      <c r="AG47" s="416"/>
      <c r="AH47" s="416"/>
      <c r="AI47" s="416"/>
      <c r="AJ47" s="416"/>
      <c r="AK47" s="416"/>
      <c r="AL47" s="416"/>
      <c r="AM47" s="416"/>
      <c r="AN47" s="416"/>
      <c r="AO47" s="416"/>
      <c r="AP47" s="416"/>
      <c r="AQ47" s="416"/>
      <c r="AR47" s="416"/>
      <c r="AS47" s="416"/>
      <c r="AT47" s="416"/>
      <c r="AU47" s="416"/>
      <c r="AV47" s="416"/>
      <c r="AW47" s="416"/>
      <c r="AX47" s="416"/>
      <c r="AY47" s="416"/>
      <c r="AZ47" s="416"/>
      <c r="BA47" s="416"/>
      <c r="BB47" s="416"/>
      <c r="BC47" s="416"/>
      <c r="BD47" s="416"/>
      <c r="BE47" s="416"/>
      <c r="BF47" s="416"/>
      <c r="BG47" s="416"/>
      <c r="BH47" s="416"/>
      <c r="BI47" s="416"/>
      <c r="BJ47" s="416"/>
      <c r="BK47" s="416"/>
      <c r="BL47" s="416"/>
      <c r="BM47" s="416"/>
      <c r="BN47" s="416"/>
      <c r="BO47" s="416"/>
      <c r="BP47" s="416"/>
      <c r="BQ47" s="416"/>
      <c r="BR47" s="416"/>
      <c r="BS47" s="416"/>
      <c r="BT47" s="416"/>
      <c r="BU47" s="416"/>
      <c r="BV47" s="416"/>
      <c r="BW47" s="416"/>
      <c r="BX47" s="416"/>
      <c r="BY47" s="416"/>
      <c r="BZ47" s="416"/>
      <c r="CA47" s="416"/>
      <c r="CB47" s="416"/>
      <c r="CC47" s="416"/>
      <c r="CD47" s="416"/>
      <c r="CE47" s="416"/>
      <c r="CF47" s="416"/>
      <c r="CG47" s="416"/>
      <c r="CH47" s="416"/>
      <c r="CI47" s="416"/>
      <c r="CJ47" s="416"/>
      <c r="CK47" s="416"/>
      <c r="CL47" s="416"/>
      <c r="CM47" s="416"/>
      <c r="CN47" s="416"/>
      <c r="CO47" s="416"/>
      <c r="CP47" s="416"/>
      <c r="CQ47" s="416"/>
      <c r="CR47" s="416"/>
      <c r="CS47" s="416"/>
      <c r="CT47" s="416"/>
      <c r="CU47" s="416"/>
      <c r="CV47" s="416"/>
      <c r="CW47" s="416"/>
      <c r="CX47" s="416"/>
      <c r="CY47" s="416"/>
      <c r="CZ47" s="416"/>
      <c r="DA47" s="416"/>
      <c r="DB47" s="416"/>
      <c r="DC47" s="416"/>
      <c r="DD47" s="416"/>
      <c r="DE47" s="416"/>
      <c r="DF47" s="416"/>
      <c r="DG47" s="416"/>
      <c r="DH47" s="416"/>
      <c r="DI47" s="416"/>
      <c r="DJ47" s="416"/>
      <c r="DK47" s="416"/>
      <c r="DL47" s="416"/>
      <c r="DM47" s="416"/>
      <c r="DN47" s="416"/>
      <c r="DO47" s="416"/>
      <c r="DP47" s="416"/>
      <c r="DQ47" s="416"/>
      <c r="DR47" s="416"/>
      <c r="DS47" s="416"/>
      <c r="DT47" s="416"/>
      <c r="DU47" s="416"/>
      <c r="DV47" s="416"/>
      <c r="DW47" s="416"/>
      <c r="DX47" s="416"/>
      <c r="DY47" s="416"/>
      <c r="DZ47" s="416"/>
      <c r="EA47" s="416"/>
      <c r="EB47" s="416"/>
      <c r="EC47" s="416"/>
      <c r="ED47" s="416"/>
      <c r="EE47" s="416"/>
      <c r="EF47" s="416"/>
      <c r="EG47" s="416"/>
      <c r="EH47" s="416"/>
      <c r="EI47" s="416"/>
      <c r="EJ47" s="416"/>
      <c r="EK47" s="416"/>
      <c r="EL47" s="416"/>
      <c r="EM47" s="416"/>
      <c r="EN47" s="416"/>
      <c r="EO47" s="416"/>
      <c r="EP47" s="416"/>
      <c r="EQ47" s="416"/>
      <c r="ER47" s="416"/>
      <c r="ES47" s="416"/>
      <c r="ET47" s="416"/>
      <c r="EU47" s="416"/>
      <c r="EV47" s="416"/>
      <c r="EW47" s="416"/>
      <c r="EX47" s="416"/>
      <c r="EY47" s="416"/>
      <c r="EZ47" s="416"/>
      <c r="FA47" s="416"/>
      <c r="FB47" s="416"/>
      <c r="FC47" s="416"/>
      <c r="FD47" s="416"/>
      <c r="FE47" s="416"/>
      <c r="FF47" s="416"/>
      <c r="FG47" s="416"/>
      <c r="FH47" s="416"/>
      <c r="FI47" s="416"/>
      <c r="FJ47" s="416"/>
      <c r="FK47" s="416"/>
      <c r="FL47" s="416"/>
      <c r="FM47" s="416"/>
      <c r="FN47" s="416"/>
      <c r="FO47" s="416"/>
      <c r="FP47" s="416"/>
      <c r="FQ47" s="416"/>
      <c r="FR47" s="416"/>
      <c r="FS47" s="416"/>
      <c r="FT47" s="416"/>
      <c r="FU47" s="416"/>
      <c r="FV47" s="416"/>
      <c r="FW47" s="416"/>
      <c r="FX47" s="416"/>
      <c r="FY47" s="416"/>
      <c r="FZ47" s="416"/>
      <c r="GA47" s="416"/>
      <c r="GB47" s="416"/>
      <c r="GC47" s="416"/>
      <c r="GD47" s="416"/>
      <c r="GE47" s="416"/>
      <c r="GF47" s="416"/>
      <c r="GG47" s="416"/>
      <c r="GH47" s="416"/>
      <c r="GI47" s="416"/>
      <c r="GJ47" s="416"/>
      <c r="GK47" s="416"/>
      <c r="GL47" s="416"/>
      <c r="GM47" s="416"/>
      <c r="GN47" s="416"/>
      <c r="GO47" s="416"/>
      <c r="GP47" s="416"/>
      <c r="GQ47" s="416"/>
      <c r="GR47" s="416"/>
      <c r="GS47" s="416"/>
      <c r="GT47" s="416"/>
      <c r="GU47" s="416"/>
      <c r="GV47" s="416"/>
      <c r="GW47" s="416"/>
      <c r="GX47" s="416"/>
      <c r="GY47" s="416"/>
      <c r="GZ47" s="416"/>
      <c r="HA47" s="416"/>
      <c r="HB47" s="416"/>
      <c r="HC47" s="416"/>
      <c r="HD47" s="416"/>
      <c r="HE47" s="416"/>
      <c r="HF47" s="416"/>
      <c r="HG47" s="416"/>
      <c r="HH47" s="416"/>
      <c r="HI47" s="416"/>
      <c r="HJ47" s="416"/>
      <c r="HK47" s="416"/>
      <c r="HL47" s="416"/>
      <c r="HM47" s="416"/>
      <c r="HN47" s="416"/>
      <c r="HO47" s="416"/>
      <c r="HP47" s="416"/>
      <c r="HQ47" s="416"/>
      <c r="HR47" s="416"/>
      <c r="HS47" s="416"/>
      <c r="HT47" s="416"/>
      <c r="HU47" s="416"/>
      <c r="HV47" s="416"/>
      <c r="HW47" s="416"/>
      <c r="HX47" s="416"/>
      <c r="HY47" s="416"/>
      <c r="HZ47" s="416"/>
      <c r="IA47" s="416"/>
      <c r="IB47" s="416"/>
      <c r="IC47" s="416"/>
      <c r="ID47" s="416"/>
      <c r="IE47" s="416"/>
      <c r="IF47" s="416"/>
      <c r="IG47" s="416"/>
      <c r="IH47" s="416"/>
      <c r="II47" s="416"/>
      <c r="IJ47" s="416"/>
      <c r="IK47" s="416"/>
      <c r="IL47" s="416"/>
      <c r="IM47" s="416"/>
      <c r="IN47" s="416"/>
      <c r="IO47" s="416"/>
      <c r="IP47" s="416"/>
      <c r="IQ47" s="416"/>
      <c r="IR47" s="416"/>
      <c r="IS47" s="416"/>
      <c r="IT47" s="416"/>
      <c r="IU47" s="416"/>
      <c r="IV47" s="416"/>
    </row>
    <row r="48" spans="1:256" x14ac:dyDescent="0.25">
      <c r="AC48" s="416"/>
      <c r="AD48" s="416"/>
      <c r="AE48" s="416"/>
      <c r="AF48" s="416"/>
      <c r="AG48" s="416"/>
      <c r="AH48" s="416"/>
      <c r="AI48" s="416"/>
      <c r="AJ48" s="416"/>
      <c r="AK48" s="416"/>
      <c r="AL48" s="416"/>
      <c r="AM48" s="416"/>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6"/>
      <c r="BK48" s="416"/>
      <c r="BL48" s="416"/>
      <c r="BM48" s="416"/>
      <c r="BN48" s="416"/>
      <c r="BO48" s="416"/>
      <c r="BP48" s="416"/>
      <c r="BQ48" s="416"/>
      <c r="BR48" s="416"/>
      <c r="BS48" s="416"/>
      <c r="BT48" s="416"/>
      <c r="BU48" s="416"/>
      <c r="BV48" s="416"/>
      <c r="BW48" s="416"/>
      <c r="BX48" s="416"/>
      <c r="BY48" s="416"/>
      <c r="BZ48" s="416"/>
      <c r="CA48" s="416"/>
      <c r="CB48" s="416"/>
      <c r="CC48" s="416"/>
      <c r="CD48" s="416"/>
      <c r="CE48" s="416"/>
      <c r="CF48" s="416"/>
      <c r="CG48" s="416"/>
      <c r="CH48" s="416"/>
      <c r="CI48" s="416"/>
      <c r="CJ48" s="416"/>
      <c r="CK48" s="416"/>
      <c r="CL48" s="416"/>
      <c r="CM48" s="416"/>
      <c r="CN48" s="416"/>
      <c r="CO48" s="416"/>
      <c r="CP48" s="416"/>
      <c r="CQ48" s="416"/>
      <c r="CR48" s="416"/>
      <c r="CS48" s="416"/>
      <c r="CT48" s="416"/>
      <c r="CU48" s="416"/>
      <c r="CV48" s="416"/>
      <c r="CW48" s="416"/>
      <c r="CX48" s="416"/>
      <c r="CY48" s="416"/>
      <c r="CZ48" s="416"/>
      <c r="DA48" s="416"/>
      <c r="DB48" s="416"/>
      <c r="DC48" s="416"/>
      <c r="DD48" s="416"/>
      <c r="DE48" s="416"/>
      <c r="DF48" s="416"/>
      <c r="DG48" s="416"/>
      <c r="DH48" s="416"/>
      <c r="DI48" s="416"/>
      <c r="DJ48" s="416"/>
      <c r="DK48" s="416"/>
      <c r="DL48" s="416"/>
      <c r="DM48" s="416"/>
      <c r="DN48" s="416"/>
      <c r="DO48" s="416"/>
      <c r="DP48" s="416"/>
      <c r="DQ48" s="416"/>
      <c r="DR48" s="416"/>
      <c r="DS48" s="416"/>
      <c r="DT48" s="416"/>
      <c r="DU48" s="416"/>
      <c r="DV48" s="416"/>
      <c r="DW48" s="416"/>
      <c r="DX48" s="416"/>
      <c r="DY48" s="416"/>
      <c r="DZ48" s="416"/>
      <c r="EA48" s="416"/>
      <c r="EB48" s="416"/>
      <c r="EC48" s="416"/>
      <c r="ED48" s="416"/>
      <c r="EE48" s="416"/>
      <c r="EF48" s="416"/>
      <c r="EG48" s="416"/>
      <c r="EH48" s="416"/>
      <c r="EI48" s="416"/>
      <c r="EJ48" s="416"/>
      <c r="EK48" s="416"/>
      <c r="EL48" s="416"/>
      <c r="EM48" s="416"/>
      <c r="EN48" s="416"/>
      <c r="EO48" s="416"/>
      <c r="EP48" s="416"/>
      <c r="EQ48" s="416"/>
      <c r="ER48" s="416"/>
      <c r="ES48" s="416"/>
      <c r="ET48" s="416"/>
      <c r="EU48" s="416"/>
      <c r="EV48" s="416"/>
      <c r="EW48" s="416"/>
      <c r="EX48" s="416"/>
      <c r="EY48" s="416"/>
      <c r="EZ48" s="416"/>
      <c r="FA48" s="416"/>
      <c r="FB48" s="416"/>
      <c r="FC48" s="416"/>
      <c r="FD48" s="416"/>
      <c r="FE48" s="416"/>
      <c r="FF48" s="416"/>
      <c r="FG48" s="416"/>
      <c r="FH48" s="416"/>
      <c r="FI48" s="416"/>
      <c r="FJ48" s="416"/>
      <c r="FK48" s="416"/>
      <c r="FL48" s="416"/>
      <c r="FM48" s="416"/>
      <c r="FN48" s="416"/>
      <c r="FO48" s="416"/>
      <c r="FP48" s="416"/>
      <c r="FQ48" s="416"/>
      <c r="FR48" s="416"/>
      <c r="FS48" s="416"/>
      <c r="FT48" s="416"/>
      <c r="FU48" s="416"/>
      <c r="FV48" s="416"/>
      <c r="FW48" s="416"/>
      <c r="FX48" s="416"/>
      <c r="FY48" s="416"/>
      <c r="FZ48" s="416"/>
      <c r="GA48" s="416"/>
      <c r="GB48" s="416"/>
      <c r="GC48" s="416"/>
      <c r="GD48" s="416"/>
      <c r="GE48" s="416"/>
      <c r="GF48" s="416"/>
      <c r="GG48" s="416"/>
      <c r="GH48" s="416"/>
      <c r="GI48" s="416"/>
      <c r="GJ48" s="416"/>
      <c r="GK48" s="416"/>
      <c r="GL48" s="416"/>
      <c r="GM48" s="416"/>
      <c r="GN48" s="416"/>
      <c r="GO48" s="416"/>
      <c r="GP48" s="416"/>
      <c r="GQ48" s="416"/>
      <c r="GR48" s="416"/>
      <c r="GS48" s="416"/>
      <c r="GT48" s="416"/>
      <c r="GU48" s="416"/>
      <c r="GV48" s="416"/>
      <c r="GW48" s="416"/>
      <c r="GX48" s="416"/>
      <c r="GY48" s="416"/>
      <c r="GZ48" s="416"/>
      <c r="HA48" s="416"/>
      <c r="HB48" s="416"/>
      <c r="HC48" s="416"/>
      <c r="HD48" s="416"/>
      <c r="HE48" s="416"/>
      <c r="HF48" s="416"/>
      <c r="HG48" s="416"/>
      <c r="HH48" s="416"/>
      <c r="HI48" s="416"/>
      <c r="HJ48" s="416"/>
      <c r="HK48" s="416"/>
      <c r="HL48" s="416"/>
      <c r="HM48" s="416"/>
      <c r="HN48" s="416"/>
      <c r="HO48" s="416"/>
      <c r="HP48" s="416"/>
      <c r="HQ48" s="416"/>
      <c r="HR48" s="416"/>
      <c r="HS48" s="416"/>
      <c r="HT48" s="416"/>
      <c r="HU48" s="416"/>
      <c r="HV48" s="416"/>
      <c r="HW48" s="416"/>
      <c r="HX48" s="416"/>
      <c r="HY48" s="416"/>
      <c r="HZ48" s="416"/>
      <c r="IA48" s="416"/>
      <c r="IB48" s="416"/>
      <c r="IC48" s="416"/>
      <c r="ID48" s="416"/>
      <c r="IE48" s="416"/>
      <c r="IF48" s="416"/>
      <c r="IG48" s="416"/>
      <c r="IH48" s="416"/>
      <c r="II48" s="416"/>
      <c r="IJ48" s="416"/>
      <c r="IK48" s="416"/>
      <c r="IL48" s="416"/>
      <c r="IM48" s="416"/>
      <c r="IN48" s="416"/>
      <c r="IO48" s="416"/>
      <c r="IP48" s="416"/>
      <c r="IQ48" s="416"/>
      <c r="IR48" s="416"/>
      <c r="IS48" s="416"/>
      <c r="IT48" s="416"/>
      <c r="IU48" s="416"/>
      <c r="IV48" s="416"/>
    </row>
    <row r="49" spans="16:256" x14ac:dyDescent="0.25">
      <c r="AC49" s="416"/>
      <c r="AD49" s="416"/>
      <c r="AE49" s="416"/>
      <c r="AF49" s="416"/>
      <c r="AG49" s="416"/>
      <c r="AH49" s="416"/>
      <c r="AI49" s="416"/>
      <c r="AJ49" s="416"/>
      <c r="AK49" s="416"/>
      <c r="AL49" s="416"/>
      <c r="AM49" s="416"/>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6"/>
      <c r="BK49" s="416"/>
      <c r="BL49" s="416"/>
      <c r="BM49" s="416"/>
      <c r="BN49" s="416"/>
      <c r="BO49" s="416"/>
      <c r="BP49" s="416"/>
      <c r="BQ49" s="416"/>
      <c r="BR49" s="416"/>
      <c r="BS49" s="416"/>
      <c r="BT49" s="416"/>
      <c r="BU49" s="416"/>
      <c r="BV49" s="416"/>
      <c r="BW49" s="416"/>
      <c r="BX49" s="416"/>
      <c r="BY49" s="416"/>
      <c r="BZ49" s="416"/>
      <c r="CA49" s="416"/>
      <c r="CB49" s="416"/>
      <c r="CC49" s="416"/>
      <c r="CD49" s="416"/>
      <c r="CE49" s="416"/>
      <c r="CF49" s="416"/>
      <c r="CG49" s="416"/>
      <c r="CH49" s="416"/>
      <c r="CI49" s="416"/>
      <c r="CJ49" s="416"/>
      <c r="CK49" s="416"/>
      <c r="CL49" s="416"/>
      <c r="CM49" s="416"/>
      <c r="CN49" s="416"/>
      <c r="CO49" s="416"/>
      <c r="CP49" s="416"/>
      <c r="CQ49" s="416"/>
      <c r="CR49" s="416"/>
      <c r="CS49" s="416"/>
      <c r="CT49" s="416"/>
      <c r="CU49" s="416"/>
      <c r="CV49" s="416"/>
      <c r="CW49" s="416"/>
      <c r="CX49" s="416"/>
      <c r="CY49" s="416"/>
      <c r="CZ49" s="416"/>
      <c r="DA49" s="416"/>
      <c r="DB49" s="416"/>
      <c r="DC49" s="416"/>
      <c r="DD49" s="416"/>
      <c r="DE49" s="416"/>
      <c r="DF49" s="416"/>
      <c r="DG49" s="416"/>
      <c r="DH49" s="416"/>
      <c r="DI49" s="416"/>
      <c r="DJ49" s="416"/>
      <c r="DK49" s="416"/>
      <c r="DL49" s="416"/>
      <c r="DM49" s="416"/>
      <c r="DN49" s="416"/>
      <c r="DO49" s="416"/>
      <c r="DP49" s="416"/>
      <c r="DQ49" s="416"/>
      <c r="DR49" s="416"/>
      <c r="DS49" s="416"/>
      <c r="DT49" s="416"/>
      <c r="DU49" s="416"/>
      <c r="DV49" s="416"/>
      <c r="DW49" s="416"/>
      <c r="DX49" s="416"/>
      <c r="DY49" s="416"/>
      <c r="DZ49" s="416"/>
      <c r="EA49" s="416"/>
      <c r="EB49" s="416"/>
      <c r="EC49" s="416"/>
      <c r="ED49" s="416"/>
      <c r="EE49" s="416"/>
      <c r="EF49" s="416"/>
      <c r="EG49" s="416"/>
      <c r="EH49" s="416"/>
      <c r="EI49" s="416"/>
      <c r="EJ49" s="416"/>
      <c r="EK49" s="416"/>
      <c r="EL49" s="416"/>
      <c r="EM49" s="416"/>
      <c r="EN49" s="416"/>
      <c r="EO49" s="416"/>
      <c r="EP49" s="416"/>
      <c r="EQ49" s="416"/>
      <c r="ER49" s="416"/>
      <c r="ES49" s="416"/>
      <c r="ET49" s="416"/>
      <c r="EU49" s="416"/>
      <c r="EV49" s="416"/>
      <c r="EW49" s="416"/>
      <c r="EX49" s="416"/>
      <c r="EY49" s="416"/>
      <c r="EZ49" s="416"/>
      <c r="FA49" s="416"/>
      <c r="FB49" s="416"/>
      <c r="FC49" s="416"/>
      <c r="FD49" s="416"/>
      <c r="FE49" s="416"/>
      <c r="FF49" s="416"/>
      <c r="FG49" s="416"/>
      <c r="FH49" s="416"/>
      <c r="FI49" s="416"/>
      <c r="FJ49" s="416"/>
      <c r="FK49" s="416"/>
      <c r="FL49" s="416"/>
      <c r="FM49" s="416"/>
      <c r="FN49" s="416"/>
      <c r="FO49" s="416"/>
      <c r="FP49" s="416"/>
      <c r="FQ49" s="416"/>
      <c r="FR49" s="416"/>
      <c r="FS49" s="416"/>
      <c r="FT49" s="416"/>
      <c r="FU49" s="416"/>
      <c r="FV49" s="416"/>
      <c r="FW49" s="416"/>
      <c r="FX49" s="416"/>
      <c r="FY49" s="416"/>
      <c r="FZ49" s="416"/>
      <c r="GA49" s="416"/>
      <c r="GB49" s="416"/>
      <c r="GC49" s="416"/>
      <c r="GD49" s="416"/>
      <c r="GE49" s="416"/>
      <c r="GF49" s="416"/>
      <c r="GG49" s="416"/>
      <c r="GH49" s="416"/>
      <c r="GI49" s="416"/>
      <c r="GJ49" s="416"/>
      <c r="GK49" s="416"/>
      <c r="GL49" s="416"/>
      <c r="GM49" s="416"/>
      <c r="GN49" s="416"/>
      <c r="GO49" s="416"/>
      <c r="GP49" s="416"/>
      <c r="GQ49" s="416"/>
      <c r="GR49" s="416"/>
      <c r="GS49" s="416"/>
      <c r="GT49" s="416"/>
      <c r="GU49" s="416"/>
      <c r="GV49" s="416"/>
      <c r="GW49" s="416"/>
      <c r="GX49" s="416"/>
      <c r="GY49" s="416"/>
      <c r="GZ49" s="416"/>
      <c r="HA49" s="416"/>
      <c r="HB49" s="416"/>
      <c r="HC49" s="416"/>
      <c r="HD49" s="416"/>
      <c r="HE49" s="416"/>
      <c r="HF49" s="416"/>
      <c r="HG49" s="416"/>
      <c r="HH49" s="416"/>
      <c r="HI49" s="416"/>
      <c r="HJ49" s="416"/>
      <c r="HK49" s="416"/>
      <c r="HL49" s="416"/>
      <c r="HM49" s="416"/>
      <c r="HN49" s="416"/>
      <c r="HO49" s="416"/>
      <c r="HP49" s="416"/>
      <c r="HQ49" s="416"/>
      <c r="HR49" s="416"/>
      <c r="HS49" s="416"/>
      <c r="HT49" s="416"/>
      <c r="HU49" s="416"/>
      <c r="HV49" s="416"/>
      <c r="HW49" s="416"/>
      <c r="HX49" s="416"/>
      <c r="HY49" s="416"/>
      <c r="HZ49" s="416"/>
      <c r="IA49" s="416"/>
      <c r="IB49" s="416"/>
      <c r="IC49" s="416"/>
      <c r="ID49" s="416"/>
      <c r="IE49" s="416"/>
      <c r="IF49" s="416"/>
      <c r="IG49" s="416"/>
      <c r="IH49" s="416"/>
      <c r="II49" s="416"/>
      <c r="IJ49" s="416"/>
      <c r="IK49" s="416"/>
      <c r="IL49" s="416"/>
      <c r="IM49" s="416"/>
      <c r="IN49" s="416"/>
      <c r="IO49" s="416"/>
      <c r="IP49" s="416"/>
      <c r="IQ49" s="416"/>
      <c r="IR49" s="416"/>
      <c r="IS49" s="416"/>
      <c r="IT49" s="416"/>
      <c r="IU49" s="416"/>
      <c r="IV49" s="416"/>
    </row>
    <row r="50" spans="16:256" x14ac:dyDescent="0.25">
      <c r="AC50" s="416"/>
      <c r="AD50" s="416"/>
      <c r="AE50" s="416"/>
      <c r="AF50" s="416"/>
      <c r="AG50" s="416"/>
      <c r="AH50" s="416"/>
      <c r="AI50" s="416"/>
      <c r="AJ50" s="416"/>
      <c r="AK50" s="416"/>
      <c r="AL50" s="416"/>
      <c r="AM50" s="416"/>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6"/>
      <c r="BK50" s="416"/>
      <c r="BL50" s="416"/>
      <c r="BM50" s="416"/>
      <c r="BN50" s="416"/>
      <c r="BO50" s="416"/>
      <c r="BP50" s="416"/>
      <c r="BQ50" s="416"/>
      <c r="BR50" s="416"/>
      <c r="BS50" s="416"/>
      <c r="BT50" s="416"/>
      <c r="BU50" s="416"/>
      <c r="BV50" s="416"/>
      <c r="BW50" s="416"/>
      <c r="BX50" s="416"/>
      <c r="BY50" s="416"/>
      <c r="BZ50" s="416"/>
      <c r="CA50" s="416"/>
      <c r="CB50" s="416"/>
      <c r="CC50" s="416"/>
      <c r="CD50" s="416"/>
      <c r="CE50" s="416"/>
      <c r="CF50" s="416"/>
      <c r="CG50" s="416"/>
      <c r="CH50" s="416"/>
      <c r="CI50" s="416"/>
      <c r="CJ50" s="416"/>
      <c r="CK50" s="416"/>
      <c r="CL50" s="416"/>
      <c r="CM50" s="416"/>
      <c r="CN50" s="416"/>
      <c r="CO50" s="416"/>
      <c r="CP50" s="416"/>
      <c r="CQ50" s="416"/>
      <c r="CR50" s="416"/>
      <c r="CS50" s="416"/>
      <c r="CT50" s="416"/>
      <c r="CU50" s="416"/>
      <c r="CV50" s="416"/>
      <c r="CW50" s="416"/>
      <c r="CX50" s="416"/>
      <c r="CY50" s="416"/>
      <c r="CZ50" s="416"/>
      <c r="DA50" s="416"/>
      <c r="DB50" s="416"/>
      <c r="DC50" s="416"/>
      <c r="DD50" s="416"/>
      <c r="DE50" s="416"/>
      <c r="DF50" s="416"/>
      <c r="DG50" s="416"/>
      <c r="DH50" s="416"/>
      <c r="DI50" s="416"/>
      <c r="DJ50" s="416"/>
      <c r="DK50" s="416"/>
      <c r="DL50" s="416"/>
      <c r="DM50" s="416"/>
      <c r="DN50" s="416"/>
      <c r="DO50" s="416"/>
      <c r="DP50" s="416"/>
      <c r="DQ50" s="416"/>
      <c r="DR50" s="416"/>
      <c r="DS50" s="416"/>
      <c r="DT50" s="416"/>
      <c r="DU50" s="416"/>
      <c r="DV50" s="416"/>
      <c r="DW50" s="416"/>
      <c r="DX50" s="416"/>
      <c r="DY50" s="416"/>
      <c r="DZ50" s="416"/>
      <c r="EA50" s="416"/>
      <c r="EB50" s="416"/>
      <c r="EC50" s="416"/>
      <c r="ED50" s="416"/>
      <c r="EE50" s="416"/>
      <c r="EF50" s="416"/>
      <c r="EG50" s="416"/>
      <c r="EH50" s="416"/>
      <c r="EI50" s="416"/>
      <c r="EJ50" s="416"/>
      <c r="EK50" s="416"/>
      <c r="EL50" s="416"/>
      <c r="EM50" s="416"/>
      <c r="EN50" s="416"/>
      <c r="EO50" s="416"/>
      <c r="EP50" s="416"/>
      <c r="EQ50" s="416"/>
      <c r="ER50" s="416"/>
      <c r="ES50" s="416"/>
      <c r="ET50" s="416"/>
      <c r="EU50" s="416"/>
      <c r="EV50" s="416"/>
      <c r="EW50" s="416"/>
      <c r="EX50" s="416"/>
      <c r="EY50" s="416"/>
      <c r="EZ50" s="416"/>
      <c r="FA50" s="416"/>
      <c r="FB50" s="416"/>
      <c r="FC50" s="416"/>
      <c r="FD50" s="416"/>
      <c r="FE50" s="416"/>
      <c r="FF50" s="416"/>
      <c r="FG50" s="416"/>
      <c r="FH50" s="416"/>
      <c r="FI50" s="416"/>
      <c r="FJ50" s="416"/>
      <c r="FK50" s="416"/>
      <c r="FL50" s="416"/>
      <c r="FM50" s="416"/>
      <c r="FN50" s="416"/>
      <c r="FO50" s="416"/>
      <c r="FP50" s="416"/>
      <c r="FQ50" s="416"/>
      <c r="FR50" s="416"/>
      <c r="FS50" s="416"/>
      <c r="FT50" s="416"/>
      <c r="FU50" s="416"/>
      <c r="FV50" s="416"/>
      <c r="FW50" s="416"/>
      <c r="FX50" s="416"/>
      <c r="FY50" s="416"/>
      <c r="FZ50" s="416"/>
      <c r="GA50" s="416"/>
      <c r="GB50" s="416"/>
      <c r="GC50" s="416"/>
      <c r="GD50" s="416"/>
      <c r="GE50" s="416"/>
      <c r="GF50" s="416"/>
      <c r="GG50" s="416"/>
      <c r="GH50" s="416"/>
      <c r="GI50" s="416"/>
      <c r="GJ50" s="416"/>
      <c r="GK50" s="416"/>
      <c r="GL50" s="416"/>
      <c r="GM50" s="416"/>
      <c r="GN50" s="416"/>
      <c r="GO50" s="416"/>
      <c r="GP50" s="416"/>
      <c r="GQ50" s="416"/>
      <c r="GR50" s="416"/>
      <c r="GS50" s="416"/>
      <c r="GT50" s="416"/>
      <c r="GU50" s="416"/>
      <c r="GV50" s="416"/>
      <c r="GW50" s="416"/>
      <c r="GX50" s="416"/>
      <c r="GY50" s="416"/>
      <c r="GZ50" s="416"/>
      <c r="HA50" s="416"/>
      <c r="HB50" s="416"/>
      <c r="HC50" s="416"/>
      <c r="HD50" s="416"/>
      <c r="HE50" s="416"/>
      <c r="HF50" s="416"/>
      <c r="HG50" s="416"/>
      <c r="HH50" s="416"/>
      <c r="HI50" s="416"/>
      <c r="HJ50" s="416"/>
      <c r="HK50" s="416"/>
      <c r="HL50" s="416"/>
      <c r="HM50" s="416"/>
      <c r="HN50" s="416"/>
      <c r="HO50" s="416"/>
      <c r="HP50" s="416"/>
      <c r="HQ50" s="416"/>
      <c r="HR50" s="416"/>
      <c r="HS50" s="416"/>
      <c r="HT50" s="416"/>
      <c r="HU50" s="416"/>
      <c r="HV50" s="416"/>
      <c r="HW50" s="416"/>
      <c r="HX50" s="416"/>
      <c r="HY50" s="416"/>
      <c r="HZ50" s="416"/>
      <c r="IA50" s="416"/>
      <c r="IB50" s="416"/>
      <c r="IC50" s="416"/>
      <c r="ID50" s="416"/>
      <c r="IE50" s="416"/>
      <c r="IF50" s="416"/>
      <c r="IG50" s="416"/>
      <c r="IH50" s="416"/>
      <c r="II50" s="416"/>
      <c r="IJ50" s="416"/>
      <c r="IK50" s="416"/>
      <c r="IL50" s="416"/>
      <c r="IM50" s="416"/>
      <c r="IN50" s="416"/>
      <c r="IO50" s="416"/>
      <c r="IP50" s="416"/>
      <c r="IQ50" s="416"/>
      <c r="IR50" s="416"/>
      <c r="IS50" s="416"/>
      <c r="IT50" s="416"/>
      <c r="IU50" s="416"/>
      <c r="IV50" s="416"/>
    </row>
    <row r="51" spans="16:256" x14ac:dyDescent="0.25">
      <c r="AC51" s="416"/>
      <c r="AD51" s="416"/>
      <c r="AE51" s="416"/>
      <c r="AF51" s="416"/>
      <c r="AG51" s="416"/>
      <c r="AH51" s="416"/>
      <c r="AI51" s="416"/>
      <c r="AJ51" s="416"/>
      <c r="AK51" s="416"/>
      <c r="AL51" s="416"/>
      <c r="AM51" s="416"/>
      <c r="AN51" s="416"/>
      <c r="AO51" s="416"/>
      <c r="AP51" s="416"/>
      <c r="AQ51" s="416"/>
      <c r="AR51" s="416"/>
      <c r="AS51" s="416"/>
      <c r="AT51" s="416"/>
      <c r="AU51" s="416"/>
      <c r="AV51" s="416"/>
      <c r="AW51" s="416"/>
      <c r="AX51" s="416"/>
      <c r="AY51" s="416"/>
      <c r="AZ51" s="416"/>
      <c r="BA51" s="416"/>
      <c r="BB51" s="416"/>
      <c r="BC51" s="416"/>
      <c r="BD51" s="416"/>
      <c r="BE51" s="416"/>
      <c r="BF51" s="416"/>
      <c r="BG51" s="416"/>
      <c r="BH51" s="416"/>
      <c r="BI51" s="416"/>
      <c r="BJ51" s="416"/>
      <c r="BK51" s="416"/>
      <c r="BL51" s="416"/>
      <c r="BM51" s="416"/>
      <c r="BN51" s="416"/>
      <c r="BO51" s="416"/>
      <c r="BP51" s="416"/>
      <c r="BQ51" s="416"/>
      <c r="BR51" s="416"/>
      <c r="BS51" s="416"/>
      <c r="BT51" s="416"/>
      <c r="BU51" s="416"/>
      <c r="BV51" s="416"/>
      <c r="BW51" s="416"/>
      <c r="BX51" s="416"/>
      <c r="BY51" s="416"/>
      <c r="BZ51" s="416"/>
      <c r="CA51" s="416"/>
      <c r="CB51" s="416"/>
      <c r="CC51" s="416"/>
      <c r="CD51" s="416"/>
      <c r="CE51" s="416"/>
      <c r="CF51" s="416"/>
      <c r="CG51" s="416"/>
      <c r="CH51" s="416"/>
      <c r="CI51" s="416"/>
      <c r="CJ51" s="416"/>
      <c r="CK51" s="416"/>
      <c r="CL51" s="416"/>
      <c r="CM51" s="416"/>
      <c r="CN51" s="416"/>
      <c r="CO51" s="416"/>
      <c r="CP51" s="416"/>
      <c r="CQ51" s="416"/>
      <c r="CR51" s="416"/>
      <c r="CS51" s="416"/>
      <c r="CT51" s="416"/>
      <c r="CU51" s="416"/>
      <c r="CV51" s="416"/>
      <c r="CW51" s="416"/>
      <c r="CX51" s="416"/>
      <c r="CY51" s="416"/>
      <c r="CZ51" s="416"/>
      <c r="DA51" s="416"/>
      <c r="DB51" s="416"/>
      <c r="DC51" s="416"/>
      <c r="DD51" s="416"/>
      <c r="DE51" s="416"/>
      <c r="DF51" s="416"/>
      <c r="DG51" s="416"/>
      <c r="DH51" s="416"/>
      <c r="DI51" s="416"/>
      <c r="DJ51" s="416"/>
      <c r="DK51" s="416"/>
      <c r="DL51" s="416"/>
      <c r="DM51" s="416"/>
      <c r="DN51" s="416"/>
      <c r="DO51" s="416"/>
      <c r="DP51" s="416"/>
      <c r="DQ51" s="416"/>
      <c r="DR51" s="416"/>
      <c r="DS51" s="416"/>
      <c r="DT51" s="416"/>
      <c r="DU51" s="416"/>
      <c r="DV51" s="416"/>
      <c r="DW51" s="416"/>
      <c r="DX51" s="416"/>
      <c r="DY51" s="416"/>
      <c r="DZ51" s="416"/>
      <c r="EA51" s="416"/>
      <c r="EB51" s="416"/>
      <c r="EC51" s="416"/>
      <c r="ED51" s="416"/>
      <c r="EE51" s="416"/>
      <c r="EF51" s="416"/>
      <c r="EG51" s="416"/>
      <c r="EH51" s="416"/>
      <c r="EI51" s="416"/>
      <c r="EJ51" s="416"/>
      <c r="EK51" s="416"/>
      <c r="EL51" s="416"/>
      <c r="EM51" s="416"/>
      <c r="EN51" s="416"/>
      <c r="EO51" s="416"/>
      <c r="EP51" s="416"/>
      <c r="EQ51" s="416"/>
      <c r="ER51" s="416"/>
      <c r="ES51" s="416"/>
      <c r="ET51" s="416"/>
      <c r="EU51" s="416"/>
      <c r="EV51" s="416"/>
      <c r="EW51" s="416"/>
      <c r="EX51" s="416"/>
      <c r="EY51" s="416"/>
      <c r="EZ51" s="416"/>
      <c r="FA51" s="416"/>
      <c r="FB51" s="416"/>
      <c r="FC51" s="416"/>
      <c r="FD51" s="416"/>
      <c r="FE51" s="416"/>
      <c r="FF51" s="416"/>
      <c r="FG51" s="416"/>
      <c r="FH51" s="416"/>
      <c r="FI51" s="416"/>
      <c r="FJ51" s="416"/>
      <c r="FK51" s="416"/>
      <c r="FL51" s="416"/>
      <c r="FM51" s="416"/>
      <c r="FN51" s="416"/>
      <c r="FO51" s="416"/>
      <c r="FP51" s="416"/>
      <c r="FQ51" s="416"/>
      <c r="FR51" s="416"/>
      <c r="FS51" s="416"/>
      <c r="FT51" s="416"/>
      <c r="FU51" s="416"/>
      <c r="FV51" s="416"/>
      <c r="FW51" s="416"/>
      <c r="FX51" s="416"/>
      <c r="FY51" s="416"/>
      <c r="FZ51" s="416"/>
      <c r="GA51" s="416"/>
      <c r="GB51" s="416"/>
      <c r="GC51" s="416"/>
      <c r="GD51" s="416"/>
      <c r="GE51" s="416"/>
      <c r="GF51" s="416"/>
      <c r="GG51" s="416"/>
      <c r="GH51" s="416"/>
      <c r="GI51" s="416"/>
      <c r="GJ51" s="416"/>
      <c r="GK51" s="416"/>
      <c r="GL51" s="416"/>
      <c r="GM51" s="416"/>
      <c r="GN51" s="416"/>
      <c r="GO51" s="416"/>
      <c r="GP51" s="416"/>
      <c r="GQ51" s="416"/>
      <c r="GR51" s="416"/>
      <c r="GS51" s="416"/>
      <c r="GT51" s="416"/>
      <c r="GU51" s="416"/>
      <c r="GV51" s="416"/>
      <c r="GW51" s="416"/>
      <c r="GX51" s="416"/>
      <c r="GY51" s="416"/>
      <c r="GZ51" s="416"/>
      <c r="HA51" s="416"/>
      <c r="HB51" s="416"/>
      <c r="HC51" s="416"/>
      <c r="HD51" s="416"/>
      <c r="HE51" s="416"/>
      <c r="HF51" s="416"/>
      <c r="HG51" s="416"/>
      <c r="HH51" s="416"/>
      <c r="HI51" s="416"/>
      <c r="HJ51" s="416"/>
      <c r="HK51" s="416"/>
      <c r="HL51" s="416"/>
      <c r="HM51" s="416"/>
      <c r="HN51" s="416"/>
      <c r="HO51" s="416"/>
      <c r="HP51" s="416"/>
      <c r="HQ51" s="416"/>
      <c r="HR51" s="416"/>
      <c r="HS51" s="416"/>
      <c r="HT51" s="416"/>
      <c r="HU51" s="416"/>
      <c r="HV51" s="416"/>
      <c r="HW51" s="416"/>
      <c r="HX51" s="416"/>
      <c r="HY51" s="416"/>
      <c r="HZ51" s="416"/>
      <c r="IA51" s="416"/>
      <c r="IB51" s="416"/>
      <c r="IC51" s="416"/>
      <c r="ID51" s="416"/>
      <c r="IE51" s="416"/>
      <c r="IF51" s="416"/>
      <c r="IG51" s="416"/>
      <c r="IH51" s="416"/>
      <c r="II51" s="416"/>
      <c r="IJ51" s="416"/>
      <c r="IK51" s="416"/>
      <c r="IL51" s="416"/>
      <c r="IM51" s="416"/>
      <c r="IN51" s="416"/>
      <c r="IO51" s="416"/>
      <c r="IP51" s="416"/>
      <c r="IQ51" s="416"/>
      <c r="IR51" s="416"/>
      <c r="IS51" s="416"/>
      <c r="IT51" s="416"/>
      <c r="IU51" s="416"/>
      <c r="IV51" s="416"/>
    </row>
    <row r="52" spans="16:256" x14ac:dyDescent="0.25">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6"/>
      <c r="BK52" s="416"/>
      <c r="BL52" s="416"/>
      <c r="BM52" s="416"/>
      <c r="BN52" s="416"/>
      <c r="BO52" s="416"/>
      <c r="BP52" s="416"/>
      <c r="BQ52" s="416"/>
      <c r="BR52" s="416"/>
      <c r="BS52" s="416"/>
      <c r="BT52" s="416"/>
      <c r="BU52" s="416"/>
      <c r="BV52" s="416"/>
      <c r="BW52" s="416"/>
      <c r="BX52" s="416"/>
      <c r="BY52" s="416"/>
      <c r="BZ52" s="416"/>
      <c r="CA52" s="416"/>
      <c r="CB52" s="416"/>
      <c r="CC52" s="416"/>
      <c r="CD52" s="416"/>
      <c r="CE52" s="416"/>
      <c r="CF52" s="416"/>
      <c r="CG52" s="416"/>
      <c r="CH52" s="416"/>
      <c r="CI52" s="416"/>
      <c r="CJ52" s="416"/>
      <c r="CK52" s="416"/>
      <c r="CL52" s="416"/>
      <c r="CM52" s="416"/>
      <c r="CN52" s="416"/>
      <c r="CO52" s="416"/>
      <c r="CP52" s="416"/>
      <c r="CQ52" s="416"/>
      <c r="CR52" s="416"/>
      <c r="CS52" s="416"/>
      <c r="CT52" s="416"/>
      <c r="CU52" s="416"/>
      <c r="CV52" s="416"/>
      <c r="CW52" s="416"/>
      <c r="CX52" s="416"/>
      <c r="CY52" s="416"/>
      <c r="CZ52" s="416"/>
      <c r="DA52" s="416"/>
      <c r="DB52" s="416"/>
      <c r="DC52" s="416"/>
      <c r="DD52" s="416"/>
      <c r="DE52" s="416"/>
      <c r="DF52" s="416"/>
      <c r="DG52" s="416"/>
      <c r="DH52" s="416"/>
      <c r="DI52" s="416"/>
      <c r="DJ52" s="416"/>
      <c r="DK52" s="416"/>
      <c r="DL52" s="416"/>
      <c r="DM52" s="416"/>
      <c r="DN52" s="416"/>
      <c r="DO52" s="416"/>
      <c r="DP52" s="416"/>
      <c r="DQ52" s="416"/>
      <c r="DR52" s="416"/>
      <c r="DS52" s="416"/>
      <c r="DT52" s="416"/>
      <c r="DU52" s="416"/>
      <c r="DV52" s="416"/>
      <c r="DW52" s="416"/>
      <c r="DX52" s="416"/>
      <c r="DY52" s="416"/>
      <c r="DZ52" s="416"/>
      <c r="EA52" s="416"/>
      <c r="EB52" s="416"/>
      <c r="EC52" s="416"/>
      <c r="ED52" s="416"/>
      <c r="EE52" s="416"/>
      <c r="EF52" s="416"/>
      <c r="EG52" s="416"/>
      <c r="EH52" s="416"/>
      <c r="EI52" s="416"/>
      <c r="EJ52" s="416"/>
      <c r="EK52" s="416"/>
      <c r="EL52" s="416"/>
      <c r="EM52" s="416"/>
      <c r="EN52" s="416"/>
      <c r="EO52" s="416"/>
      <c r="EP52" s="416"/>
      <c r="EQ52" s="416"/>
      <c r="ER52" s="416"/>
      <c r="ES52" s="416"/>
      <c r="ET52" s="416"/>
      <c r="EU52" s="416"/>
      <c r="EV52" s="416"/>
      <c r="EW52" s="416"/>
      <c r="EX52" s="416"/>
      <c r="EY52" s="416"/>
      <c r="EZ52" s="416"/>
      <c r="FA52" s="416"/>
      <c r="FB52" s="416"/>
      <c r="FC52" s="416"/>
      <c r="FD52" s="416"/>
      <c r="FE52" s="416"/>
      <c r="FF52" s="416"/>
      <c r="FG52" s="416"/>
      <c r="FH52" s="416"/>
      <c r="FI52" s="416"/>
      <c r="FJ52" s="416"/>
      <c r="FK52" s="416"/>
      <c r="FL52" s="416"/>
      <c r="FM52" s="416"/>
      <c r="FN52" s="416"/>
      <c r="FO52" s="416"/>
      <c r="FP52" s="416"/>
      <c r="FQ52" s="416"/>
      <c r="FR52" s="416"/>
      <c r="FS52" s="416"/>
      <c r="FT52" s="416"/>
      <c r="FU52" s="416"/>
      <c r="FV52" s="416"/>
      <c r="FW52" s="416"/>
      <c r="FX52" s="416"/>
      <c r="FY52" s="416"/>
      <c r="FZ52" s="416"/>
      <c r="GA52" s="416"/>
      <c r="GB52" s="416"/>
      <c r="GC52" s="416"/>
      <c r="GD52" s="416"/>
      <c r="GE52" s="416"/>
      <c r="GF52" s="416"/>
      <c r="GG52" s="416"/>
      <c r="GH52" s="416"/>
      <c r="GI52" s="416"/>
      <c r="GJ52" s="416"/>
      <c r="GK52" s="416"/>
      <c r="GL52" s="416"/>
      <c r="GM52" s="416"/>
      <c r="GN52" s="416"/>
      <c r="GO52" s="416"/>
      <c r="GP52" s="416"/>
      <c r="GQ52" s="416"/>
      <c r="GR52" s="416"/>
      <c r="GS52" s="416"/>
      <c r="GT52" s="416"/>
      <c r="GU52" s="416"/>
      <c r="GV52" s="416"/>
      <c r="GW52" s="416"/>
      <c r="GX52" s="416"/>
      <c r="GY52" s="416"/>
      <c r="GZ52" s="416"/>
      <c r="HA52" s="416"/>
      <c r="HB52" s="416"/>
      <c r="HC52" s="416"/>
      <c r="HD52" s="416"/>
      <c r="HE52" s="416"/>
      <c r="HF52" s="416"/>
      <c r="HG52" s="416"/>
      <c r="HH52" s="416"/>
      <c r="HI52" s="416"/>
      <c r="HJ52" s="416"/>
      <c r="HK52" s="416"/>
      <c r="HL52" s="416"/>
      <c r="HM52" s="416"/>
      <c r="HN52" s="416"/>
      <c r="HO52" s="416"/>
      <c r="HP52" s="416"/>
      <c r="HQ52" s="416"/>
      <c r="HR52" s="416"/>
      <c r="HS52" s="416"/>
      <c r="HT52" s="416"/>
      <c r="HU52" s="416"/>
      <c r="HV52" s="416"/>
      <c r="HW52" s="416"/>
      <c r="HX52" s="416"/>
      <c r="HY52" s="416"/>
      <c r="HZ52" s="416"/>
      <c r="IA52" s="416"/>
      <c r="IB52" s="416"/>
      <c r="IC52" s="416"/>
      <c r="ID52" s="416"/>
      <c r="IE52" s="416"/>
      <c r="IF52" s="416"/>
      <c r="IG52" s="416"/>
      <c r="IH52" s="416"/>
      <c r="II52" s="416"/>
      <c r="IJ52" s="416"/>
      <c r="IK52" s="416"/>
      <c r="IL52" s="416"/>
      <c r="IM52" s="416"/>
      <c r="IN52" s="416"/>
      <c r="IO52" s="416"/>
      <c r="IP52" s="416"/>
      <c r="IQ52" s="416"/>
      <c r="IR52" s="416"/>
      <c r="IS52" s="416"/>
      <c r="IT52" s="416"/>
      <c r="IU52" s="416"/>
      <c r="IV52" s="416"/>
    </row>
    <row r="53" spans="16:256" x14ac:dyDescent="0.25">
      <c r="AC53" s="416"/>
      <c r="AD53" s="416"/>
      <c r="AE53" s="416"/>
      <c r="AF53" s="416"/>
      <c r="AG53" s="416"/>
      <c r="AH53" s="416"/>
      <c r="AI53" s="416"/>
      <c r="AJ53" s="416"/>
      <c r="AK53" s="416"/>
      <c r="AL53" s="416"/>
      <c r="AM53" s="416"/>
      <c r="AN53" s="416"/>
      <c r="AO53" s="416"/>
      <c r="AP53" s="416"/>
      <c r="AQ53" s="416"/>
      <c r="AR53" s="416"/>
      <c r="AS53" s="416"/>
      <c r="AT53" s="416"/>
      <c r="AU53" s="416"/>
      <c r="AV53" s="416"/>
      <c r="AW53" s="416"/>
      <c r="AX53" s="416"/>
      <c r="AY53" s="416"/>
      <c r="AZ53" s="416"/>
      <c r="BA53" s="416"/>
      <c r="BB53" s="416"/>
      <c r="BC53" s="416"/>
      <c r="BD53" s="416"/>
      <c r="BE53" s="416"/>
      <c r="BF53" s="416"/>
      <c r="BG53" s="416"/>
      <c r="BH53" s="416"/>
      <c r="BI53" s="416"/>
      <c r="BJ53" s="416"/>
      <c r="BK53" s="416"/>
      <c r="BL53" s="416"/>
      <c r="BM53" s="416"/>
      <c r="BN53" s="416"/>
      <c r="BO53" s="416"/>
      <c r="BP53" s="416"/>
      <c r="BQ53" s="416"/>
      <c r="BR53" s="416"/>
      <c r="BS53" s="416"/>
      <c r="BT53" s="416"/>
      <c r="BU53" s="416"/>
      <c r="BV53" s="416"/>
      <c r="BW53" s="416"/>
      <c r="BX53" s="416"/>
      <c r="BY53" s="416"/>
      <c r="BZ53" s="416"/>
      <c r="CA53" s="416"/>
      <c r="CB53" s="416"/>
      <c r="CC53" s="416"/>
      <c r="CD53" s="416"/>
      <c r="CE53" s="416"/>
      <c r="CF53" s="416"/>
      <c r="CG53" s="416"/>
      <c r="CH53" s="416"/>
      <c r="CI53" s="416"/>
      <c r="CJ53" s="416"/>
      <c r="CK53" s="416"/>
      <c r="CL53" s="416"/>
      <c r="CM53" s="416"/>
      <c r="CN53" s="416"/>
      <c r="CO53" s="416"/>
      <c r="CP53" s="416"/>
      <c r="CQ53" s="416"/>
      <c r="CR53" s="416"/>
      <c r="CS53" s="416"/>
      <c r="CT53" s="416"/>
      <c r="CU53" s="416"/>
      <c r="CV53" s="416"/>
      <c r="CW53" s="416"/>
      <c r="CX53" s="416"/>
      <c r="CY53" s="416"/>
      <c r="CZ53" s="416"/>
      <c r="DA53" s="416"/>
      <c r="DB53" s="416"/>
      <c r="DC53" s="416"/>
      <c r="DD53" s="416"/>
      <c r="DE53" s="416"/>
      <c r="DF53" s="416"/>
      <c r="DG53" s="416"/>
      <c r="DH53" s="416"/>
      <c r="DI53" s="416"/>
      <c r="DJ53" s="416"/>
      <c r="DK53" s="416"/>
      <c r="DL53" s="416"/>
      <c r="DM53" s="416"/>
      <c r="DN53" s="416"/>
      <c r="DO53" s="416"/>
      <c r="DP53" s="416"/>
      <c r="DQ53" s="416"/>
      <c r="DR53" s="416"/>
      <c r="DS53" s="416"/>
      <c r="DT53" s="416"/>
      <c r="DU53" s="416"/>
      <c r="DV53" s="416"/>
      <c r="DW53" s="416"/>
      <c r="DX53" s="416"/>
      <c r="DY53" s="416"/>
      <c r="DZ53" s="416"/>
      <c r="EA53" s="416"/>
      <c r="EB53" s="416"/>
      <c r="EC53" s="416"/>
      <c r="ED53" s="416"/>
      <c r="EE53" s="416"/>
      <c r="EF53" s="416"/>
      <c r="EG53" s="416"/>
      <c r="EH53" s="416"/>
      <c r="EI53" s="416"/>
      <c r="EJ53" s="416"/>
      <c r="EK53" s="416"/>
      <c r="EL53" s="416"/>
      <c r="EM53" s="416"/>
      <c r="EN53" s="416"/>
      <c r="EO53" s="416"/>
      <c r="EP53" s="416"/>
      <c r="EQ53" s="416"/>
      <c r="ER53" s="416"/>
      <c r="ES53" s="416"/>
      <c r="ET53" s="416"/>
      <c r="EU53" s="416"/>
      <c r="EV53" s="416"/>
      <c r="EW53" s="416"/>
      <c r="EX53" s="416"/>
      <c r="EY53" s="416"/>
      <c r="EZ53" s="416"/>
      <c r="FA53" s="416"/>
      <c r="FB53" s="416"/>
      <c r="FC53" s="416"/>
      <c r="FD53" s="416"/>
      <c r="FE53" s="416"/>
      <c r="FF53" s="416"/>
      <c r="FG53" s="416"/>
      <c r="FH53" s="416"/>
      <c r="FI53" s="416"/>
      <c r="FJ53" s="416"/>
      <c r="FK53" s="416"/>
      <c r="FL53" s="416"/>
      <c r="FM53" s="416"/>
      <c r="FN53" s="416"/>
      <c r="FO53" s="416"/>
      <c r="FP53" s="416"/>
      <c r="FQ53" s="416"/>
      <c r="FR53" s="416"/>
      <c r="FS53" s="416"/>
      <c r="FT53" s="416"/>
      <c r="FU53" s="416"/>
      <c r="FV53" s="416"/>
      <c r="FW53" s="416"/>
      <c r="FX53" s="416"/>
      <c r="FY53" s="416"/>
      <c r="FZ53" s="416"/>
      <c r="GA53" s="416"/>
      <c r="GB53" s="416"/>
      <c r="GC53" s="416"/>
      <c r="GD53" s="416"/>
      <c r="GE53" s="416"/>
      <c r="GF53" s="416"/>
      <c r="GG53" s="416"/>
      <c r="GH53" s="416"/>
      <c r="GI53" s="416"/>
      <c r="GJ53" s="416"/>
      <c r="GK53" s="416"/>
      <c r="GL53" s="416"/>
      <c r="GM53" s="416"/>
      <c r="GN53" s="416"/>
      <c r="GO53" s="416"/>
      <c r="GP53" s="416"/>
      <c r="GQ53" s="416"/>
      <c r="GR53" s="416"/>
      <c r="GS53" s="416"/>
      <c r="GT53" s="416"/>
      <c r="GU53" s="416"/>
      <c r="GV53" s="416"/>
      <c r="GW53" s="416"/>
      <c r="GX53" s="416"/>
      <c r="GY53" s="416"/>
      <c r="GZ53" s="416"/>
      <c r="HA53" s="416"/>
      <c r="HB53" s="416"/>
      <c r="HC53" s="416"/>
      <c r="HD53" s="416"/>
      <c r="HE53" s="416"/>
      <c r="HF53" s="416"/>
      <c r="HG53" s="416"/>
      <c r="HH53" s="416"/>
      <c r="HI53" s="416"/>
      <c r="HJ53" s="416"/>
      <c r="HK53" s="416"/>
      <c r="HL53" s="416"/>
      <c r="HM53" s="416"/>
      <c r="HN53" s="416"/>
      <c r="HO53" s="416"/>
      <c r="HP53" s="416"/>
      <c r="HQ53" s="416"/>
      <c r="HR53" s="416"/>
      <c r="HS53" s="416"/>
      <c r="HT53" s="416"/>
      <c r="HU53" s="416"/>
      <c r="HV53" s="416"/>
      <c r="HW53" s="416"/>
      <c r="HX53" s="416"/>
      <c r="HY53" s="416"/>
      <c r="HZ53" s="416"/>
      <c r="IA53" s="416"/>
      <c r="IB53" s="416"/>
      <c r="IC53" s="416"/>
      <c r="ID53" s="416"/>
      <c r="IE53" s="416"/>
      <c r="IF53" s="416"/>
      <c r="IG53" s="416"/>
      <c r="IH53" s="416"/>
      <c r="II53" s="416"/>
      <c r="IJ53" s="416"/>
      <c r="IK53" s="416"/>
      <c r="IL53" s="416"/>
      <c r="IM53" s="416"/>
      <c r="IN53" s="416"/>
      <c r="IO53" s="416"/>
      <c r="IP53" s="416"/>
      <c r="IQ53" s="416"/>
      <c r="IR53" s="416"/>
      <c r="IS53" s="416"/>
      <c r="IT53" s="416"/>
      <c r="IU53" s="416"/>
      <c r="IV53" s="416"/>
    </row>
    <row r="54" spans="16:256" x14ac:dyDescent="0.25">
      <c r="P54" s="475"/>
      <c r="Q54" s="475"/>
      <c r="S54" s="416"/>
      <c r="AC54" s="416"/>
      <c r="AD54" s="416"/>
      <c r="AE54" s="416"/>
      <c r="AF54" s="416"/>
      <c r="AG54" s="416"/>
      <c r="AH54" s="416"/>
      <c r="AI54" s="416"/>
      <c r="AJ54" s="416"/>
      <c r="AK54" s="416"/>
      <c r="AL54" s="416"/>
      <c r="AM54" s="416"/>
      <c r="AN54" s="416"/>
      <c r="AO54" s="416"/>
      <c r="AP54" s="416"/>
      <c r="AQ54" s="416"/>
      <c r="AR54" s="416"/>
      <c r="AS54" s="416"/>
      <c r="AT54" s="416"/>
      <c r="AU54" s="416"/>
      <c r="AV54" s="416"/>
      <c r="AW54" s="416"/>
      <c r="AX54" s="416"/>
      <c r="AY54" s="416"/>
      <c r="AZ54" s="416"/>
      <c r="BA54" s="416"/>
      <c r="BB54" s="416"/>
      <c r="BC54" s="416"/>
      <c r="BD54" s="416"/>
      <c r="BE54" s="416"/>
      <c r="BF54" s="416"/>
      <c r="BG54" s="416"/>
      <c r="BH54" s="416"/>
      <c r="BI54" s="416"/>
      <c r="BJ54" s="416"/>
      <c r="BK54" s="416"/>
      <c r="BL54" s="416"/>
      <c r="BM54" s="416"/>
      <c r="BN54" s="416"/>
      <c r="BO54" s="416"/>
      <c r="BP54" s="416"/>
      <c r="BQ54" s="416"/>
      <c r="BR54" s="416"/>
      <c r="BS54" s="416"/>
      <c r="BT54" s="416"/>
      <c r="BU54" s="416"/>
      <c r="BV54" s="416"/>
      <c r="BW54" s="416"/>
      <c r="BX54" s="416"/>
      <c r="BY54" s="416"/>
      <c r="BZ54" s="416"/>
      <c r="CA54" s="416"/>
      <c r="CB54" s="416"/>
      <c r="CC54" s="416"/>
      <c r="CD54" s="416"/>
      <c r="CE54" s="416"/>
      <c r="CF54" s="416"/>
      <c r="CG54" s="416"/>
      <c r="CH54" s="416"/>
      <c r="CI54" s="416"/>
      <c r="CJ54" s="416"/>
      <c r="CK54" s="416"/>
      <c r="CL54" s="416"/>
      <c r="CM54" s="416"/>
      <c r="CN54" s="416"/>
      <c r="CO54" s="416"/>
      <c r="CP54" s="416"/>
      <c r="CQ54" s="416"/>
      <c r="CR54" s="416"/>
      <c r="CS54" s="416"/>
      <c r="CT54" s="416"/>
      <c r="CU54" s="416"/>
      <c r="CV54" s="416"/>
      <c r="CW54" s="416"/>
      <c r="CX54" s="416"/>
      <c r="CY54" s="416"/>
      <c r="CZ54" s="416"/>
      <c r="DA54" s="416"/>
      <c r="DB54" s="416"/>
      <c r="DC54" s="416"/>
      <c r="DD54" s="416"/>
      <c r="DE54" s="416"/>
      <c r="DF54" s="416"/>
      <c r="DG54" s="416"/>
      <c r="DH54" s="416"/>
      <c r="DI54" s="416"/>
      <c r="DJ54" s="416"/>
      <c r="DK54" s="416"/>
      <c r="DL54" s="416"/>
      <c r="DM54" s="416"/>
      <c r="DN54" s="416"/>
      <c r="DO54" s="416"/>
      <c r="DP54" s="416"/>
      <c r="DQ54" s="416"/>
      <c r="DR54" s="416"/>
      <c r="DS54" s="416"/>
      <c r="DT54" s="416"/>
      <c r="DU54" s="416"/>
      <c r="DV54" s="416"/>
      <c r="DW54" s="416"/>
      <c r="DX54" s="416"/>
      <c r="DY54" s="416"/>
      <c r="DZ54" s="416"/>
      <c r="EA54" s="416"/>
      <c r="EB54" s="416"/>
      <c r="EC54" s="416"/>
      <c r="ED54" s="416"/>
      <c r="EE54" s="416"/>
      <c r="EF54" s="416"/>
      <c r="EG54" s="416"/>
      <c r="EH54" s="416"/>
      <c r="EI54" s="416"/>
      <c r="EJ54" s="416"/>
      <c r="EK54" s="416"/>
      <c r="EL54" s="416"/>
      <c r="EM54" s="416"/>
      <c r="EN54" s="416"/>
      <c r="EO54" s="416"/>
      <c r="EP54" s="416"/>
      <c r="EQ54" s="416"/>
      <c r="ER54" s="416"/>
      <c r="ES54" s="416"/>
      <c r="ET54" s="416"/>
      <c r="EU54" s="416"/>
      <c r="EV54" s="416"/>
      <c r="EW54" s="416"/>
      <c r="EX54" s="416"/>
      <c r="EY54" s="416"/>
      <c r="EZ54" s="416"/>
      <c r="FA54" s="416"/>
      <c r="FB54" s="416"/>
      <c r="FC54" s="416"/>
      <c r="FD54" s="416"/>
      <c r="FE54" s="416"/>
      <c r="FF54" s="416"/>
      <c r="FG54" s="416"/>
      <c r="FH54" s="416"/>
      <c r="FI54" s="416"/>
      <c r="FJ54" s="416"/>
      <c r="FK54" s="416"/>
      <c r="FL54" s="416"/>
      <c r="FM54" s="416"/>
      <c r="FN54" s="416"/>
      <c r="FO54" s="416"/>
      <c r="FP54" s="416"/>
      <c r="FQ54" s="416"/>
      <c r="FR54" s="416"/>
      <c r="FS54" s="416"/>
      <c r="FT54" s="416"/>
      <c r="FU54" s="416"/>
      <c r="FV54" s="416"/>
      <c r="FW54" s="416"/>
      <c r="FX54" s="416"/>
      <c r="FY54" s="416"/>
      <c r="FZ54" s="416"/>
      <c r="GA54" s="416"/>
      <c r="GB54" s="416"/>
      <c r="GC54" s="416"/>
      <c r="GD54" s="416"/>
      <c r="GE54" s="416"/>
      <c r="GF54" s="416"/>
      <c r="GG54" s="416"/>
      <c r="GH54" s="416"/>
      <c r="GI54" s="416"/>
      <c r="GJ54" s="416"/>
      <c r="GK54" s="416"/>
      <c r="GL54" s="416"/>
      <c r="GM54" s="416"/>
      <c r="GN54" s="416"/>
      <c r="GO54" s="416"/>
      <c r="GP54" s="416"/>
      <c r="GQ54" s="416"/>
      <c r="GR54" s="416"/>
      <c r="GS54" s="416"/>
      <c r="GT54" s="416"/>
      <c r="GU54" s="416"/>
      <c r="GV54" s="416"/>
      <c r="GW54" s="416"/>
      <c r="GX54" s="416"/>
      <c r="GY54" s="416"/>
      <c r="GZ54" s="416"/>
      <c r="HA54" s="416"/>
      <c r="HB54" s="416"/>
      <c r="HC54" s="416"/>
      <c r="HD54" s="416"/>
      <c r="HE54" s="416"/>
      <c r="HF54" s="416"/>
      <c r="HG54" s="416"/>
      <c r="HH54" s="416"/>
      <c r="HI54" s="416"/>
      <c r="HJ54" s="416"/>
      <c r="HK54" s="416"/>
      <c r="HL54" s="416"/>
      <c r="HM54" s="416"/>
      <c r="HN54" s="416"/>
      <c r="HO54" s="416"/>
      <c r="HP54" s="416"/>
      <c r="HQ54" s="416"/>
      <c r="HR54" s="416"/>
      <c r="HS54" s="416"/>
      <c r="HT54" s="416"/>
      <c r="HU54" s="416"/>
      <c r="HV54" s="416"/>
      <c r="HW54" s="416"/>
      <c r="HX54" s="416"/>
      <c r="HY54" s="416"/>
      <c r="HZ54" s="416"/>
      <c r="IA54" s="416"/>
      <c r="IB54" s="416"/>
      <c r="IC54" s="416"/>
      <c r="ID54" s="416"/>
      <c r="IE54" s="416"/>
      <c r="IF54" s="416"/>
      <c r="IG54" s="416"/>
      <c r="IH54" s="416"/>
      <c r="II54" s="416"/>
      <c r="IJ54" s="416"/>
      <c r="IK54" s="416"/>
      <c r="IL54" s="416"/>
      <c r="IM54" s="416"/>
      <c r="IN54" s="416"/>
      <c r="IO54" s="416"/>
      <c r="IP54" s="416"/>
      <c r="IQ54" s="416"/>
      <c r="IR54" s="416"/>
      <c r="IS54" s="416"/>
      <c r="IT54" s="416"/>
      <c r="IU54" s="416"/>
      <c r="IV54" s="416"/>
    </row>
    <row r="55" spans="16:256" x14ac:dyDescent="0.25">
      <c r="AC55" s="416"/>
      <c r="AD55" s="416"/>
      <c r="AE55" s="416"/>
      <c r="AF55" s="416"/>
      <c r="AG55" s="416"/>
      <c r="AH55" s="416"/>
      <c r="AI55" s="416"/>
      <c r="AJ55" s="416"/>
      <c r="AK55" s="416"/>
      <c r="AL55" s="416"/>
      <c r="AM55" s="416"/>
      <c r="AN55" s="416"/>
      <c r="AO55" s="416"/>
      <c r="AP55" s="416"/>
      <c r="AQ55" s="416"/>
      <c r="AR55" s="416"/>
      <c r="AS55" s="416"/>
      <c r="AT55" s="416"/>
      <c r="AU55" s="416"/>
      <c r="AV55" s="416"/>
      <c r="AW55" s="416"/>
      <c r="AX55" s="416"/>
      <c r="AY55" s="416"/>
      <c r="AZ55" s="416"/>
      <c r="BA55" s="416"/>
      <c r="BB55" s="416"/>
      <c r="BC55" s="416"/>
      <c r="BD55" s="416"/>
      <c r="BE55" s="416"/>
      <c r="BF55" s="416"/>
      <c r="BG55" s="416"/>
      <c r="BH55" s="416"/>
      <c r="BI55" s="416"/>
      <c r="BJ55" s="416"/>
      <c r="BK55" s="416"/>
      <c r="BL55" s="416"/>
      <c r="BM55" s="416"/>
      <c r="BN55" s="416"/>
      <c r="BO55" s="416"/>
      <c r="BP55" s="416"/>
      <c r="BQ55" s="416"/>
      <c r="BR55" s="416"/>
      <c r="BS55" s="416"/>
      <c r="BT55" s="416"/>
      <c r="BU55" s="416"/>
      <c r="BV55" s="416"/>
      <c r="BW55" s="416"/>
      <c r="BX55" s="416"/>
      <c r="BY55" s="416"/>
      <c r="BZ55" s="416"/>
      <c r="CA55" s="416"/>
      <c r="CB55" s="416"/>
      <c r="CC55" s="416"/>
      <c r="CD55" s="416"/>
      <c r="CE55" s="416"/>
      <c r="CF55" s="416"/>
      <c r="CG55" s="416"/>
      <c r="CH55" s="416"/>
      <c r="CI55" s="416"/>
      <c r="CJ55" s="416"/>
      <c r="CK55" s="416"/>
      <c r="CL55" s="416"/>
      <c r="CM55" s="416"/>
      <c r="CN55" s="416"/>
      <c r="CO55" s="416"/>
      <c r="CP55" s="416"/>
      <c r="CQ55" s="416"/>
      <c r="CR55" s="416"/>
      <c r="CS55" s="416"/>
      <c r="CT55" s="416"/>
      <c r="CU55" s="416"/>
      <c r="CV55" s="416"/>
      <c r="CW55" s="416"/>
      <c r="CX55" s="416"/>
      <c r="CY55" s="416"/>
      <c r="CZ55" s="416"/>
      <c r="DA55" s="416"/>
      <c r="DB55" s="416"/>
      <c r="DC55" s="416"/>
      <c r="DD55" s="416"/>
      <c r="DE55" s="416"/>
      <c r="DF55" s="416"/>
      <c r="DG55" s="416"/>
      <c r="DH55" s="416"/>
      <c r="DI55" s="416"/>
      <c r="DJ55" s="416"/>
      <c r="DK55" s="416"/>
      <c r="DL55" s="416"/>
      <c r="DM55" s="416"/>
      <c r="DN55" s="416"/>
      <c r="DO55" s="416"/>
      <c r="DP55" s="416"/>
      <c r="DQ55" s="416"/>
      <c r="DR55" s="416"/>
      <c r="DS55" s="416"/>
      <c r="DT55" s="416"/>
      <c r="DU55" s="416"/>
      <c r="DV55" s="416"/>
      <c r="DW55" s="416"/>
      <c r="DX55" s="416"/>
      <c r="DY55" s="416"/>
      <c r="DZ55" s="416"/>
      <c r="EA55" s="416"/>
      <c r="EB55" s="416"/>
      <c r="EC55" s="416"/>
      <c r="ED55" s="416"/>
      <c r="EE55" s="416"/>
      <c r="EF55" s="416"/>
      <c r="EG55" s="416"/>
      <c r="EH55" s="416"/>
      <c r="EI55" s="416"/>
      <c r="EJ55" s="416"/>
      <c r="EK55" s="416"/>
      <c r="EL55" s="416"/>
      <c r="EM55" s="416"/>
      <c r="EN55" s="416"/>
      <c r="EO55" s="416"/>
      <c r="EP55" s="416"/>
      <c r="EQ55" s="416"/>
      <c r="ER55" s="416"/>
      <c r="ES55" s="416"/>
      <c r="ET55" s="416"/>
      <c r="EU55" s="416"/>
      <c r="EV55" s="416"/>
      <c r="EW55" s="416"/>
      <c r="EX55" s="416"/>
      <c r="EY55" s="416"/>
      <c r="EZ55" s="416"/>
      <c r="FA55" s="416"/>
      <c r="FB55" s="416"/>
      <c r="FC55" s="416"/>
      <c r="FD55" s="416"/>
      <c r="FE55" s="416"/>
      <c r="FF55" s="416"/>
      <c r="FG55" s="416"/>
      <c r="FH55" s="416"/>
      <c r="FI55" s="416"/>
      <c r="FJ55" s="416"/>
      <c r="FK55" s="416"/>
      <c r="FL55" s="416"/>
      <c r="FM55" s="416"/>
      <c r="FN55" s="416"/>
      <c r="FO55" s="416"/>
      <c r="FP55" s="416"/>
      <c r="FQ55" s="416"/>
      <c r="FR55" s="416"/>
      <c r="FS55" s="416"/>
      <c r="FT55" s="416"/>
      <c r="FU55" s="416"/>
      <c r="FV55" s="416"/>
      <c r="FW55" s="416"/>
      <c r="FX55" s="416"/>
      <c r="FY55" s="416"/>
      <c r="FZ55" s="416"/>
      <c r="GA55" s="416"/>
      <c r="GB55" s="416"/>
      <c r="GC55" s="416"/>
      <c r="GD55" s="416"/>
      <c r="GE55" s="416"/>
      <c r="GF55" s="416"/>
      <c r="GG55" s="416"/>
      <c r="GH55" s="416"/>
      <c r="GI55" s="416"/>
      <c r="GJ55" s="416"/>
      <c r="GK55" s="416"/>
      <c r="GL55" s="416"/>
      <c r="GM55" s="416"/>
      <c r="GN55" s="416"/>
      <c r="GO55" s="416"/>
      <c r="GP55" s="416"/>
      <c r="GQ55" s="416"/>
      <c r="GR55" s="416"/>
      <c r="GS55" s="416"/>
      <c r="GT55" s="416"/>
      <c r="GU55" s="416"/>
      <c r="GV55" s="416"/>
      <c r="GW55" s="416"/>
      <c r="GX55" s="416"/>
      <c r="GY55" s="416"/>
      <c r="GZ55" s="416"/>
      <c r="HA55" s="416"/>
      <c r="HB55" s="416"/>
      <c r="HC55" s="416"/>
      <c r="HD55" s="416"/>
      <c r="HE55" s="416"/>
      <c r="HF55" s="416"/>
      <c r="HG55" s="416"/>
      <c r="HH55" s="416"/>
      <c r="HI55" s="416"/>
      <c r="HJ55" s="416"/>
      <c r="HK55" s="416"/>
      <c r="HL55" s="416"/>
      <c r="HM55" s="416"/>
      <c r="HN55" s="416"/>
      <c r="HO55" s="416"/>
      <c r="HP55" s="416"/>
      <c r="HQ55" s="416"/>
      <c r="HR55" s="416"/>
      <c r="HS55" s="416"/>
      <c r="HT55" s="416"/>
      <c r="HU55" s="416"/>
      <c r="HV55" s="416"/>
      <c r="HW55" s="416"/>
      <c r="HX55" s="416"/>
      <c r="HY55" s="416"/>
      <c r="HZ55" s="416"/>
      <c r="IA55" s="416"/>
      <c r="IB55" s="416"/>
      <c r="IC55" s="416"/>
      <c r="ID55" s="416"/>
      <c r="IE55" s="416"/>
      <c r="IF55" s="416"/>
      <c r="IG55" s="416"/>
      <c r="IH55" s="416"/>
      <c r="II55" s="416"/>
      <c r="IJ55" s="416"/>
      <c r="IK55" s="416"/>
      <c r="IL55" s="416"/>
      <c r="IM55" s="416"/>
      <c r="IN55" s="416"/>
      <c r="IO55" s="416"/>
      <c r="IP55" s="416"/>
      <c r="IQ55" s="416"/>
      <c r="IR55" s="416"/>
      <c r="IS55" s="416"/>
      <c r="IT55" s="416"/>
      <c r="IU55" s="416"/>
      <c r="IV55" s="416"/>
    </row>
    <row r="56" spans="16:256" x14ac:dyDescent="0.25">
      <c r="AC56" s="416"/>
      <c r="AD56" s="416"/>
      <c r="AE56" s="416"/>
      <c r="AF56" s="416"/>
      <c r="AG56" s="416"/>
      <c r="AH56" s="416"/>
      <c r="AI56" s="416"/>
      <c r="AJ56" s="416"/>
      <c r="AK56" s="416"/>
      <c r="AL56" s="416"/>
      <c r="AM56" s="416"/>
      <c r="AN56" s="416"/>
      <c r="AO56" s="416"/>
      <c r="AP56" s="416"/>
      <c r="AQ56" s="416"/>
      <c r="AR56" s="416"/>
      <c r="AS56" s="416"/>
      <c r="AT56" s="416"/>
      <c r="AU56" s="416"/>
      <c r="AV56" s="416"/>
      <c r="AW56" s="416"/>
      <c r="AX56" s="416"/>
      <c r="AY56" s="416"/>
      <c r="AZ56" s="416"/>
      <c r="BA56" s="416"/>
      <c r="BB56" s="416"/>
      <c r="BC56" s="416"/>
      <c r="BD56" s="416"/>
      <c r="BE56" s="416"/>
      <c r="BF56" s="416"/>
      <c r="BG56" s="416"/>
      <c r="BH56" s="416"/>
      <c r="BI56" s="416"/>
      <c r="BJ56" s="416"/>
      <c r="BK56" s="416"/>
      <c r="BL56" s="416"/>
      <c r="BM56" s="416"/>
      <c r="BN56" s="416"/>
      <c r="BO56" s="416"/>
      <c r="BP56" s="416"/>
      <c r="BQ56" s="416"/>
      <c r="BR56" s="416"/>
      <c r="BS56" s="416"/>
      <c r="BT56" s="416"/>
      <c r="BU56" s="416"/>
      <c r="BV56" s="416"/>
      <c r="BW56" s="416"/>
      <c r="BX56" s="416"/>
      <c r="BY56" s="416"/>
      <c r="BZ56" s="416"/>
      <c r="CA56" s="416"/>
      <c r="CB56" s="416"/>
      <c r="CC56" s="416"/>
      <c r="CD56" s="416"/>
      <c r="CE56" s="416"/>
      <c r="CF56" s="416"/>
      <c r="CG56" s="416"/>
      <c r="CH56" s="416"/>
      <c r="CI56" s="416"/>
      <c r="CJ56" s="416"/>
      <c r="CK56" s="416"/>
      <c r="CL56" s="416"/>
      <c r="CM56" s="416"/>
      <c r="CN56" s="416"/>
      <c r="CO56" s="416"/>
      <c r="CP56" s="416"/>
      <c r="CQ56" s="416"/>
      <c r="CR56" s="416"/>
      <c r="CS56" s="416"/>
      <c r="CT56" s="416"/>
      <c r="CU56" s="416"/>
      <c r="CV56" s="416"/>
      <c r="CW56" s="416"/>
      <c r="CX56" s="416"/>
      <c r="CY56" s="416"/>
      <c r="CZ56" s="416"/>
      <c r="DA56" s="416"/>
      <c r="DB56" s="416"/>
      <c r="DC56" s="416"/>
      <c r="DD56" s="416"/>
      <c r="DE56" s="416"/>
      <c r="DF56" s="416"/>
      <c r="DG56" s="416"/>
      <c r="DH56" s="416"/>
      <c r="DI56" s="416"/>
      <c r="DJ56" s="416"/>
      <c r="DK56" s="416"/>
      <c r="DL56" s="416"/>
      <c r="DM56" s="416"/>
      <c r="DN56" s="416"/>
      <c r="DO56" s="416"/>
      <c r="DP56" s="416"/>
      <c r="DQ56" s="416"/>
      <c r="DR56" s="416"/>
      <c r="DS56" s="416"/>
      <c r="DT56" s="416"/>
      <c r="DU56" s="416"/>
      <c r="DV56" s="416"/>
      <c r="DW56" s="416"/>
      <c r="DX56" s="416"/>
      <c r="DY56" s="416"/>
      <c r="DZ56" s="416"/>
      <c r="EA56" s="416"/>
      <c r="EB56" s="416"/>
      <c r="EC56" s="416"/>
      <c r="ED56" s="416"/>
      <c r="EE56" s="416"/>
      <c r="EF56" s="416"/>
      <c r="EG56" s="416"/>
      <c r="EH56" s="416"/>
      <c r="EI56" s="416"/>
      <c r="EJ56" s="416"/>
      <c r="EK56" s="416"/>
      <c r="EL56" s="416"/>
      <c r="EM56" s="416"/>
      <c r="EN56" s="416"/>
      <c r="EO56" s="416"/>
      <c r="EP56" s="416"/>
      <c r="EQ56" s="416"/>
      <c r="ER56" s="416"/>
      <c r="ES56" s="416"/>
      <c r="ET56" s="416"/>
      <c r="EU56" s="416"/>
      <c r="EV56" s="416"/>
      <c r="EW56" s="416"/>
      <c r="EX56" s="416"/>
      <c r="EY56" s="416"/>
      <c r="EZ56" s="416"/>
      <c r="FA56" s="416"/>
      <c r="FB56" s="416"/>
      <c r="FC56" s="416"/>
      <c r="FD56" s="416"/>
      <c r="FE56" s="416"/>
      <c r="FF56" s="416"/>
      <c r="FG56" s="416"/>
      <c r="FH56" s="416"/>
      <c r="FI56" s="416"/>
      <c r="FJ56" s="416"/>
      <c r="FK56" s="416"/>
      <c r="FL56" s="416"/>
      <c r="FM56" s="416"/>
      <c r="FN56" s="416"/>
      <c r="FO56" s="416"/>
      <c r="FP56" s="416"/>
      <c r="FQ56" s="416"/>
      <c r="FR56" s="416"/>
      <c r="FS56" s="416"/>
      <c r="FT56" s="416"/>
      <c r="FU56" s="416"/>
      <c r="FV56" s="416"/>
      <c r="FW56" s="416"/>
      <c r="FX56" s="416"/>
      <c r="FY56" s="416"/>
      <c r="FZ56" s="416"/>
      <c r="GA56" s="416"/>
      <c r="GB56" s="416"/>
      <c r="GC56" s="416"/>
      <c r="GD56" s="416"/>
      <c r="GE56" s="416"/>
      <c r="GF56" s="416"/>
      <c r="GG56" s="416"/>
      <c r="GH56" s="416"/>
      <c r="GI56" s="416"/>
      <c r="GJ56" s="416"/>
      <c r="GK56" s="416"/>
      <c r="GL56" s="416"/>
      <c r="GM56" s="416"/>
      <c r="GN56" s="416"/>
      <c r="GO56" s="416"/>
      <c r="GP56" s="416"/>
      <c r="GQ56" s="416"/>
      <c r="GR56" s="416"/>
      <c r="GS56" s="416"/>
      <c r="GT56" s="416"/>
      <c r="GU56" s="416"/>
      <c r="GV56" s="416"/>
      <c r="GW56" s="416"/>
      <c r="GX56" s="416"/>
      <c r="GY56" s="416"/>
      <c r="GZ56" s="416"/>
      <c r="HA56" s="416"/>
      <c r="HB56" s="416"/>
      <c r="HC56" s="416"/>
      <c r="HD56" s="416"/>
      <c r="HE56" s="416"/>
      <c r="HF56" s="416"/>
      <c r="HG56" s="416"/>
      <c r="HH56" s="416"/>
      <c r="HI56" s="416"/>
      <c r="HJ56" s="416"/>
      <c r="HK56" s="416"/>
      <c r="HL56" s="416"/>
      <c r="HM56" s="416"/>
      <c r="HN56" s="416"/>
      <c r="HO56" s="416"/>
      <c r="HP56" s="416"/>
      <c r="HQ56" s="416"/>
      <c r="HR56" s="416"/>
      <c r="HS56" s="416"/>
      <c r="HT56" s="416"/>
      <c r="HU56" s="416"/>
      <c r="HV56" s="416"/>
      <c r="HW56" s="416"/>
      <c r="HX56" s="416"/>
      <c r="HY56" s="416"/>
      <c r="HZ56" s="416"/>
      <c r="IA56" s="416"/>
      <c r="IB56" s="416"/>
      <c r="IC56" s="416"/>
      <c r="ID56" s="416"/>
      <c r="IE56" s="416"/>
      <c r="IF56" s="416"/>
      <c r="IG56" s="416"/>
      <c r="IH56" s="416"/>
      <c r="II56" s="416"/>
      <c r="IJ56" s="416"/>
      <c r="IK56" s="416"/>
      <c r="IL56" s="416"/>
      <c r="IM56" s="416"/>
      <c r="IN56" s="416"/>
      <c r="IO56" s="416"/>
      <c r="IP56" s="416"/>
      <c r="IQ56" s="416"/>
      <c r="IR56" s="416"/>
      <c r="IS56" s="416"/>
      <c r="IT56" s="416"/>
      <c r="IU56" s="416"/>
      <c r="IV56" s="416"/>
    </row>
    <row r="57" spans="16:256" x14ac:dyDescent="0.25">
      <c r="AC57" s="416"/>
      <c r="AD57" s="416"/>
      <c r="AE57" s="416"/>
      <c r="AF57" s="416"/>
      <c r="AG57" s="416"/>
      <c r="AH57" s="416"/>
      <c r="AI57" s="416"/>
      <c r="AJ57" s="416"/>
      <c r="AK57" s="416"/>
      <c r="AL57" s="416"/>
      <c r="AM57" s="416"/>
      <c r="AN57" s="416"/>
      <c r="AO57" s="416"/>
      <c r="AP57" s="416"/>
      <c r="AQ57" s="416"/>
      <c r="AR57" s="416"/>
      <c r="AS57" s="416"/>
      <c r="AT57" s="416"/>
      <c r="AU57" s="416"/>
      <c r="AV57" s="416"/>
      <c r="AW57" s="416"/>
      <c r="AX57" s="416"/>
      <c r="AY57" s="416"/>
      <c r="AZ57" s="416"/>
      <c r="BA57" s="416"/>
      <c r="BB57" s="416"/>
      <c r="BC57" s="416"/>
      <c r="BD57" s="416"/>
      <c r="BE57" s="416"/>
      <c r="BF57" s="416"/>
      <c r="BG57" s="416"/>
      <c r="BH57" s="416"/>
      <c r="BI57" s="416"/>
      <c r="BJ57" s="416"/>
      <c r="BK57" s="416"/>
      <c r="BL57" s="416"/>
      <c r="BM57" s="416"/>
      <c r="BN57" s="416"/>
      <c r="BO57" s="416"/>
      <c r="BP57" s="416"/>
      <c r="BQ57" s="416"/>
      <c r="BR57" s="416"/>
      <c r="BS57" s="416"/>
      <c r="BT57" s="416"/>
      <c r="BU57" s="416"/>
      <c r="BV57" s="416"/>
      <c r="BW57" s="416"/>
      <c r="BX57" s="416"/>
      <c r="BY57" s="416"/>
      <c r="BZ57" s="416"/>
      <c r="CA57" s="416"/>
      <c r="CB57" s="416"/>
      <c r="CC57" s="416"/>
      <c r="CD57" s="416"/>
      <c r="CE57" s="416"/>
      <c r="CF57" s="416"/>
      <c r="CG57" s="416"/>
      <c r="CH57" s="416"/>
      <c r="CI57" s="416"/>
      <c r="CJ57" s="416"/>
      <c r="CK57" s="416"/>
      <c r="CL57" s="416"/>
      <c r="CM57" s="416"/>
      <c r="CN57" s="416"/>
      <c r="CO57" s="416"/>
      <c r="CP57" s="416"/>
      <c r="CQ57" s="416"/>
      <c r="CR57" s="416"/>
      <c r="CS57" s="416"/>
      <c r="CT57" s="416"/>
      <c r="CU57" s="416"/>
      <c r="CV57" s="416"/>
      <c r="CW57" s="416"/>
      <c r="CX57" s="416"/>
      <c r="CY57" s="416"/>
      <c r="CZ57" s="416"/>
      <c r="DA57" s="416"/>
      <c r="DB57" s="416"/>
      <c r="DC57" s="416"/>
      <c r="DD57" s="416"/>
      <c r="DE57" s="416"/>
      <c r="DF57" s="416"/>
      <c r="DG57" s="416"/>
      <c r="DH57" s="416"/>
      <c r="DI57" s="416"/>
      <c r="DJ57" s="416"/>
      <c r="DK57" s="416"/>
      <c r="DL57" s="416"/>
      <c r="DM57" s="416"/>
      <c r="DN57" s="416"/>
      <c r="DO57" s="416"/>
      <c r="DP57" s="416"/>
      <c r="DQ57" s="416"/>
      <c r="DR57" s="416"/>
      <c r="DS57" s="416"/>
      <c r="DT57" s="416"/>
      <c r="DU57" s="416"/>
      <c r="DV57" s="416"/>
      <c r="DW57" s="416"/>
      <c r="DX57" s="416"/>
      <c r="DY57" s="416"/>
      <c r="DZ57" s="416"/>
      <c r="EA57" s="416"/>
      <c r="EB57" s="416"/>
      <c r="EC57" s="416"/>
      <c r="ED57" s="416"/>
      <c r="EE57" s="416"/>
      <c r="EF57" s="416"/>
      <c r="EG57" s="416"/>
      <c r="EH57" s="416"/>
      <c r="EI57" s="416"/>
      <c r="EJ57" s="416"/>
      <c r="EK57" s="416"/>
      <c r="EL57" s="416"/>
      <c r="EM57" s="416"/>
      <c r="EN57" s="416"/>
      <c r="EO57" s="416"/>
      <c r="EP57" s="416"/>
      <c r="EQ57" s="416"/>
      <c r="ER57" s="416"/>
      <c r="ES57" s="416"/>
      <c r="ET57" s="416"/>
      <c r="EU57" s="416"/>
      <c r="EV57" s="416"/>
      <c r="EW57" s="416"/>
      <c r="EX57" s="416"/>
      <c r="EY57" s="416"/>
      <c r="EZ57" s="416"/>
      <c r="FA57" s="416"/>
      <c r="FB57" s="416"/>
      <c r="FC57" s="416"/>
      <c r="FD57" s="416"/>
      <c r="FE57" s="416"/>
      <c r="FF57" s="416"/>
      <c r="FG57" s="416"/>
      <c r="FH57" s="416"/>
      <c r="FI57" s="416"/>
      <c r="FJ57" s="416"/>
      <c r="FK57" s="416"/>
      <c r="FL57" s="416"/>
      <c r="FM57" s="416"/>
      <c r="FN57" s="416"/>
      <c r="FO57" s="416"/>
      <c r="FP57" s="416"/>
      <c r="FQ57" s="416"/>
      <c r="FR57" s="416"/>
      <c r="FS57" s="416"/>
      <c r="FT57" s="416"/>
      <c r="FU57" s="416"/>
      <c r="FV57" s="416"/>
      <c r="FW57" s="416"/>
      <c r="FX57" s="416"/>
      <c r="FY57" s="416"/>
      <c r="FZ57" s="416"/>
      <c r="GA57" s="416"/>
      <c r="GB57" s="416"/>
      <c r="GC57" s="416"/>
      <c r="GD57" s="416"/>
      <c r="GE57" s="416"/>
      <c r="GF57" s="416"/>
      <c r="GG57" s="416"/>
      <c r="GH57" s="416"/>
      <c r="GI57" s="416"/>
      <c r="GJ57" s="416"/>
      <c r="GK57" s="416"/>
      <c r="GL57" s="416"/>
      <c r="GM57" s="416"/>
      <c r="GN57" s="416"/>
      <c r="GO57" s="416"/>
      <c r="GP57" s="416"/>
      <c r="GQ57" s="416"/>
      <c r="GR57" s="416"/>
      <c r="GS57" s="416"/>
      <c r="GT57" s="416"/>
      <c r="GU57" s="416"/>
      <c r="GV57" s="416"/>
      <c r="GW57" s="416"/>
      <c r="GX57" s="416"/>
      <c r="GY57" s="416"/>
      <c r="GZ57" s="416"/>
      <c r="HA57" s="416"/>
      <c r="HB57" s="416"/>
      <c r="HC57" s="416"/>
      <c r="HD57" s="416"/>
      <c r="HE57" s="416"/>
      <c r="HF57" s="416"/>
      <c r="HG57" s="416"/>
      <c r="HH57" s="416"/>
      <c r="HI57" s="416"/>
      <c r="HJ57" s="416"/>
      <c r="HK57" s="416"/>
      <c r="HL57" s="416"/>
      <c r="HM57" s="416"/>
      <c r="HN57" s="416"/>
      <c r="HO57" s="416"/>
      <c r="HP57" s="416"/>
      <c r="HQ57" s="416"/>
      <c r="HR57" s="416"/>
      <c r="HS57" s="416"/>
      <c r="HT57" s="416"/>
      <c r="HU57" s="416"/>
      <c r="HV57" s="416"/>
      <c r="HW57" s="416"/>
      <c r="HX57" s="416"/>
      <c r="HY57" s="416"/>
      <c r="HZ57" s="416"/>
      <c r="IA57" s="416"/>
      <c r="IB57" s="416"/>
      <c r="IC57" s="416"/>
      <c r="ID57" s="416"/>
      <c r="IE57" s="416"/>
      <c r="IF57" s="416"/>
      <c r="IG57" s="416"/>
      <c r="IH57" s="416"/>
      <c r="II57" s="416"/>
      <c r="IJ57" s="416"/>
      <c r="IK57" s="416"/>
      <c r="IL57" s="416"/>
      <c r="IM57" s="416"/>
      <c r="IN57" s="416"/>
      <c r="IO57" s="416"/>
      <c r="IP57" s="416"/>
      <c r="IQ57" s="416"/>
      <c r="IR57" s="416"/>
      <c r="IS57" s="416"/>
      <c r="IT57" s="416"/>
      <c r="IU57" s="416"/>
      <c r="IV57" s="416"/>
    </row>
  </sheetData>
  <mergeCells count="21">
    <mergeCell ref="Y6:Y9"/>
    <mergeCell ref="Z6:Z9"/>
    <mergeCell ref="AB6:AB9"/>
    <mergeCell ref="A17:B17"/>
    <mergeCell ref="A29:B29"/>
    <mergeCell ref="U6:U9"/>
    <mergeCell ref="V6:V9"/>
    <mergeCell ref="W6:W9"/>
    <mergeCell ref="X6:X9"/>
    <mergeCell ref="A35:B35"/>
    <mergeCell ref="A33:B33"/>
    <mergeCell ref="A6:A9"/>
    <mergeCell ref="B6:B9"/>
    <mergeCell ref="L6:L9"/>
    <mergeCell ref="P6:P9"/>
    <mergeCell ref="S6:S8"/>
    <mergeCell ref="C5:E5"/>
    <mergeCell ref="F5:Q5"/>
    <mergeCell ref="R5:T5"/>
    <mergeCell ref="U5:X5"/>
    <mergeCell ref="Y5:AB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16AD-D684-4149-8595-707F395FFC9D}">
  <dimension ref="A1:O72"/>
  <sheetViews>
    <sheetView zoomScale="75" zoomScaleNormal="75" workbookViewId="0">
      <selection activeCell="G16" sqref="G16"/>
    </sheetView>
  </sheetViews>
  <sheetFormatPr baseColWidth="10" defaultColWidth="11.44140625" defaultRowHeight="0" customHeight="1" zeroHeight="1" x14ac:dyDescent="0.3"/>
  <cols>
    <col min="1" max="1" width="3.5546875" style="200" customWidth="1"/>
    <col min="2" max="2" width="7.33203125" style="218" customWidth="1"/>
    <col min="3" max="14" width="7.33203125" style="200" customWidth="1"/>
    <col min="15" max="15" width="3.33203125" style="200" customWidth="1"/>
    <col min="16" max="16384" width="11.44140625" style="200"/>
  </cols>
  <sheetData>
    <row r="1" spans="1:15" ht="45" customHeight="1" x14ac:dyDescent="0.3">
      <c r="A1" s="197"/>
      <c r="B1" s="197"/>
      <c r="C1" s="197"/>
      <c r="D1" s="197"/>
      <c r="E1" s="197"/>
      <c r="F1" s="197"/>
      <c r="G1" s="197"/>
      <c r="H1" s="197"/>
      <c r="I1" s="197"/>
      <c r="J1" s="198"/>
      <c r="K1" s="198"/>
      <c r="L1" s="198"/>
      <c r="M1" s="198"/>
      <c r="N1" s="198"/>
      <c r="O1" s="199"/>
    </row>
    <row r="2" spans="1:15" s="203" customFormat="1" ht="30" customHeight="1" x14ac:dyDescent="0.3">
      <c r="A2" s="1011">
        <f>+'MEMORIA Y VAL'!AB56</f>
        <v>0</v>
      </c>
      <c r="B2" s="1011"/>
      <c r="C2" s="201" t="s">
        <v>150</v>
      </c>
      <c r="D2" s="202"/>
      <c r="E2" s="202"/>
      <c r="F2" s="202"/>
      <c r="G2" s="202"/>
      <c r="H2" s="202"/>
      <c r="I2" s="202"/>
      <c r="J2" s="202"/>
      <c r="K2" s="202"/>
      <c r="L2" s="202"/>
      <c r="M2" s="202"/>
      <c r="N2" s="202"/>
      <c r="O2" s="202"/>
    </row>
    <row r="3" spans="1:15" ht="12" x14ac:dyDescent="0.3">
      <c r="A3" s="204"/>
      <c r="B3" s="204"/>
      <c r="C3" s="204"/>
      <c r="D3" s="204"/>
      <c r="E3" s="204"/>
      <c r="F3" s="204"/>
      <c r="G3" s="204"/>
      <c r="H3" s="204"/>
      <c r="I3" s="204"/>
      <c r="J3" s="204"/>
      <c r="K3" s="204"/>
      <c r="L3" s="204"/>
      <c r="M3" s="204"/>
      <c r="N3" s="204"/>
      <c r="O3" s="204"/>
    </row>
    <row r="4" spans="1:15" ht="12" x14ac:dyDescent="0.3">
      <c r="A4" s="204"/>
      <c r="B4" s="204"/>
      <c r="C4" s="204"/>
      <c r="D4" s="204"/>
      <c r="E4" s="204"/>
      <c r="F4" s="204"/>
      <c r="G4" s="204"/>
      <c r="H4" s="204"/>
      <c r="I4" s="204"/>
      <c r="J4" s="204"/>
      <c r="K4" s="204"/>
      <c r="L4" s="204"/>
      <c r="M4" s="204"/>
      <c r="N4" s="204"/>
      <c r="O4" s="204"/>
    </row>
    <row r="5" spans="1:15" ht="12" x14ac:dyDescent="0.3">
      <c r="A5" s="204"/>
      <c r="B5" s="204"/>
      <c r="C5" s="204"/>
      <c r="D5" s="204"/>
      <c r="E5" s="204"/>
      <c r="F5" s="204"/>
      <c r="G5" s="204"/>
      <c r="H5" s="204"/>
      <c r="I5" s="204"/>
      <c r="J5" s="204"/>
      <c r="K5" s="204"/>
      <c r="L5" s="204"/>
      <c r="M5" s="204"/>
      <c r="N5" s="204"/>
      <c r="O5" s="204"/>
    </row>
    <row r="6" spans="1:15" ht="12" customHeight="1" x14ac:dyDescent="0.3">
      <c r="A6" s="204"/>
      <c r="B6" s="204"/>
      <c r="C6" s="204"/>
      <c r="D6" s="204"/>
      <c r="E6" s="204"/>
      <c r="F6" s="204"/>
      <c r="G6" s="204"/>
      <c r="H6" s="204"/>
      <c r="I6" s="204"/>
      <c r="J6" s="204"/>
      <c r="K6" s="204"/>
      <c r="L6" s="204"/>
      <c r="M6" s="204"/>
      <c r="N6" s="204"/>
      <c r="O6" s="204"/>
    </row>
    <row r="7" spans="1:15" ht="12" x14ac:dyDescent="0.3">
      <c r="A7" s="204"/>
      <c r="B7" s="204"/>
      <c r="C7" s="204"/>
      <c r="D7" s="204"/>
      <c r="E7" s="204"/>
      <c r="F7" s="204"/>
      <c r="G7" s="204"/>
      <c r="H7" s="204"/>
      <c r="I7" s="204"/>
      <c r="J7" s="204"/>
      <c r="K7" s="204"/>
      <c r="L7" s="204"/>
      <c r="M7" s="204"/>
      <c r="N7" s="204"/>
      <c r="O7" s="204"/>
    </row>
    <row r="8" spans="1:15" ht="12" x14ac:dyDescent="0.3">
      <c r="A8" s="204"/>
      <c r="B8" s="204"/>
      <c r="C8" s="204"/>
      <c r="D8" s="204"/>
      <c r="E8" s="204"/>
      <c r="F8" s="204"/>
      <c r="G8" s="204"/>
      <c r="H8" s="204"/>
      <c r="I8" s="204"/>
      <c r="J8" s="204"/>
      <c r="K8" s="204"/>
      <c r="L8" s="204"/>
      <c r="M8" s="204"/>
      <c r="N8" s="204"/>
      <c r="O8" s="204"/>
    </row>
    <row r="9" spans="1:15" ht="12.75" customHeight="1" x14ac:dyDescent="0.3">
      <c r="A9" s="204"/>
      <c r="B9" s="204"/>
      <c r="C9" s="204"/>
      <c r="D9" s="204"/>
      <c r="E9" s="204"/>
      <c r="F9" s="204"/>
      <c r="G9" s="204"/>
      <c r="H9" s="204"/>
      <c r="I9" s="204"/>
      <c r="J9" s="204"/>
      <c r="K9" s="204"/>
      <c r="L9" s="204"/>
      <c r="M9" s="204"/>
      <c r="N9" s="204"/>
      <c r="O9" s="204"/>
    </row>
    <row r="10" spans="1:15" ht="12.75" customHeight="1" x14ac:dyDescent="0.3">
      <c r="A10" s="204"/>
      <c r="B10" s="204"/>
      <c r="C10" s="204"/>
      <c r="D10" s="204"/>
      <c r="E10" s="204"/>
      <c r="F10" s="204"/>
      <c r="G10" s="204"/>
      <c r="H10" s="204"/>
      <c r="I10" s="204"/>
      <c r="J10" s="204"/>
      <c r="K10" s="204"/>
      <c r="L10" s="204"/>
      <c r="M10" s="204"/>
      <c r="N10" s="204"/>
      <c r="O10" s="204"/>
    </row>
    <row r="11" spans="1:15" ht="12.75" customHeight="1" x14ac:dyDescent="0.3">
      <c r="A11" s="204"/>
      <c r="B11" s="204"/>
      <c r="C11" s="204"/>
      <c r="D11" s="204"/>
      <c r="E11" s="204"/>
      <c r="F11" s="204"/>
      <c r="G11" s="204"/>
      <c r="H11" s="204"/>
      <c r="I11" s="204"/>
      <c r="J11" s="204"/>
      <c r="K11" s="204"/>
      <c r="L11" s="204"/>
      <c r="M11" s="204"/>
      <c r="N11" s="204"/>
      <c r="O11" s="204"/>
    </row>
    <row r="12" spans="1:15" ht="12.75" customHeight="1" x14ac:dyDescent="0.3">
      <c r="A12" s="204"/>
      <c r="B12" s="204"/>
      <c r="C12" s="204"/>
      <c r="D12" s="204"/>
      <c r="E12" s="204"/>
      <c r="F12" s="204"/>
      <c r="G12" s="204"/>
      <c r="H12" s="204"/>
      <c r="I12" s="204"/>
      <c r="J12" s="204"/>
      <c r="K12" s="204"/>
      <c r="L12" s="204"/>
      <c r="M12" s="204"/>
      <c r="N12" s="204"/>
      <c r="O12" s="204"/>
    </row>
    <row r="13" spans="1:15" ht="12" x14ac:dyDescent="0.3">
      <c r="A13" s="204"/>
      <c r="B13" s="204"/>
      <c r="C13" s="204"/>
      <c r="D13" s="204"/>
      <c r="E13" s="204"/>
      <c r="F13" s="204"/>
      <c r="G13" s="204"/>
      <c r="H13" s="204"/>
      <c r="I13" s="204"/>
      <c r="J13" s="204"/>
      <c r="K13" s="204"/>
      <c r="L13" s="204"/>
      <c r="M13" s="204"/>
      <c r="N13" s="204"/>
      <c r="O13" s="204"/>
    </row>
    <row r="14" spans="1:15" ht="12" x14ac:dyDescent="0.3">
      <c r="A14" s="204"/>
      <c r="B14" s="204"/>
      <c r="C14" s="204"/>
      <c r="D14" s="204"/>
      <c r="E14" s="204"/>
      <c r="F14" s="204"/>
      <c r="G14" s="204"/>
      <c r="H14" s="204"/>
      <c r="I14" s="204"/>
      <c r="J14" s="204"/>
      <c r="K14" s="204"/>
      <c r="L14" s="204"/>
      <c r="M14" s="204"/>
      <c r="N14" s="204"/>
      <c r="O14" s="204"/>
    </row>
    <row r="15" spans="1:15" ht="12" x14ac:dyDescent="0.3">
      <c r="A15" s="204"/>
      <c r="B15" s="204"/>
      <c r="C15" s="204"/>
      <c r="D15" s="204"/>
      <c r="E15" s="204"/>
      <c r="F15" s="204"/>
      <c r="G15" s="204"/>
      <c r="H15" s="204"/>
      <c r="I15" s="204"/>
      <c r="J15" s="204"/>
      <c r="K15" s="204"/>
      <c r="L15" s="204"/>
      <c r="M15" s="204"/>
      <c r="N15" s="204"/>
      <c r="O15" s="204"/>
    </row>
    <row r="16" spans="1:15" ht="12" x14ac:dyDescent="0.3">
      <c r="A16" s="204"/>
      <c r="B16" s="204"/>
      <c r="C16" s="204"/>
      <c r="D16" s="204"/>
      <c r="E16" s="204"/>
      <c r="F16" s="204"/>
      <c r="G16" s="204"/>
      <c r="H16" s="204"/>
      <c r="I16" s="204"/>
      <c r="J16" s="204"/>
      <c r="K16" s="204"/>
      <c r="L16" s="204"/>
      <c r="M16" s="204"/>
      <c r="N16" s="204"/>
      <c r="O16" s="204"/>
    </row>
    <row r="17" spans="1:15" ht="12" x14ac:dyDescent="0.3">
      <c r="A17" s="204"/>
      <c r="B17" s="204"/>
      <c r="C17" s="204"/>
      <c r="D17" s="204"/>
      <c r="E17" s="204"/>
      <c r="F17" s="204"/>
      <c r="G17" s="204"/>
      <c r="H17" s="204"/>
      <c r="I17" s="204"/>
      <c r="J17" s="204"/>
      <c r="K17" s="204"/>
      <c r="L17" s="204"/>
      <c r="M17" s="204"/>
      <c r="N17" s="204"/>
      <c r="O17" s="204"/>
    </row>
    <row r="18" spans="1:15" ht="12" x14ac:dyDescent="0.3">
      <c r="A18" s="204"/>
      <c r="B18" s="204"/>
      <c r="C18" s="204"/>
      <c r="D18" s="204"/>
      <c r="E18" s="204"/>
      <c r="F18" s="204"/>
      <c r="G18" s="204"/>
      <c r="H18" s="204"/>
      <c r="I18" s="204"/>
      <c r="J18" s="204"/>
      <c r="K18" s="204"/>
      <c r="L18" s="204"/>
      <c r="M18" s="204"/>
      <c r="N18" s="204"/>
      <c r="O18" s="204"/>
    </row>
    <row r="19" spans="1:15" ht="12" x14ac:dyDescent="0.3">
      <c r="A19" s="204"/>
      <c r="B19" s="204"/>
      <c r="C19" s="204"/>
      <c r="D19" s="204"/>
      <c r="E19" s="204"/>
      <c r="F19" s="204"/>
      <c r="G19" s="204"/>
      <c r="H19" s="204"/>
      <c r="I19" s="204"/>
      <c r="J19" s="204"/>
      <c r="K19" s="204"/>
      <c r="L19" s="204"/>
      <c r="M19" s="204"/>
      <c r="N19" s="204"/>
      <c r="O19" s="204"/>
    </row>
    <row r="20" spans="1:15" ht="15" customHeight="1" x14ac:dyDescent="0.3">
      <c r="A20" s="204"/>
      <c r="B20" s="205">
        <v>1</v>
      </c>
      <c r="C20" s="1012"/>
      <c r="D20" s="1012"/>
      <c r="E20" s="1012"/>
      <c r="F20" s="1012"/>
      <c r="G20" s="1013"/>
      <c r="H20" s="206"/>
      <c r="I20" s="205">
        <f>+B20+1</f>
        <v>2</v>
      </c>
      <c r="J20" s="1012"/>
      <c r="K20" s="1012"/>
      <c r="L20" s="1012"/>
      <c r="M20" s="1012"/>
      <c r="N20" s="1013"/>
      <c r="O20" s="207"/>
    </row>
    <row r="21" spans="1:15" ht="12" x14ac:dyDescent="0.3">
      <c r="A21" s="204"/>
      <c r="B21" s="208"/>
      <c r="C21" s="208"/>
      <c r="D21" s="208"/>
      <c r="E21" s="208"/>
      <c r="F21" s="208"/>
      <c r="G21" s="208"/>
      <c r="H21" s="204"/>
      <c r="I21" s="204"/>
      <c r="J21" s="204"/>
      <c r="K21" s="204"/>
      <c r="L21" s="204"/>
      <c r="M21" s="204"/>
      <c r="N21" s="204"/>
      <c r="O21" s="204"/>
    </row>
    <row r="22" spans="1:15" ht="12" x14ac:dyDescent="0.3">
      <c r="A22" s="204"/>
      <c r="B22" s="204"/>
      <c r="C22" s="204"/>
      <c r="D22" s="204"/>
      <c r="E22" s="204"/>
      <c r="F22" s="204"/>
      <c r="G22" s="204"/>
      <c r="H22" s="204"/>
      <c r="I22" s="204"/>
      <c r="J22" s="204"/>
      <c r="K22" s="204"/>
      <c r="L22" s="204"/>
      <c r="M22" s="204"/>
      <c r="N22" s="204"/>
      <c r="O22" s="204"/>
    </row>
    <row r="23" spans="1:15" ht="12" x14ac:dyDescent="0.3">
      <c r="A23" s="204"/>
      <c r="B23" s="204"/>
      <c r="C23" s="204"/>
      <c r="D23" s="204"/>
      <c r="E23" s="204"/>
      <c r="F23" s="204"/>
      <c r="G23" s="204"/>
      <c r="H23" s="204"/>
      <c r="I23" s="204"/>
      <c r="J23" s="204"/>
      <c r="K23" s="204"/>
      <c r="L23" s="204"/>
      <c r="M23" s="204"/>
      <c r="N23" s="204"/>
      <c r="O23" s="204"/>
    </row>
    <row r="24" spans="1:15" s="211" customFormat="1" ht="12.9" customHeight="1" x14ac:dyDescent="0.3">
      <c r="A24" s="208"/>
      <c r="B24" s="209"/>
      <c r="C24" s="210"/>
      <c r="D24" s="210"/>
      <c r="E24" s="210"/>
      <c r="F24" s="210"/>
      <c r="G24" s="210"/>
      <c r="H24" s="210"/>
      <c r="I24" s="210"/>
      <c r="J24" s="210"/>
      <c r="K24" s="210"/>
      <c r="L24" s="210"/>
      <c r="M24" s="210"/>
      <c r="N24" s="210"/>
      <c r="O24" s="210"/>
    </row>
    <row r="25" spans="1:15" ht="12.75" customHeight="1" x14ac:dyDescent="0.3">
      <c r="A25" s="212"/>
      <c r="B25" s="213"/>
      <c r="C25" s="213"/>
      <c r="D25" s="213"/>
      <c r="E25" s="213"/>
      <c r="F25" s="213"/>
      <c r="G25" s="213"/>
      <c r="H25" s="213"/>
      <c r="I25" s="213"/>
      <c r="J25" s="213"/>
      <c r="K25" s="213"/>
      <c r="L25" s="213"/>
      <c r="M25" s="213"/>
      <c r="N25" s="213"/>
      <c r="O25" s="213"/>
    </row>
    <row r="26" spans="1:15" ht="16.2" x14ac:dyDescent="0.3">
      <c r="A26" s="210"/>
      <c r="B26" s="209"/>
      <c r="C26" s="210"/>
      <c r="D26" s="210"/>
      <c r="E26" s="210"/>
      <c r="F26" s="210"/>
      <c r="G26" s="214"/>
      <c r="H26" s="210"/>
      <c r="I26" s="210"/>
      <c r="J26" s="210"/>
      <c r="K26" s="210"/>
      <c r="L26" s="210"/>
      <c r="M26" s="210"/>
      <c r="N26" s="210"/>
      <c r="O26" s="210"/>
    </row>
    <row r="27" spans="1:15" ht="16.2" x14ac:dyDescent="0.3">
      <c r="A27" s="210"/>
      <c r="B27" s="209"/>
      <c r="C27" s="210"/>
      <c r="D27" s="210"/>
      <c r="E27" s="210"/>
      <c r="F27" s="210"/>
      <c r="G27" s="214"/>
      <c r="H27" s="210"/>
      <c r="I27" s="210"/>
      <c r="J27" s="210"/>
      <c r="K27" s="210"/>
      <c r="L27" s="210"/>
      <c r="M27" s="210"/>
      <c r="N27" s="210"/>
      <c r="O27" s="210"/>
    </row>
    <row r="28" spans="1:15" ht="16.2" x14ac:dyDescent="0.3">
      <c r="A28" s="210"/>
      <c r="B28" s="209"/>
      <c r="C28" s="210"/>
      <c r="D28" s="210"/>
      <c r="E28" s="210"/>
      <c r="F28" s="210"/>
      <c r="G28" s="214"/>
      <c r="H28" s="210"/>
      <c r="I28" s="210"/>
      <c r="J28" s="210"/>
      <c r="K28" s="210"/>
      <c r="L28" s="210"/>
      <c r="M28" s="210"/>
      <c r="N28" s="210"/>
      <c r="O28" s="210"/>
    </row>
    <row r="29" spans="1:15" ht="16.2" x14ac:dyDescent="0.3">
      <c r="A29" s="210"/>
      <c r="B29" s="209"/>
      <c r="C29" s="210"/>
      <c r="D29" s="210"/>
      <c r="E29" s="210"/>
      <c r="F29" s="210"/>
      <c r="G29" s="214"/>
      <c r="H29" s="210"/>
      <c r="I29" s="210"/>
      <c r="J29" s="210"/>
      <c r="K29" s="210"/>
      <c r="L29" s="210"/>
      <c r="M29" s="210"/>
      <c r="N29" s="210"/>
      <c r="O29" s="210"/>
    </row>
    <row r="30" spans="1:15" ht="12" x14ac:dyDescent="0.3">
      <c r="A30" s="208"/>
      <c r="B30" s="208"/>
      <c r="C30" s="208"/>
      <c r="D30" s="208"/>
      <c r="K30" s="208"/>
      <c r="L30" s="208"/>
      <c r="M30" s="208"/>
      <c r="N30" s="208"/>
      <c r="O30" s="208"/>
    </row>
    <row r="31" spans="1:15" ht="12" x14ac:dyDescent="0.3">
      <c r="A31" s="208"/>
      <c r="B31" s="208"/>
      <c r="C31" s="208"/>
      <c r="D31" s="208"/>
      <c r="K31" s="208"/>
      <c r="L31" s="208"/>
      <c r="M31" s="208"/>
      <c r="N31" s="208"/>
      <c r="O31" s="208"/>
    </row>
    <row r="32" spans="1:15" ht="12" x14ac:dyDescent="0.3">
      <c r="A32" s="208"/>
      <c r="B32" s="208"/>
      <c r="C32" s="208"/>
      <c r="D32" s="208"/>
      <c r="E32" s="208"/>
      <c r="F32" s="208"/>
      <c r="G32" s="208"/>
      <c r="H32" s="208"/>
      <c r="I32" s="208"/>
      <c r="J32" s="208"/>
      <c r="K32" s="208"/>
      <c r="L32" s="208"/>
      <c r="M32" s="208"/>
      <c r="N32" s="208"/>
      <c r="O32" s="208"/>
    </row>
    <row r="33" spans="1:15" ht="12" x14ac:dyDescent="0.3">
      <c r="A33" s="208"/>
      <c r="B33" s="208"/>
      <c r="C33" s="208"/>
      <c r="D33" s="208"/>
      <c r="E33" s="208"/>
      <c r="F33" s="208"/>
      <c r="G33" s="208"/>
      <c r="H33" s="208"/>
      <c r="I33" s="208"/>
      <c r="J33" s="208"/>
      <c r="K33" s="208"/>
      <c r="L33" s="208"/>
      <c r="M33" s="208"/>
      <c r="N33" s="208"/>
      <c r="O33" s="208"/>
    </row>
    <row r="34" spans="1:15" ht="12" x14ac:dyDescent="0.3">
      <c r="A34" s="208"/>
      <c r="B34" s="208"/>
      <c r="C34" s="208"/>
      <c r="D34" s="208"/>
      <c r="E34" s="208"/>
      <c r="F34" s="208"/>
      <c r="G34" s="208"/>
      <c r="H34" s="208"/>
      <c r="I34" s="208"/>
      <c r="J34" s="208"/>
      <c r="K34" s="208"/>
      <c r="L34" s="208"/>
      <c r="M34" s="208"/>
      <c r="N34" s="208"/>
      <c r="O34" s="208"/>
    </row>
    <row r="35" spans="1:15" ht="12" x14ac:dyDescent="0.3">
      <c r="A35" s="208"/>
      <c r="B35" s="208"/>
      <c r="C35" s="208"/>
      <c r="D35" s="208"/>
      <c r="E35" s="208"/>
      <c r="F35" s="208"/>
      <c r="G35" s="208"/>
      <c r="H35" s="208"/>
      <c r="I35" s="208"/>
      <c r="J35" s="208"/>
      <c r="K35" s="208"/>
      <c r="L35" s="208"/>
      <c r="M35" s="208"/>
      <c r="N35" s="208"/>
      <c r="O35" s="208"/>
    </row>
    <row r="36" spans="1:15" ht="12" x14ac:dyDescent="0.3">
      <c r="A36" s="208"/>
      <c r="B36" s="208"/>
      <c r="C36" s="208"/>
      <c r="D36" s="208"/>
      <c r="E36" s="208"/>
      <c r="F36" s="208"/>
      <c r="G36" s="208"/>
      <c r="H36" s="208"/>
      <c r="I36" s="208"/>
      <c r="J36" s="208"/>
      <c r="K36" s="208"/>
      <c r="L36" s="208"/>
      <c r="M36" s="208"/>
      <c r="N36" s="208"/>
      <c r="O36" s="208"/>
    </row>
    <row r="37" spans="1:15" ht="12" x14ac:dyDescent="0.3">
      <c r="A37" s="208"/>
      <c r="B37" s="208"/>
      <c r="C37" s="208"/>
      <c r="D37" s="208"/>
      <c r="E37" s="208"/>
      <c r="F37" s="208"/>
      <c r="G37" s="208"/>
      <c r="H37" s="208"/>
      <c r="I37" s="208"/>
      <c r="J37" s="208"/>
      <c r="K37" s="208"/>
      <c r="L37" s="208"/>
      <c r="M37" s="208"/>
      <c r="N37" s="208"/>
      <c r="O37" s="208"/>
    </row>
    <row r="38" spans="1:15" ht="12" x14ac:dyDescent="0.3">
      <c r="A38" s="208"/>
      <c r="B38" s="209"/>
      <c r="C38" s="210"/>
      <c r="D38" s="210"/>
      <c r="E38" s="210"/>
      <c r="F38" s="210"/>
      <c r="G38" s="210"/>
      <c r="H38" s="210"/>
      <c r="I38" s="210"/>
      <c r="J38" s="210"/>
      <c r="K38" s="210"/>
      <c r="L38" s="210"/>
      <c r="M38" s="210"/>
      <c r="N38" s="210"/>
      <c r="O38" s="210"/>
    </row>
    <row r="39" spans="1:15" ht="17.25" customHeight="1" x14ac:dyDescent="0.3">
      <c r="A39" s="204"/>
      <c r="B39" s="205">
        <f>+I20+1</f>
        <v>3</v>
      </c>
      <c r="C39" s="1012"/>
      <c r="D39" s="1012"/>
      <c r="E39" s="1012"/>
      <c r="F39" s="1012"/>
      <c r="G39" s="1013"/>
      <c r="H39" s="206"/>
      <c r="I39" s="205">
        <f>+B39+1</f>
        <v>4</v>
      </c>
      <c r="J39" s="1012"/>
      <c r="K39" s="1012"/>
      <c r="L39" s="1012"/>
      <c r="M39" s="1012"/>
      <c r="N39" s="1013"/>
      <c r="O39" s="207"/>
    </row>
    <row r="40" spans="1:15" ht="12" x14ac:dyDescent="0.3">
      <c r="A40" s="208"/>
      <c r="B40" s="208"/>
      <c r="C40" s="208"/>
      <c r="D40" s="208"/>
      <c r="E40" s="208"/>
      <c r="F40" s="206"/>
      <c r="G40" s="206"/>
      <c r="H40" s="206"/>
      <c r="I40" s="206"/>
      <c r="J40" s="206"/>
      <c r="K40" s="206"/>
      <c r="L40" s="208"/>
      <c r="M40" s="208"/>
      <c r="N40" s="208"/>
      <c r="O40" s="208"/>
    </row>
    <row r="41" spans="1:15" ht="12" x14ac:dyDescent="0.3">
      <c r="A41" s="208"/>
      <c r="B41" s="215"/>
      <c r="C41" s="206"/>
      <c r="D41" s="206"/>
      <c r="E41" s="206"/>
      <c r="F41" s="206"/>
      <c r="G41" s="206"/>
      <c r="H41" s="210"/>
      <c r="I41" s="210"/>
      <c r="J41" s="210"/>
      <c r="K41" s="210"/>
      <c r="L41" s="210"/>
      <c r="M41" s="210"/>
      <c r="N41" s="210"/>
      <c r="O41" s="210"/>
    </row>
    <row r="42" spans="1:15" ht="12" x14ac:dyDescent="0.3">
      <c r="A42" s="208"/>
      <c r="B42" s="215"/>
      <c r="C42" s="206"/>
      <c r="D42" s="206"/>
      <c r="E42" s="206"/>
      <c r="F42" s="206"/>
      <c r="G42" s="206"/>
      <c r="H42" s="210"/>
      <c r="I42" s="210"/>
      <c r="J42" s="210"/>
      <c r="K42" s="210"/>
      <c r="L42" s="210"/>
      <c r="M42" s="210"/>
      <c r="N42" s="210"/>
      <c r="O42" s="210"/>
    </row>
    <row r="43" spans="1:15" ht="12" x14ac:dyDescent="0.3">
      <c r="A43" s="208"/>
      <c r="B43" s="209"/>
      <c r="C43" s="210"/>
      <c r="D43" s="210"/>
      <c r="E43" s="210"/>
      <c r="F43" s="210"/>
      <c r="G43" s="210"/>
      <c r="H43" s="210"/>
      <c r="I43" s="210"/>
      <c r="J43" s="210"/>
      <c r="K43" s="210"/>
      <c r="L43" s="210"/>
      <c r="M43" s="210"/>
      <c r="N43" s="210"/>
      <c r="O43" s="210"/>
    </row>
    <row r="44" spans="1:15" ht="12" x14ac:dyDescent="0.3">
      <c r="A44" s="208"/>
      <c r="B44" s="209"/>
      <c r="C44" s="210"/>
      <c r="D44" s="210"/>
      <c r="E44" s="210"/>
      <c r="F44" s="210"/>
      <c r="G44" s="210"/>
      <c r="H44" s="210"/>
      <c r="I44" s="210"/>
      <c r="J44" s="210"/>
      <c r="K44" s="210"/>
      <c r="L44" s="210"/>
      <c r="M44" s="210"/>
      <c r="N44" s="210"/>
      <c r="O44" s="210"/>
    </row>
    <row r="45" spans="1:15" ht="12" x14ac:dyDescent="0.3">
      <c r="A45" s="208"/>
      <c r="B45" s="208"/>
      <c r="C45" s="208"/>
      <c r="D45" s="208"/>
      <c r="E45" s="208"/>
      <c r="F45" s="208"/>
      <c r="G45" s="208"/>
      <c r="H45" s="208"/>
      <c r="I45" s="208"/>
      <c r="J45" s="208"/>
      <c r="K45" s="208"/>
      <c r="L45" s="208"/>
      <c r="M45" s="208"/>
      <c r="N45" s="208"/>
      <c r="O45" s="208"/>
    </row>
    <row r="46" spans="1:15" ht="12" x14ac:dyDescent="0.3">
      <c r="A46" s="208"/>
      <c r="B46" s="208"/>
      <c r="C46" s="208"/>
      <c r="D46" s="208"/>
      <c r="E46" s="208"/>
      <c r="F46" s="208"/>
      <c r="G46" s="208"/>
      <c r="H46" s="208"/>
      <c r="I46" s="208"/>
      <c r="J46" s="208"/>
      <c r="K46" s="208"/>
      <c r="L46" s="208"/>
      <c r="M46" s="208"/>
      <c r="N46" s="208"/>
      <c r="O46" s="208"/>
    </row>
    <row r="47" spans="1:15" ht="12" x14ac:dyDescent="0.3">
      <c r="A47" s="208"/>
      <c r="B47" s="208"/>
      <c r="C47" s="208"/>
      <c r="D47" s="208"/>
      <c r="E47" s="208"/>
      <c r="F47" s="208"/>
      <c r="G47" s="208"/>
      <c r="H47" s="208"/>
      <c r="I47" s="208"/>
      <c r="J47" s="208"/>
      <c r="K47" s="208"/>
      <c r="L47" s="208"/>
      <c r="M47" s="208"/>
      <c r="N47" s="208"/>
      <c r="O47" s="208"/>
    </row>
    <row r="48" spans="1:15" ht="12" x14ac:dyDescent="0.3">
      <c r="A48" s="208"/>
      <c r="B48" s="208"/>
      <c r="C48" s="208"/>
      <c r="D48" s="208"/>
      <c r="E48" s="206"/>
      <c r="F48" s="206"/>
      <c r="G48" s="206"/>
      <c r="H48" s="206"/>
      <c r="I48" s="206"/>
      <c r="J48" s="206"/>
      <c r="K48" s="208"/>
      <c r="L48" s="208"/>
      <c r="M48" s="208"/>
      <c r="N48" s="208"/>
      <c r="O48" s="208"/>
    </row>
    <row r="49" spans="1:15" ht="12" x14ac:dyDescent="0.3">
      <c r="A49" s="208"/>
      <c r="B49" s="208"/>
      <c r="C49" s="208"/>
      <c r="D49" s="208"/>
      <c r="E49" s="208"/>
      <c r="F49" s="208"/>
      <c r="G49" s="208"/>
      <c r="H49" s="208"/>
      <c r="I49" s="208"/>
      <c r="J49" s="208"/>
      <c r="K49" s="208"/>
      <c r="L49" s="208"/>
      <c r="M49" s="208"/>
      <c r="N49" s="208"/>
      <c r="O49" s="208"/>
    </row>
    <row r="50" spans="1:15" ht="12" x14ac:dyDescent="0.3">
      <c r="A50" s="208"/>
      <c r="B50" s="208"/>
      <c r="C50" s="208"/>
      <c r="D50" s="208"/>
      <c r="E50" s="208"/>
      <c r="F50" s="208"/>
      <c r="G50" s="208"/>
      <c r="H50" s="208"/>
      <c r="I50" s="208"/>
      <c r="J50" s="208"/>
      <c r="K50" s="208"/>
      <c r="L50" s="208"/>
      <c r="M50" s="208"/>
      <c r="N50" s="208"/>
      <c r="O50" s="208"/>
    </row>
    <row r="51" spans="1:15" ht="12" x14ac:dyDescent="0.3">
      <c r="A51" s="208"/>
      <c r="B51" s="208"/>
      <c r="C51" s="208"/>
      <c r="D51" s="208"/>
      <c r="E51" s="208"/>
      <c r="F51" s="208"/>
      <c r="G51" s="208"/>
      <c r="H51" s="208"/>
      <c r="I51" s="208"/>
      <c r="J51" s="208"/>
      <c r="K51" s="208"/>
      <c r="L51" s="208"/>
      <c r="M51" s="208"/>
      <c r="N51" s="208"/>
      <c r="O51" s="208"/>
    </row>
    <row r="52" spans="1:15" ht="12" x14ac:dyDescent="0.3">
      <c r="A52" s="208"/>
      <c r="B52" s="208"/>
      <c r="C52" s="208"/>
      <c r="D52" s="208"/>
      <c r="E52" s="208"/>
      <c r="F52" s="208"/>
      <c r="G52" s="208"/>
      <c r="H52" s="208"/>
      <c r="I52" s="208"/>
      <c r="J52" s="208"/>
      <c r="K52" s="208"/>
      <c r="L52" s="208"/>
      <c r="M52" s="208"/>
      <c r="N52" s="208"/>
      <c r="O52" s="208"/>
    </row>
    <row r="53" spans="1:15" ht="12" x14ac:dyDescent="0.3">
      <c r="A53" s="216"/>
      <c r="B53" s="216"/>
      <c r="C53" s="217"/>
      <c r="D53" s="217"/>
      <c r="E53" s="217"/>
      <c r="F53" s="217"/>
      <c r="G53" s="208"/>
      <c r="H53" s="216"/>
      <c r="I53" s="216"/>
      <c r="J53" s="216"/>
      <c r="K53" s="217"/>
      <c r="L53" s="217"/>
      <c r="M53" s="217"/>
      <c r="N53" s="217"/>
      <c r="O53" s="217"/>
    </row>
    <row r="54" spans="1:15" ht="12" x14ac:dyDescent="0.3">
      <c r="A54" s="216"/>
      <c r="B54" s="216"/>
      <c r="C54" s="217"/>
      <c r="D54" s="217"/>
      <c r="K54" s="217"/>
      <c r="L54" s="217"/>
      <c r="M54" s="217"/>
      <c r="N54" s="217"/>
      <c r="O54" s="217"/>
    </row>
    <row r="55" spans="1:15" s="211" customFormat="1" ht="12" x14ac:dyDescent="0.3">
      <c r="A55" s="208"/>
      <c r="B55" s="208"/>
      <c r="C55" s="208"/>
      <c r="D55" s="208"/>
      <c r="E55" s="208"/>
      <c r="F55" s="208"/>
      <c r="G55" s="208"/>
      <c r="H55" s="208"/>
      <c r="I55" s="208"/>
      <c r="J55" s="208"/>
      <c r="K55" s="208"/>
      <c r="L55" s="208"/>
      <c r="M55" s="208"/>
      <c r="N55" s="208"/>
      <c r="O55" s="208"/>
    </row>
    <row r="56" spans="1:15" ht="12" x14ac:dyDescent="0.3">
      <c r="A56" s="208"/>
      <c r="B56" s="208"/>
      <c r="C56" s="208"/>
      <c r="D56" s="208"/>
      <c r="E56" s="208"/>
      <c r="F56" s="208"/>
      <c r="G56" s="208"/>
      <c r="H56" s="208"/>
      <c r="I56" s="208"/>
      <c r="J56" s="208"/>
      <c r="K56" s="208"/>
      <c r="L56" s="208"/>
      <c r="M56" s="208"/>
      <c r="N56" s="208"/>
      <c r="O56" s="208"/>
    </row>
    <row r="57" spans="1:15" ht="16.2" x14ac:dyDescent="0.3">
      <c r="A57" s="219"/>
      <c r="B57" s="216"/>
      <c r="C57" s="214"/>
      <c r="D57" s="217"/>
      <c r="L57" s="214"/>
      <c r="M57" s="214"/>
      <c r="N57" s="214"/>
      <c r="O57" s="214"/>
    </row>
    <row r="58" spans="1:15" ht="15" customHeight="1" x14ac:dyDescent="0.3">
      <c r="A58" s="204"/>
      <c r="B58" s="205">
        <f>+I39+1</f>
        <v>5</v>
      </c>
      <c r="C58" s="1012"/>
      <c r="D58" s="1012"/>
      <c r="E58" s="1012"/>
      <c r="F58" s="1012"/>
      <c r="G58" s="1013"/>
      <c r="H58" s="206"/>
      <c r="I58" s="205">
        <f>+B58+1</f>
        <v>6</v>
      </c>
      <c r="J58" s="1012"/>
      <c r="K58" s="1012"/>
      <c r="L58" s="1012"/>
      <c r="M58" s="1012"/>
      <c r="N58" s="1013"/>
      <c r="O58" s="207"/>
    </row>
    <row r="59" spans="1:15" ht="12" x14ac:dyDescent="0.3">
      <c r="A59" s="206"/>
      <c r="B59" s="209"/>
      <c r="C59" s="210"/>
      <c r="D59" s="210"/>
      <c r="E59" s="210"/>
      <c r="F59" s="210"/>
      <c r="G59" s="210"/>
      <c r="H59" s="210"/>
      <c r="I59" s="210"/>
      <c r="J59" s="210"/>
      <c r="K59" s="210"/>
      <c r="L59" s="210"/>
      <c r="M59" s="210"/>
      <c r="N59" s="210"/>
      <c r="O59" s="210"/>
    </row>
    <row r="60" spans="1:15" ht="12" x14ac:dyDescent="0.3">
      <c r="A60" s="206"/>
      <c r="B60" s="215"/>
      <c r="C60" s="206"/>
      <c r="D60" s="206"/>
      <c r="E60" s="206"/>
      <c r="F60" s="206"/>
      <c r="G60" s="206"/>
      <c r="H60" s="206"/>
      <c r="I60" s="206"/>
      <c r="J60" s="206"/>
      <c r="K60" s="206"/>
      <c r="L60" s="206"/>
      <c r="M60" s="206"/>
      <c r="N60" s="206"/>
      <c r="O60" s="206"/>
    </row>
    <row r="61" spans="1:15" ht="12" x14ac:dyDescent="0.3"/>
    <row r="62" spans="1:15" ht="12" x14ac:dyDescent="0.3"/>
    <row r="63" spans="1:15" ht="12" x14ac:dyDescent="0.3"/>
    <row r="64" spans="1:15" ht="12" x14ac:dyDescent="0.3"/>
    <row r="65" ht="12" x14ac:dyDescent="0.3"/>
    <row r="66" ht="12" x14ac:dyDescent="0.3"/>
    <row r="67" ht="12" x14ac:dyDescent="0.3"/>
    <row r="68" ht="12" x14ac:dyDescent="0.3"/>
    <row r="69" ht="12" x14ac:dyDescent="0.3"/>
    <row r="70" ht="12" x14ac:dyDescent="0.3"/>
    <row r="71" ht="12.75" customHeight="1" x14ac:dyDescent="0.3"/>
    <row r="72" ht="12.75" customHeight="1" x14ac:dyDescent="0.3"/>
  </sheetData>
  <mergeCells count="7">
    <mergeCell ref="C58:G58"/>
    <mergeCell ref="J58:N58"/>
    <mergeCell ref="A2:B2"/>
    <mergeCell ref="C20:G20"/>
    <mergeCell ref="J20:N20"/>
    <mergeCell ref="C39:G39"/>
    <mergeCell ref="J39:N39"/>
  </mergeCells>
  <pageMargins left="0" right="0" top="0" bottom="0" header="0" footer="0"/>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MEMORIA Y VAL</vt:lpstr>
      <vt:lpstr>VALORIZACION</vt:lpstr>
      <vt:lpstr>FOTO</vt:lpstr>
      <vt:lpstr>FOTO!Área_de_impresión</vt:lpstr>
      <vt:lpstr>'MEMORIA Y VAL'!Área_de_impresión</vt:lpstr>
      <vt:lpstr>'MEMORIA Y VAL'!Títulos_a_imprimir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 GUTIERREZ C.</dc:creator>
  <cp:lastModifiedBy>Marilyn Veliz</cp:lastModifiedBy>
  <cp:lastPrinted>2021-10-25T14:47:24Z</cp:lastPrinted>
  <dcterms:created xsi:type="dcterms:W3CDTF">2003-12-01T15:01:52Z</dcterms:created>
  <dcterms:modified xsi:type="dcterms:W3CDTF">2025-08-12T01:41:57Z</dcterms:modified>
</cp:coreProperties>
</file>